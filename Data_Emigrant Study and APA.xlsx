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/>
  <xr:revisionPtr revIDLastSave="111" documentId="11_43D212F1372A05AC5BF2E43F5F4789337D4C90A2" xr6:coauthVersionLast="47" xr6:coauthVersionMax="47" xr10:uidLastSave="{ABEDDA40-D329-4CA5-A014-FC0CFC20C04A}"/>
  <bookViews>
    <workbookView xWindow="0" yWindow="0" windowWidth="16384" windowHeight="8192" tabRatio="500" firstSheet="6" activeTab="2" xr2:uid="{00000000-000D-0000-FFFF-FFFF00000000}"/>
  </bookViews>
  <sheets>
    <sheet name="Sheet" sheetId="1" r:id="rId1"/>
    <sheet name="APA" sheetId="2" r:id="rId2"/>
    <sheet name="daily stressors" sheetId="3" r:id="rId3"/>
    <sheet name="Harvard Trauma Questionnaire" sheetId="4" r:id="rId4"/>
    <sheet name="PTSD" sheetId="6" r:id="rId5"/>
    <sheet name="HSCL-25" sheetId="7" r:id="rId6"/>
    <sheet name="Composite scores" sheetId="8" r:id="rId7"/>
  </sheets>
  <definedNames>
    <definedName name="_xlnm._FilterDatabase" localSheetId="2" hidden="1">'daily stressors'!$AV$1:$AV$70</definedName>
    <definedName name="_xlnm._FilterDatabase" localSheetId="3" hidden="1">'Harvard Trauma Questionnaire'!$A$1:$C$71</definedName>
    <definedName name="_xlnm._FilterDatabase" localSheetId="5" hidden="1">'HSCL-25'!$KR$1:$KU$69</definedName>
    <definedName name="_xlnm._FilterDatabase" localSheetId="4" hidden="1">PTSD!$A$2:$KT$70</definedName>
    <definedName name="_xlnm._FilterDatabase" localSheetId="0" hidden="1">Sheet!$V$1:$V$69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L69" i="3" l="1"/>
  <c r="FL68" i="3"/>
  <c r="FL67" i="3"/>
  <c r="FL66" i="3"/>
  <c r="FL65" i="3"/>
  <c r="FL64" i="3"/>
  <c r="FL63" i="3"/>
  <c r="FL62" i="3"/>
  <c r="FL61" i="3"/>
  <c r="FL60" i="3"/>
  <c r="FL59" i="3"/>
  <c r="FL58" i="3"/>
  <c r="FL57" i="3"/>
  <c r="FL56" i="3"/>
  <c r="FL55" i="3"/>
  <c r="FL54" i="3"/>
  <c r="FL53" i="3"/>
  <c r="FL52" i="3"/>
  <c r="FL51" i="3"/>
  <c r="FL50" i="3"/>
  <c r="FL49" i="3"/>
  <c r="FL48" i="3"/>
  <c r="FL47" i="3"/>
  <c r="FL46" i="3"/>
  <c r="FL45" i="3"/>
  <c r="FL44" i="3"/>
  <c r="FL43" i="3"/>
  <c r="FL42" i="3"/>
  <c r="FL41" i="3"/>
  <c r="FL40" i="3"/>
  <c r="FL39" i="3"/>
  <c r="FL38" i="3"/>
  <c r="FL37" i="3"/>
  <c r="FL36" i="3"/>
  <c r="FL35" i="3"/>
  <c r="FL34" i="3"/>
  <c r="FL33" i="3"/>
  <c r="FL32" i="3"/>
  <c r="FL31" i="3"/>
  <c r="FL30" i="3"/>
  <c r="FL29" i="3"/>
  <c r="FL28" i="3"/>
  <c r="FL27" i="3"/>
  <c r="FL26" i="3"/>
  <c r="FL25" i="3"/>
  <c r="FL24" i="3"/>
  <c r="FL23" i="3"/>
  <c r="FL22" i="3"/>
  <c r="FL21" i="3"/>
  <c r="FL20" i="3"/>
  <c r="FL19" i="3"/>
  <c r="FL18" i="3"/>
  <c r="FL17" i="3"/>
  <c r="FL16" i="3"/>
  <c r="FL15" i="3"/>
  <c r="FL14" i="3"/>
  <c r="FL13" i="3"/>
  <c r="FL12" i="3"/>
  <c r="FL11" i="3"/>
  <c r="FL10" i="3"/>
  <c r="FL9" i="3"/>
  <c r="FL8" i="3"/>
  <c r="FL7" i="3"/>
  <c r="FL6" i="3"/>
  <c r="FL5" i="3"/>
  <c r="FL4" i="3"/>
  <c r="FL3" i="3"/>
  <c r="FL2" i="3"/>
  <c r="FH69" i="3"/>
  <c r="FH68" i="3"/>
  <c r="FH67" i="3"/>
  <c r="FH66" i="3"/>
  <c r="FH65" i="3"/>
  <c r="FH64" i="3"/>
  <c r="FH63" i="3"/>
  <c r="FH62" i="3"/>
  <c r="FH61" i="3"/>
  <c r="FH60" i="3"/>
  <c r="FH59" i="3"/>
  <c r="FH58" i="3"/>
  <c r="FH57" i="3"/>
  <c r="FH56" i="3"/>
  <c r="FH55" i="3"/>
  <c r="FH54" i="3"/>
  <c r="FH53" i="3"/>
  <c r="FH52" i="3"/>
  <c r="FH51" i="3"/>
  <c r="FH50" i="3"/>
  <c r="FH49" i="3"/>
  <c r="FH48" i="3"/>
  <c r="FH47" i="3"/>
  <c r="FH46" i="3"/>
  <c r="FH45" i="3"/>
  <c r="FH44" i="3"/>
  <c r="FH43" i="3"/>
  <c r="FH42" i="3"/>
  <c r="FH41" i="3"/>
  <c r="FH40" i="3"/>
  <c r="FH39" i="3"/>
  <c r="FH38" i="3"/>
  <c r="FH37" i="3"/>
  <c r="FH36" i="3"/>
  <c r="FH35" i="3"/>
  <c r="FH34" i="3"/>
  <c r="FH33" i="3"/>
  <c r="FH32" i="3"/>
  <c r="FH31" i="3"/>
  <c r="FH30" i="3"/>
  <c r="FH29" i="3"/>
  <c r="FH28" i="3"/>
  <c r="FH27" i="3"/>
  <c r="FH26" i="3"/>
  <c r="FH25" i="3"/>
  <c r="FH24" i="3"/>
  <c r="FH23" i="3"/>
  <c r="FH22" i="3"/>
  <c r="FH21" i="3"/>
  <c r="FH20" i="3"/>
  <c r="FH19" i="3"/>
  <c r="FH18" i="3"/>
  <c r="FH17" i="3"/>
  <c r="FH16" i="3"/>
  <c r="FH15" i="3"/>
  <c r="FH14" i="3"/>
  <c r="FH13" i="3"/>
  <c r="FH12" i="3"/>
  <c r="FH11" i="3"/>
  <c r="FH10" i="3"/>
  <c r="FH9" i="3"/>
  <c r="FH8" i="3"/>
  <c r="FH7" i="3"/>
  <c r="FH6" i="3"/>
  <c r="FH5" i="3"/>
  <c r="FH4" i="3"/>
  <c r="FH3" i="3"/>
  <c r="FH2" i="3"/>
  <c r="FD69" i="3"/>
  <c r="FD68" i="3"/>
  <c r="FD67" i="3"/>
  <c r="FD66" i="3"/>
  <c r="FD65" i="3"/>
  <c r="FD64" i="3"/>
  <c r="FD63" i="3"/>
  <c r="FD62" i="3"/>
  <c r="FD61" i="3"/>
  <c r="FD60" i="3"/>
  <c r="FD59" i="3"/>
  <c r="FD58" i="3"/>
  <c r="FD57" i="3"/>
  <c r="FD56" i="3"/>
  <c r="FD55" i="3"/>
  <c r="FD54" i="3"/>
  <c r="FD53" i="3"/>
  <c r="FD52" i="3"/>
  <c r="FD51" i="3"/>
  <c r="FD50" i="3"/>
  <c r="FD49" i="3"/>
  <c r="FD48" i="3"/>
  <c r="FD47" i="3"/>
  <c r="FD46" i="3"/>
  <c r="FD45" i="3"/>
  <c r="FD44" i="3"/>
  <c r="FD43" i="3"/>
  <c r="FD42" i="3"/>
  <c r="FD41" i="3"/>
  <c r="FD40" i="3"/>
  <c r="FD39" i="3"/>
  <c r="FD38" i="3"/>
  <c r="FD37" i="3"/>
  <c r="FD36" i="3"/>
  <c r="FD35" i="3"/>
  <c r="FD34" i="3"/>
  <c r="FD33" i="3"/>
  <c r="FD32" i="3"/>
  <c r="FD31" i="3"/>
  <c r="FD30" i="3"/>
  <c r="FD29" i="3"/>
  <c r="FD28" i="3"/>
  <c r="FD27" i="3"/>
  <c r="FD26" i="3"/>
  <c r="FD25" i="3"/>
  <c r="FD24" i="3"/>
  <c r="FD23" i="3"/>
  <c r="FD22" i="3"/>
  <c r="FD21" i="3"/>
  <c r="FD20" i="3"/>
  <c r="FD19" i="3"/>
  <c r="FD18" i="3"/>
  <c r="FD17" i="3"/>
  <c r="FD16" i="3"/>
  <c r="FD15" i="3"/>
  <c r="FD14" i="3"/>
  <c r="FD13" i="3"/>
  <c r="FD12" i="3"/>
  <c r="FD11" i="3"/>
  <c r="FD10" i="3"/>
  <c r="FD9" i="3"/>
  <c r="FD8" i="3"/>
  <c r="FD7" i="3"/>
  <c r="FD6" i="3"/>
  <c r="FD5" i="3"/>
  <c r="FD4" i="3"/>
  <c r="FD3" i="3"/>
  <c r="FD2" i="3"/>
  <c r="EZ69" i="3"/>
  <c r="EZ68" i="3"/>
  <c r="EZ67" i="3"/>
  <c r="EZ66" i="3"/>
  <c r="EZ65" i="3"/>
  <c r="EZ64" i="3"/>
  <c r="EZ63" i="3"/>
  <c r="EZ62" i="3"/>
  <c r="EZ61" i="3"/>
  <c r="EZ60" i="3"/>
  <c r="EZ59" i="3"/>
  <c r="EZ58" i="3"/>
  <c r="EZ57" i="3"/>
  <c r="EZ56" i="3"/>
  <c r="EZ55" i="3"/>
  <c r="EZ54" i="3"/>
  <c r="EZ53" i="3"/>
  <c r="EZ52" i="3"/>
  <c r="EZ51" i="3"/>
  <c r="EZ50" i="3"/>
  <c r="EZ49" i="3"/>
  <c r="EZ48" i="3"/>
  <c r="EZ47" i="3"/>
  <c r="EZ46" i="3"/>
  <c r="EZ45" i="3"/>
  <c r="EZ44" i="3"/>
  <c r="EZ43" i="3"/>
  <c r="EZ42" i="3"/>
  <c r="EZ41" i="3"/>
  <c r="EZ40" i="3"/>
  <c r="EZ39" i="3"/>
  <c r="EZ38" i="3"/>
  <c r="EZ37" i="3"/>
  <c r="EZ36" i="3"/>
  <c r="EZ35" i="3"/>
  <c r="EZ34" i="3"/>
  <c r="EZ33" i="3"/>
  <c r="EZ32" i="3"/>
  <c r="EZ31" i="3"/>
  <c r="EZ30" i="3"/>
  <c r="EZ29" i="3"/>
  <c r="EZ28" i="3"/>
  <c r="EZ27" i="3"/>
  <c r="EZ26" i="3"/>
  <c r="EZ25" i="3"/>
  <c r="EZ24" i="3"/>
  <c r="EZ23" i="3"/>
  <c r="EZ22" i="3"/>
  <c r="EZ21" i="3"/>
  <c r="EZ20" i="3"/>
  <c r="EZ19" i="3"/>
  <c r="EZ18" i="3"/>
  <c r="EZ17" i="3"/>
  <c r="EZ16" i="3"/>
  <c r="EZ15" i="3"/>
  <c r="EZ14" i="3"/>
  <c r="EZ13" i="3"/>
  <c r="EZ12" i="3"/>
  <c r="EZ11" i="3"/>
  <c r="EZ10" i="3"/>
  <c r="EZ9" i="3"/>
  <c r="EZ8" i="3"/>
  <c r="EZ7" i="3"/>
  <c r="EZ6" i="3"/>
  <c r="EZ5" i="3"/>
  <c r="EZ4" i="3"/>
  <c r="EZ3" i="3"/>
  <c r="EZ2" i="3"/>
  <c r="EV69" i="3"/>
  <c r="EV68" i="3"/>
  <c r="EV67" i="3"/>
  <c r="EV66" i="3"/>
  <c r="EV65" i="3"/>
  <c r="EV64" i="3"/>
  <c r="EV63" i="3"/>
  <c r="EV62" i="3"/>
  <c r="EV61" i="3"/>
  <c r="EV60" i="3"/>
  <c r="EV59" i="3"/>
  <c r="EV58" i="3"/>
  <c r="EV57" i="3"/>
  <c r="EV56" i="3"/>
  <c r="EV55" i="3"/>
  <c r="EV54" i="3"/>
  <c r="EV53" i="3"/>
  <c r="EV52" i="3"/>
  <c r="EV51" i="3"/>
  <c r="EV50" i="3"/>
  <c r="EV49" i="3"/>
  <c r="EV48" i="3"/>
  <c r="EV47" i="3"/>
  <c r="EV46" i="3"/>
  <c r="EV45" i="3"/>
  <c r="EV44" i="3"/>
  <c r="EV43" i="3"/>
  <c r="EV42" i="3"/>
  <c r="EV41" i="3"/>
  <c r="EV40" i="3"/>
  <c r="EV39" i="3"/>
  <c r="EV38" i="3"/>
  <c r="EV37" i="3"/>
  <c r="EV36" i="3"/>
  <c r="EV35" i="3"/>
  <c r="EV34" i="3"/>
  <c r="EV33" i="3"/>
  <c r="EV32" i="3"/>
  <c r="EV31" i="3"/>
  <c r="EV30" i="3"/>
  <c r="EV29" i="3"/>
  <c r="EV28" i="3"/>
  <c r="EV27" i="3"/>
  <c r="EV26" i="3"/>
  <c r="EV25" i="3"/>
  <c r="EV24" i="3"/>
  <c r="EV23" i="3"/>
  <c r="EV22" i="3"/>
  <c r="EV21" i="3"/>
  <c r="EV20" i="3"/>
  <c r="EV19" i="3"/>
  <c r="EV18" i="3"/>
  <c r="EV17" i="3"/>
  <c r="EV16" i="3"/>
  <c r="EV15" i="3"/>
  <c r="EV14" i="3"/>
  <c r="EV13" i="3"/>
  <c r="EV12" i="3"/>
  <c r="EV11" i="3"/>
  <c r="EV10" i="3"/>
  <c r="EV9" i="3"/>
  <c r="EV8" i="3"/>
  <c r="EV7" i="3"/>
  <c r="EV6" i="3"/>
  <c r="EV5" i="3"/>
  <c r="EV4" i="3"/>
  <c r="EV3" i="3"/>
  <c r="EV2" i="3"/>
  <c r="ER69" i="3"/>
  <c r="ER68" i="3"/>
  <c r="ER67" i="3"/>
  <c r="ER66" i="3"/>
  <c r="ER65" i="3"/>
  <c r="ER64" i="3"/>
  <c r="ER63" i="3"/>
  <c r="ER62" i="3"/>
  <c r="ER61" i="3"/>
  <c r="ER60" i="3"/>
  <c r="ER59" i="3"/>
  <c r="ER58" i="3"/>
  <c r="ER57" i="3"/>
  <c r="ER56" i="3"/>
  <c r="ER55" i="3"/>
  <c r="ER54" i="3"/>
  <c r="ER53" i="3"/>
  <c r="ER52" i="3"/>
  <c r="ER51" i="3"/>
  <c r="ER50" i="3"/>
  <c r="ER49" i="3"/>
  <c r="ER48" i="3"/>
  <c r="ER47" i="3"/>
  <c r="ER46" i="3"/>
  <c r="ER45" i="3"/>
  <c r="ER44" i="3"/>
  <c r="ER43" i="3"/>
  <c r="ER42" i="3"/>
  <c r="ER41" i="3"/>
  <c r="ER40" i="3"/>
  <c r="ER39" i="3"/>
  <c r="ER38" i="3"/>
  <c r="ER37" i="3"/>
  <c r="ER36" i="3"/>
  <c r="ER35" i="3"/>
  <c r="ER34" i="3"/>
  <c r="ER33" i="3"/>
  <c r="ER32" i="3"/>
  <c r="ER31" i="3"/>
  <c r="ER30" i="3"/>
  <c r="ER29" i="3"/>
  <c r="ER28" i="3"/>
  <c r="ER27" i="3"/>
  <c r="ER26" i="3"/>
  <c r="ER25" i="3"/>
  <c r="ER24" i="3"/>
  <c r="ER23" i="3"/>
  <c r="ER22" i="3"/>
  <c r="ER21" i="3"/>
  <c r="ER20" i="3"/>
  <c r="ER19" i="3"/>
  <c r="ER18" i="3"/>
  <c r="ER17" i="3"/>
  <c r="ER16" i="3"/>
  <c r="ER15" i="3"/>
  <c r="ER14" i="3"/>
  <c r="ER13" i="3"/>
  <c r="ER12" i="3"/>
  <c r="ER11" i="3"/>
  <c r="ER10" i="3"/>
  <c r="ER9" i="3"/>
  <c r="ER8" i="3"/>
  <c r="ER7" i="3"/>
  <c r="ER6" i="3"/>
  <c r="ER5" i="3"/>
  <c r="ER4" i="3"/>
  <c r="ER3" i="3"/>
  <c r="ER2" i="3"/>
  <c r="EN69" i="3"/>
  <c r="EN68" i="3"/>
  <c r="EN67" i="3"/>
  <c r="EN66" i="3"/>
  <c r="EN65" i="3"/>
  <c r="EN64" i="3"/>
  <c r="EN63" i="3"/>
  <c r="EN62" i="3"/>
  <c r="EN61" i="3"/>
  <c r="EN60" i="3"/>
  <c r="EN59" i="3"/>
  <c r="EN58" i="3"/>
  <c r="EN57" i="3"/>
  <c r="EN56" i="3"/>
  <c r="EN55" i="3"/>
  <c r="EN54" i="3"/>
  <c r="EN53" i="3"/>
  <c r="EN52" i="3"/>
  <c r="EN51" i="3"/>
  <c r="EN50" i="3"/>
  <c r="EN49" i="3"/>
  <c r="EN48" i="3"/>
  <c r="EN47" i="3"/>
  <c r="EN46" i="3"/>
  <c r="EN45" i="3"/>
  <c r="EN44" i="3"/>
  <c r="EN43" i="3"/>
  <c r="EN42" i="3"/>
  <c r="EN41" i="3"/>
  <c r="EN40" i="3"/>
  <c r="EN39" i="3"/>
  <c r="EN38" i="3"/>
  <c r="EN37" i="3"/>
  <c r="EN36" i="3"/>
  <c r="EN35" i="3"/>
  <c r="EN34" i="3"/>
  <c r="EN33" i="3"/>
  <c r="EN32" i="3"/>
  <c r="EN31" i="3"/>
  <c r="EN30" i="3"/>
  <c r="EN29" i="3"/>
  <c r="EN28" i="3"/>
  <c r="EN27" i="3"/>
  <c r="EN26" i="3"/>
  <c r="EN25" i="3"/>
  <c r="EN24" i="3"/>
  <c r="EN23" i="3"/>
  <c r="EN22" i="3"/>
  <c r="EN21" i="3"/>
  <c r="EN20" i="3"/>
  <c r="EN19" i="3"/>
  <c r="EN18" i="3"/>
  <c r="EN17" i="3"/>
  <c r="EN16" i="3"/>
  <c r="EN15" i="3"/>
  <c r="EN14" i="3"/>
  <c r="EN13" i="3"/>
  <c r="EN12" i="3"/>
  <c r="EN11" i="3"/>
  <c r="EN10" i="3"/>
  <c r="EN9" i="3"/>
  <c r="EN8" i="3"/>
  <c r="EN7" i="3"/>
  <c r="EN6" i="3"/>
  <c r="EN5" i="3"/>
  <c r="EN4" i="3"/>
  <c r="EN3" i="3"/>
  <c r="EN2" i="3"/>
  <c r="EJ69" i="3"/>
  <c r="EJ68" i="3"/>
  <c r="EJ67" i="3"/>
  <c r="EJ66" i="3"/>
  <c r="EJ65" i="3"/>
  <c r="EJ64" i="3"/>
  <c r="EJ63" i="3"/>
  <c r="EJ62" i="3"/>
  <c r="EJ61" i="3"/>
  <c r="EJ60" i="3"/>
  <c r="EJ59" i="3"/>
  <c r="EJ58" i="3"/>
  <c r="EJ57" i="3"/>
  <c r="EJ56" i="3"/>
  <c r="EJ55" i="3"/>
  <c r="EJ54" i="3"/>
  <c r="EJ53" i="3"/>
  <c r="EJ52" i="3"/>
  <c r="EJ51" i="3"/>
  <c r="EJ50" i="3"/>
  <c r="EJ49" i="3"/>
  <c r="EJ48" i="3"/>
  <c r="EJ47" i="3"/>
  <c r="EJ46" i="3"/>
  <c r="EJ45" i="3"/>
  <c r="EJ44" i="3"/>
  <c r="EJ43" i="3"/>
  <c r="EJ42" i="3"/>
  <c r="EJ41" i="3"/>
  <c r="EJ40" i="3"/>
  <c r="EJ39" i="3"/>
  <c r="EJ38" i="3"/>
  <c r="EJ37" i="3"/>
  <c r="EJ36" i="3"/>
  <c r="EJ35" i="3"/>
  <c r="EJ34" i="3"/>
  <c r="EJ33" i="3"/>
  <c r="EJ32" i="3"/>
  <c r="EJ31" i="3"/>
  <c r="EJ30" i="3"/>
  <c r="EJ29" i="3"/>
  <c r="EJ28" i="3"/>
  <c r="EJ27" i="3"/>
  <c r="EJ26" i="3"/>
  <c r="EJ25" i="3"/>
  <c r="EJ24" i="3"/>
  <c r="EJ23" i="3"/>
  <c r="EJ22" i="3"/>
  <c r="EJ21" i="3"/>
  <c r="EJ20" i="3"/>
  <c r="EJ19" i="3"/>
  <c r="EJ18" i="3"/>
  <c r="EJ17" i="3"/>
  <c r="EJ16" i="3"/>
  <c r="EJ15" i="3"/>
  <c r="EJ14" i="3"/>
  <c r="EJ13" i="3"/>
  <c r="EJ12" i="3"/>
  <c r="EJ11" i="3"/>
  <c r="EJ10" i="3"/>
  <c r="EJ9" i="3"/>
  <c r="EJ8" i="3"/>
  <c r="EJ7" i="3"/>
  <c r="EJ6" i="3"/>
  <c r="EJ5" i="3"/>
  <c r="EJ4" i="3"/>
  <c r="EJ3" i="3"/>
  <c r="EJ2" i="3"/>
  <c r="EF69" i="3"/>
  <c r="EF68" i="3"/>
  <c r="EF67" i="3"/>
  <c r="EF66" i="3"/>
  <c r="EF65" i="3"/>
  <c r="EF64" i="3"/>
  <c r="EF63" i="3"/>
  <c r="EF62" i="3"/>
  <c r="EF61" i="3"/>
  <c r="EF60" i="3"/>
  <c r="EF59" i="3"/>
  <c r="EF58" i="3"/>
  <c r="EF57" i="3"/>
  <c r="EF56" i="3"/>
  <c r="EF55" i="3"/>
  <c r="EF54" i="3"/>
  <c r="EF53" i="3"/>
  <c r="EF52" i="3"/>
  <c r="EF51" i="3"/>
  <c r="EF50" i="3"/>
  <c r="EF49" i="3"/>
  <c r="EF48" i="3"/>
  <c r="EF47" i="3"/>
  <c r="EF46" i="3"/>
  <c r="EF45" i="3"/>
  <c r="EF44" i="3"/>
  <c r="EF43" i="3"/>
  <c r="EF42" i="3"/>
  <c r="EF41" i="3"/>
  <c r="EF40" i="3"/>
  <c r="EF39" i="3"/>
  <c r="EF38" i="3"/>
  <c r="EF37" i="3"/>
  <c r="EF36" i="3"/>
  <c r="EF35" i="3"/>
  <c r="EF34" i="3"/>
  <c r="EF33" i="3"/>
  <c r="EF32" i="3"/>
  <c r="EF31" i="3"/>
  <c r="EF30" i="3"/>
  <c r="EF29" i="3"/>
  <c r="EF28" i="3"/>
  <c r="EF27" i="3"/>
  <c r="EF26" i="3"/>
  <c r="EF25" i="3"/>
  <c r="EF24" i="3"/>
  <c r="EF23" i="3"/>
  <c r="EF22" i="3"/>
  <c r="EF21" i="3"/>
  <c r="EF20" i="3"/>
  <c r="EF19" i="3"/>
  <c r="EF18" i="3"/>
  <c r="EF17" i="3"/>
  <c r="EF16" i="3"/>
  <c r="EF15" i="3"/>
  <c r="EF14" i="3"/>
  <c r="EF13" i="3"/>
  <c r="EF12" i="3"/>
  <c r="EF11" i="3"/>
  <c r="EF10" i="3"/>
  <c r="EF9" i="3"/>
  <c r="EF8" i="3"/>
  <c r="EF7" i="3"/>
  <c r="EF6" i="3"/>
  <c r="EF5" i="3"/>
  <c r="EF4" i="3"/>
  <c r="EF3" i="3"/>
  <c r="EF2" i="3"/>
  <c r="EB69" i="3"/>
  <c r="EB68" i="3"/>
  <c r="EB67" i="3"/>
  <c r="EB66" i="3"/>
  <c r="EB65" i="3"/>
  <c r="EB64" i="3"/>
  <c r="EB63" i="3"/>
  <c r="EB62" i="3"/>
  <c r="EB61" i="3"/>
  <c r="EB60" i="3"/>
  <c r="EB59" i="3"/>
  <c r="EB58" i="3"/>
  <c r="EB57" i="3"/>
  <c r="EB56" i="3"/>
  <c r="EB55" i="3"/>
  <c r="EB54" i="3"/>
  <c r="EB53" i="3"/>
  <c r="EB52" i="3"/>
  <c r="EB51" i="3"/>
  <c r="EB50" i="3"/>
  <c r="EB49" i="3"/>
  <c r="EB48" i="3"/>
  <c r="EB47" i="3"/>
  <c r="EB46" i="3"/>
  <c r="EB45" i="3"/>
  <c r="EB44" i="3"/>
  <c r="EB43" i="3"/>
  <c r="EB42" i="3"/>
  <c r="EB41" i="3"/>
  <c r="EB40" i="3"/>
  <c r="EB39" i="3"/>
  <c r="EB38" i="3"/>
  <c r="EB37" i="3"/>
  <c r="EB36" i="3"/>
  <c r="EB35" i="3"/>
  <c r="EB34" i="3"/>
  <c r="EB33" i="3"/>
  <c r="EB32" i="3"/>
  <c r="EB31" i="3"/>
  <c r="EB30" i="3"/>
  <c r="EB29" i="3"/>
  <c r="EB28" i="3"/>
  <c r="EB27" i="3"/>
  <c r="EB26" i="3"/>
  <c r="EB25" i="3"/>
  <c r="EB24" i="3"/>
  <c r="EB23" i="3"/>
  <c r="EB22" i="3"/>
  <c r="EB21" i="3"/>
  <c r="EB20" i="3"/>
  <c r="EB19" i="3"/>
  <c r="EB18" i="3"/>
  <c r="EB17" i="3"/>
  <c r="EB16" i="3"/>
  <c r="EB15" i="3"/>
  <c r="EB14" i="3"/>
  <c r="EB13" i="3"/>
  <c r="EB12" i="3"/>
  <c r="EB11" i="3"/>
  <c r="EB10" i="3"/>
  <c r="EB9" i="3"/>
  <c r="EB8" i="3"/>
  <c r="EB7" i="3"/>
  <c r="EB6" i="3"/>
  <c r="EB5" i="3"/>
  <c r="EB4" i="3"/>
  <c r="EB3" i="3"/>
  <c r="EB2" i="3"/>
  <c r="DX69" i="3"/>
  <c r="DX68" i="3"/>
  <c r="DX67" i="3"/>
  <c r="DX66" i="3"/>
  <c r="DX65" i="3"/>
  <c r="DX64" i="3"/>
  <c r="DX63" i="3"/>
  <c r="DX62" i="3"/>
  <c r="DX61" i="3"/>
  <c r="DX60" i="3"/>
  <c r="DX59" i="3"/>
  <c r="DX58" i="3"/>
  <c r="DX57" i="3"/>
  <c r="DX56" i="3"/>
  <c r="DX55" i="3"/>
  <c r="DX54" i="3"/>
  <c r="DX53" i="3"/>
  <c r="DX52" i="3"/>
  <c r="DX51" i="3"/>
  <c r="DX50" i="3"/>
  <c r="DX49" i="3"/>
  <c r="DX48" i="3"/>
  <c r="DX47" i="3"/>
  <c r="DX46" i="3"/>
  <c r="DX45" i="3"/>
  <c r="DX44" i="3"/>
  <c r="DX43" i="3"/>
  <c r="DX42" i="3"/>
  <c r="DX41" i="3"/>
  <c r="DX40" i="3"/>
  <c r="DX39" i="3"/>
  <c r="DX38" i="3"/>
  <c r="DX37" i="3"/>
  <c r="DX36" i="3"/>
  <c r="DX35" i="3"/>
  <c r="DX34" i="3"/>
  <c r="DX33" i="3"/>
  <c r="DX32" i="3"/>
  <c r="DX31" i="3"/>
  <c r="DX30" i="3"/>
  <c r="DX29" i="3"/>
  <c r="DX28" i="3"/>
  <c r="DX27" i="3"/>
  <c r="DX26" i="3"/>
  <c r="DX25" i="3"/>
  <c r="DX24" i="3"/>
  <c r="DX23" i="3"/>
  <c r="DX22" i="3"/>
  <c r="DX21" i="3"/>
  <c r="DX20" i="3"/>
  <c r="DX19" i="3"/>
  <c r="DX18" i="3"/>
  <c r="DX17" i="3"/>
  <c r="DX16" i="3"/>
  <c r="DX15" i="3"/>
  <c r="DX14" i="3"/>
  <c r="DX13" i="3"/>
  <c r="DX12" i="3"/>
  <c r="DX11" i="3"/>
  <c r="DX10" i="3"/>
  <c r="DX9" i="3"/>
  <c r="DX8" i="3"/>
  <c r="DX7" i="3"/>
  <c r="DX6" i="3"/>
  <c r="DX5" i="3"/>
  <c r="DX4" i="3"/>
  <c r="DX3" i="3"/>
  <c r="DX2" i="3"/>
  <c r="DT69" i="3"/>
  <c r="DT68" i="3"/>
  <c r="DT67" i="3"/>
  <c r="DT66" i="3"/>
  <c r="DT65" i="3"/>
  <c r="DT64" i="3"/>
  <c r="DT63" i="3"/>
  <c r="DT62" i="3"/>
  <c r="DT61" i="3"/>
  <c r="DT60" i="3"/>
  <c r="DT59" i="3"/>
  <c r="DT58" i="3"/>
  <c r="DT57" i="3"/>
  <c r="DT56" i="3"/>
  <c r="DT55" i="3"/>
  <c r="DT54" i="3"/>
  <c r="DT53" i="3"/>
  <c r="DT52" i="3"/>
  <c r="DT51" i="3"/>
  <c r="DT50" i="3"/>
  <c r="DT49" i="3"/>
  <c r="DT48" i="3"/>
  <c r="DT47" i="3"/>
  <c r="DT46" i="3"/>
  <c r="DT45" i="3"/>
  <c r="DT44" i="3"/>
  <c r="DT43" i="3"/>
  <c r="DT42" i="3"/>
  <c r="DT41" i="3"/>
  <c r="DT40" i="3"/>
  <c r="DT39" i="3"/>
  <c r="DT38" i="3"/>
  <c r="DT37" i="3"/>
  <c r="DT36" i="3"/>
  <c r="DT35" i="3"/>
  <c r="DT34" i="3"/>
  <c r="DT33" i="3"/>
  <c r="DT32" i="3"/>
  <c r="DT31" i="3"/>
  <c r="DT30" i="3"/>
  <c r="DT29" i="3"/>
  <c r="DT28" i="3"/>
  <c r="DT27" i="3"/>
  <c r="DT26" i="3"/>
  <c r="DT25" i="3"/>
  <c r="DT24" i="3"/>
  <c r="DT23" i="3"/>
  <c r="DT22" i="3"/>
  <c r="DT21" i="3"/>
  <c r="DT20" i="3"/>
  <c r="DT19" i="3"/>
  <c r="DT18" i="3"/>
  <c r="DT17" i="3"/>
  <c r="DT16" i="3"/>
  <c r="DT15" i="3"/>
  <c r="DT14" i="3"/>
  <c r="DT13" i="3"/>
  <c r="DT12" i="3"/>
  <c r="DT11" i="3"/>
  <c r="DT10" i="3"/>
  <c r="DT9" i="3"/>
  <c r="DT8" i="3"/>
  <c r="DT7" i="3"/>
  <c r="DT6" i="3"/>
  <c r="DT5" i="3"/>
  <c r="DT4" i="3"/>
  <c r="DT3" i="3"/>
  <c r="DT2" i="3"/>
  <c r="DP69" i="3"/>
  <c r="DP68" i="3"/>
  <c r="DP67" i="3"/>
  <c r="DP66" i="3"/>
  <c r="DP65" i="3"/>
  <c r="DP64" i="3"/>
  <c r="DP63" i="3"/>
  <c r="DP62" i="3"/>
  <c r="DP61" i="3"/>
  <c r="DP60" i="3"/>
  <c r="DP59" i="3"/>
  <c r="DP58" i="3"/>
  <c r="DP57" i="3"/>
  <c r="DP56" i="3"/>
  <c r="DP55" i="3"/>
  <c r="DP54" i="3"/>
  <c r="DP53" i="3"/>
  <c r="DP52" i="3"/>
  <c r="DP51" i="3"/>
  <c r="DP50" i="3"/>
  <c r="DP49" i="3"/>
  <c r="DP48" i="3"/>
  <c r="DP47" i="3"/>
  <c r="DP46" i="3"/>
  <c r="DP45" i="3"/>
  <c r="DP44" i="3"/>
  <c r="DP43" i="3"/>
  <c r="DP42" i="3"/>
  <c r="DP41" i="3"/>
  <c r="DP40" i="3"/>
  <c r="DP39" i="3"/>
  <c r="DP38" i="3"/>
  <c r="DP37" i="3"/>
  <c r="DP36" i="3"/>
  <c r="DP35" i="3"/>
  <c r="DP34" i="3"/>
  <c r="DP33" i="3"/>
  <c r="DP32" i="3"/>
  <c r="DP31" i="3"/>
  <c r="DP30" i="3"/>
  <c r="DP29" i="3"/>
  <c r="DP28" i="3"/>
  <c r="DP27" i="3"/>
  <c r="DP26" i="3"/>
  <c r="DP25" i="3"/>
  <c r="DP24" i="3"/>
  <c r="DP23" i="3"/>
  <c r="DP22" i="3"/>
  <c r="DP21" i="3"/>
  <c r="DP20" i="3"/>
  <c r="DP19" i="3"/>
  <c r="DP18" i="3"/>
  <c r="DP17" i="3"/>
  <c r="DP16" i="3"/>
  <c r="DP15" i="3"/>
  <c r="DP14" i="3"/>
  <c r="DP13" i="3"/>
  <c r="DP12" i="3"/>
  <c r="DP11" i="3"/>
  <c r="DP10" i="3"/>
  <c r="DP9" i="3"/>
  <c r="DP8" i="3"/>
  <c r="DP7" i="3"/>
  <c r="DP6" i="3"/>
  <c r="DP5" i="3"/>
  <c r="DP4" i="3"/>
  <c r="DP3" i="3"/>
  <c r="DP2" i="3"/>
  <c r="DL69" i="3"/>
  <c r="DL68" i="3"/>
  <c r="DL67" i="3"/>
  <c r="DL66" i="3"/>
  <c r="DL65" i="3"/>
  <c r="DL64" i="3"/>
  <c r="DL63" i="3"/>
  <c r="DL62" i="3"/>
  <c r="DL61" i="3"/>
  <c r="DL60" i="3"/>
  <c r="DL59" i="3"/>
  <c r="DL58" i="3"/>
  <c r="DL57" i="3"/>
  <c r="DL56" i="3"/>
  <c r="DL55" i="3"/>
  <c r="DL54" i="3"/>
  <c r="DL53" i="3"/>
  <c r="DL52" i="3"/>
  <c r="DL51" i="3"/>
  <c r="DL50" i="3"/>
  <c r="DL49" i="3"/>
  <c r="DL48" i="3"/>
  <c r="DL47" i="3"/>
  <c r="DL46" i="3"/>
  <c r="DL45" i="3"/>
  <c r="DL44" i="3"/>
  <c r="DL43" i="3"/>
  <c r="DL42" i="3"/>
  <c r="DL41" i="3"/>
  <c r="DL40" i="3"/>
  <c r="DL39" i="3"/>
  <c r="DL38" i="3"/>
  <c r="DL37" i="3"/>
  <c r="DL36" i="3"/>
  <c r="DL35" i="3"/>
  <c r="DL34" i="3"/>
  <c r="DL33" i="3"/>
  <c r="DL32" i="3"/>
  <c r="DL31" i="3"/>
  <c r="DL30" i="3"/>
  <c r="DL29" i="3"/>
  <c r="DL28" i="3"/>
  <c r="DL27" i="3"/>
  <c r="DL26" i="3"/>
  <c r="DL25" i="3"/>
  <c r="DL24" i="3"/>
  <c r="DL23" i="3"/>
  <c r="DL22" i="3"/>
  <c r="DL21" i="3"/>
  <c r="DL20" i="3"/>
  <c r="DL19" i="3"/>
  <c r="DL18" i="3"/>
  <c r="DL17" i="3"/>
  <c r="DL16" i="3"/>
  <c r="DL15" i="3"/>
  <c r="DL14" i="3"/>
  <c r="DL13" i="3"/>
  <c r="DL12" i="3"/>
  <c r="DL11" i="3"/>
  <c r="DL10" i="3"/>
  <c r="DL9" i="3"/>
  <c r="DL8" i="3"/>
  <c r="DL7" i="3"/>
  <c r="DL6" i="3"/>
  <c r="DL5" i="3"/>
  <c r="DL4" i="3"/>
  <c r="DL3" i="3"/>
  <c r="DL2" i="3"/>
  <c r="DH69" i="3"/>
  <c r="DH68" i="3"/>
  <c r="DH67" i="3"/>
  <c r="DH66" i="3"/>
  <c r="DH65" i="3"/>
  <c r="DH64" i="3"/>
  <c r="DH63" i="3"/>
  <c r="DH62" i="3"/>
  <c r="DH61" i="3"/>
  <c r="DH60" i="3"/>
  <c r="DH59" i="3"/>
  <c r="DH58" i="3"/>
  <c r="DH57" i="3"/>
  <c r="DH56" i="3"/>
  <c r="DH55" i="3"/>
  <c r="DH54" i="3"/>
  <c r="DH53" i="3"/>
  <c r="DH52" i="3"/>
  <c r="DH51" i="3"/>
  <c r="DH50" i="3"/>
  <c r="DH49" i="3"/>
  <c r="DH48" i="3"/>
  <c r="DH47" i="3"/>
  <c r="DH46" i="3"/>
  <c r="DH45" i="3"/>
  <c r="DH44" i="3"/>
  <c r="DH43" i="3"/>
  <c r="DH42" i="3"/>
  <c r="DH41" i="3"/>
  <c r="DH40" i="3"/>
  <c r="DH39" i="3"/>
  <c r="DH38" i="3"/>
  <c r="DH37" i="3"/>
  <c r="DH36" i="3"/>
  <c r="DH35" i="3"/>
  <c r="DH34" i="3"/>
  <c r="DH33" i="3"/>
  <c r="DH32" i="3"/>
  <c r="DH31" i="3"/>
  <c r="DH30" i="3"/>
  <c r="DH29" i="3"/>
  <c r="DH28" i="3"/>
  <c r="DH27" i="3"/>
  <c r="DH26" i="3"/>
  <c r="DH25" i="3"/>
  <c r="DH24" i="3"/>
  <c r="DH23" i="3"/>
  <c r="DH22" i="3"/>
  <c r="DH21" i="3"/>
  <c r="DH20" i="3"/>
  <c r="DH19" i="3"/>
  <c r="DH18" i="3"/>
  <c r="DH17" i="3"/>
  <c r="DH16" i="3"/>
  <c r="DH15" i="3"/>
  <c r="DH14" i="3"/>
  <c r="DH13" i="3"/>
  <c r="DH12" i="3"/>
  <c r="DH11" i="3"/>
  <c r="DH10" i="3"/>
  <c r="DH9" i="3"/>
  <c r="DH8" i="3"/>
  <c r="DH7" i="3"/>
  <c r="DH6" i="3"/>
  <c r="DH5" i="3"/>
  <c r="DH4" i="3"/>
  <c r="DH3" i="3"/>
  <c r="DH2" i="3"/>
  <c r="DD69" i="3"/>
  <c r="DD68" i="3"/>
  <c r="DD67" i="3"/>
  <c r="DD66" i="3"/>
  <c r="DD65" i="3"/>
  <c r="DD64" i="3"/>
  <c r="DD63" i="3"/>
  <c r="DD62" i="3"/>
  <c r="DD61" i="3"/>
  <c r="DD60" i="3"/>
  <c r="DD59" i="3"/>
  <c r="DD58" i="3"/>
  <c r="DD57" i="3"/>
  <c r="DD56" i="3"/>
  <c r="DD55" i="3"/>
  <c r="DD54" i="3"/>
  <c r="DD53" i="3"/>
  <c r="DD52" i="3"/>
  <c r="DD51" i="3"/>
  <c r="DD50" i="3"/>
  <c r="DD49" i="3"/>
  <c r="DD48" i="3"/>
  <c r="DD47" i="3"/>
  <c r="DD46" i="3"/>
  <c r="DD45" i="3"/>
  <c r="DD44" i="3"/>
  <c r="DD43" i="3"/>
  <c r="DD42" i="3"/>
  <c r="DD41" i="3"/>
  <c r="DD40" i="3"/>
  <c r="DD39" i="3"/>
  <c r="DD38" i="3"/>
  <c r="DD37" i="3"/>
  <c r="DD36" i="3"/>
  <c r="DD35" i="3"/>
  <c r="DD34" i="3"/>
  <c r="DD33" i="3"/>
  <c r="DD32" i="3"/>
  <c r="DD31" i="3"/>
  <c r="DD30" i="3"/>
  <c r="DD29" i="3"/>
  <c r="DD28" i="3"/>
  <c r="DD27" i="3"/>
  <c r="DD26" i="3"/>
  <c r="DD25" i="3"/>
  <c r="DD24" i="3"/>
  <c r="DD23" i="3"/>
  <c r="DD22" i="3"/>
  <c r="DD21" i="3"/>
  <c r="DD20" i="3"/>
  <c r="DD19" i="3"/>
  <c r="DD18" i="3"/>
  <c r="DD17" i="3"/>
  <c r="DD16" i="3"/>
  <c r="DD15" i="3"/>
  <c r="DD14" i="3"/>
  <c r="DD13" i="3"/>
  <c r="DD12" i="3"/>
  <c r="DD11" i="3"/>
  <c r="DD10" i="3"/>
  <c r="DD9" i="3"/>
  <c r="DD8" i="3"/>
  <c r="DD7" i="3"/>
  <c r="DD6" i="3"/>
  <c r="DD5" i="3"/>
  <c r="DD4" i="3"/>
  <c r="DD3" i="3"/>
  <c r="DD2" i="3"/>
  <c r="CZ69" i="3"/>
  <c r="CZ68" i="3"/>
  <c r="CZ67" i="3"/>
  <c r="CZ66" i="3"/>
  <c r="CZ65" i="3"/>
  <c r="CZ64" i="3"/>
  <c r="CZ63" i="3"/>
  <c r="CZ62" i="3"/>
  <c r="CZ61" i="3"/>
  <c r="CZ60" i="3"/>
  <c r="CZ59" i="3"/>
  <c r="CZ58" i="3"/>
  <c r="CZ57" i="3"/>
  <c r="CZ56" i="3"/>
  <c r="CZ55" i="3"/>
  <c r="CZ54" i="3"/>
  <c r="CZ53" i="3"/>
  <c r="CZ52" i="3"/>
  <c r="CZ51" i="3"/>
  <c r="CZ50" i="3"/>
  <c r="CZ49" i="3"/>
  <c r="CZ48" i="3"/>
  <c r="CZ47" i="3"/>
  <c r="CZ46" i="3"/>
  <c r="CZ45" i="3"/>
  <c r="CZ44" i="3"/>
  <c r="CZ43" i="3"/>
  <c r="CZ42" i="3"/>
  <c r="CZ41" i="3"/>
  <c r="CZ40" i="3"/>
  <c r="CZ39" i="3"/>
  <c r="CZ38" i="3"/>
  <c r="CZ37" i="3"/>
  <c r="CZ36" i="3"/>
  <c r="CZ35" i="3"/>
  <c r="CZ34" i="3"/>
  <c r="CZ33" i="3"/>
  <c r="CZ32" i="3"/>
  <c r="CZ31" i="3"/>
  <c r="CZ30" i="3"/>
  <c r="CZ29" i="3"/>
  <c r="CZ28" i="3"/>
  <c r="CZ27" i="3"/>
  <c r="CZ26" i="3"/>
  <c r="CZ25" i="3"/>
  <c r="CZ24" i="3"/>
  <c r="CZ23" i="3"/>
  <c r="CZ22" i="3"/>
  <c r="CZ21" i="3"/>
  <c r="CZ20" i="3"/>
  <c r="CZ19" i="3"/>
  <c r="CZ18" i="3"/>
  <c r="CZ17" i="3"/>
  <c r="CZ16" i="3"/>
  <c r="CZ15" i="3"/>
  <c r="CZ14" i="3"/>
  <c r="CZ13" i="3"/>
  <c r="CZ12" i="3"/>
  <c r="CZ11" i="3"/>
  <c r="CZ10" i="3"/>
  <c r="CZ9" i="3"/>
  <c r="CZ8" i="3"/>
  <c r="CZ7" i="3"/>
  <c r="CZ6" i="3"/>
  <c r="CZ5" i="3"/>
  <c r="CZ4" i="3"/>
  <c r="CZ3" i="3"/>
  <c r="CZ2" i="3"/>
  <c r="CV69" i="3"/>
  <c r="CV68" i="3"/>
  <c r="CV67" i="3"/>
  <c r="CV66" i="3"/>
  <c r="CV65" i="3"/>
  <c r="CV64" i="3"/>
  <c r="CV63" i="3"/>
  <c r="CV62" i="3"/>
  <c r="CV61" i="3"/>
  <c r="CV60" i="3"/>
  <c r="CV59" i="3"/>
  <c r="CV58" i="3"/>
  <c r="CV57" i="3"/>
  <c r="CV56" i="3"/>
  <c r="CV55" i="3"/>
  <c r="CV54" i="3"/>
  <c r="CV53" i="3"/>
  <c r="CV52" i="3"/>
  <c r="CV51" i="3"/>
  <c r="CV50" i="3"/>
  <c r="CV49" i="3"/>
  <c r="CV48" i="3"/>
  <c r="CV47" i="3"/>
  <c r="CV46" i="3"/>
  <c r="CV45" i="3"/>
  <c r="CV44" i="3"/>
  <c r="CV43" i="3"/>
  <c r="CV42" i="3"/>
  <c r="CV41" i="3"/>
  <c r="CV40" i="3"/>
  <c r="CV39" i="3"/>
  <c r="CV38" i="3"/>
  <c r="CV37" i="3"/>
  <c r="CV36" i="3"/>
  <c r="CV35" i="3"/>
  <c r="CV34" i="3"/>
  <c r="CV33" i="3"/>
  <c r="CV32" i="3"/>
  <c r="CV31" i="3"/>
  <c r="CV30" i="3"/>
  <c r="CV29" i="3"/>
  <c r="CV28" i="3"/>
  <c r="CV27" i="3"/>
  <c r="CV26" i="3"/>
  <c r="CV25" i="3"/>
  <c r="CV24" i="3"/>
  <c r="CV23" i="3"/>
  <c r="CV22" i="3"/>
  <c r="CV21" i="3"/>
  <c r="CV20" i="3"/>
  <c r="CV19" i="3"/>
  <c r="CV18" i="3"/>
  <c r="CV17" i="3"/>
  <c r="CV16" i="3"/>
  <c r="CV15" i="3"/>
  <c r="CV14" i="3"/>
  <c r="CV13" i="3"/>
  <c r="CV12" i="3"/>
  <c r="CV11" i="3"/>
  <c r="CV10" i="3"/>
  <c r="CV9" i="3"/>
  <c r="CV8" i="3"/>
  <c r="CV7" i="3"/>
  <c r="CV6" i="3"/>
  <c r="CV5" i="3"/>
  <c r="CV4" i="3"/>
  <c r="CV3" i="3"/>
  <c r="CV2" i="3"/>
  <c r="CR69" i="3"/>
  <c r="CR68" i="3"/>
  <c r="CR67" i="3"/>
  <c r="CR66" i="3"/>
  <c r="CR65" i="3"/>
  <c r="CR64" i="3"/>
  <c r="CR63" i="3"/>
  <c r="CR62" i="3"/>
  <c r="CR61" i="3"/>
  <c r="CR60" i="3"/>
  <c r="CR59" i="3"/>
  <c r="CR58" i="3"/>
  <c r="CR57" i="3"/>
  <c r="CR56" i="3"/>
  <c r="CR55" i="3"/>
  <c r="CR54" i="3"/>
  <c r="CR53" i="3"/>
  <c r="CR52" i="3"/>
  <c r="CR51" i="3"/>
  <c r="CR50" i="3"/>
  <c r="CR49" i="3"/>
  <c r="CR48" i="3"/>
  <c r="CR47" i="3"/>
  <c r="CR46" i="3"/>
  <c r="CR45" i="3"/>
  <c r="CR44" i="3"/>
  <c r="CR43" i="3"/>
  <c r="CR42" i="3"/>
  <c r="CR41" i="3"/>
  <c r="CR40" i="3"/>
  <c r="CR39" i="3"/>
  <c r="CR38" i="3"/>
  <c r="CR37" i="3"/>
  <c r="CR36" i="3"/>
  <c r="CR35" i="3"/>
  <c r="CR34" i="3"/>
  <c r="CR33" i="3"/>
  <c r="CR32" i="3"/>
  <c r="CR31" i="3"/>
  <c r="CR30" i="3"/>
  <c r="CR29" i="3"/>
  <c r="CR28" i="3"/>
  <c r="CR27" i="3"/>
  <c r="CR26" i="3"/>
  <c r="CR25" i="3"/>
  <c r="CR24" i="3"/>
  <c r="CR23" i="3"/>
  <c r="CR22" i="3"/>
  <c r="CR21" i="3"/>
  <c r="CR20" i="3"/>
  <c r="CR19" i="3"/>
  <c r="CR18" i="3"/>
  <c r="CR17" i="3"/>
  <c r="CR16" i="3"/>
  <c r="CR15" i="3"/>
  <c r="CR14" i="3"/>
  <c r="CR13" i="3"/>
  <c r="CR12" i="3"/>
  <c r="CR11" i="3"/>
  <c r="CR10" i="3"/>
  <c r="CR9" i="3"/>
  <c r="CR8" i="3"/>
  <c r="CR7" i="3"/>
  <c r="CR6" i="3"/>
  <c r="CR5" i="3"/>
  <c r="CR4" i="3"/>
  <c r="CR3" i="3"/>
  <c r="CR2" i="3"/>
  <c r="CN69" i="3"/>
  <c r="CN68" i="3"/>
  <c r="CN67" i="3"/>
  <c r="CN66" i="3"/>
  <c r="CN65" i="3"/>
  <c r="CN64" i="3"/>
  <c r="CN63" i="3"/>
  <c r="CN62" i="3"/>
  <c r="CN61" i="3"/>
  <c r="CN60" i="3"/>
  <c r="CN59" i="3"/>
  <c r="CN58" i="3"/>
  <c r="CN57" i="3"/>
  <c r="CN56" i="3"/>
  <c r="CN55" i="3"/>
  <c r="CN54" i="3"/>
  <c r="CN53" i="3"/>
  <c r="CN52" i="3"/>
  <c r="CN51" i="3"/>
  <c r="CN50" i="3"/>
  <c r="CN49" i="3"/>
  <c r="CN48" i="3"/>
  <c r="CN47" i="3"/>
  <c r="CN46" i="3"/>
  <c r="CN45" i="3"/>
  <c r="CN44" i="3"/>
  <c r="CN43" i="3"/>
  <c r="CN42" i="3"/>
  <c r="CN41" i="3"/>
  <c r="CN40" i="3"/>
  <c r="CN39" i="3"/>
  <c r="CN38" i="3"/>
  <c r="CN37" i="3"/>
  <c r="CN36" i="3"/>
  <c r="CN35" i="3"/>
  <c r="CN34" i="3"/>
  <c r="CN33" i="3"/>
  <c r="CN32" i="3"/>
  <c r="CN31" i="3"/>
  <c r="CN30" i="3"/>
  <c r="CN29" i="3"/>
  <c r="CN28" i="3"/>
  <c r="CN27" i="3"/>
  <c r="CN26" i="3"/>
  <c r="CN25" i="3"/>
  <c r="CN24" i="3"/>
  <c r="CN23" i="3"/>
  <c r="CN22" i="3"/>
  <c r="CN21" i="3"/>
  <c r="CN20" i="3"/>
  <c r="CN19" i="3"/>
  <c r="CN18" i="3"/>
  <c r="CN17" i="3"/>
  <c r="CN16" i="3"/>
  <c r="CN15" i="3"/>
  <c r="CN14" i="3"/>
  <c r="CN13" i="3"/>
  <c r="CN12" i="3"/>
  <c r="CN11" i="3"/>
  <c r="CN10" i="3"/>
  <c r="CN9" i="3"/>
  <c r="CN8" i="3"/>
  <c r="CN7" i="3"/>
  <c r="CN6" i="3"/>
  <c r="CN5" i="3"/>
  <c r="CN4" i="3"/>
  <c r="CN3" i="3"/>
  <c r="CN2" i="3"/>
  <c r="CJ69" i="3"/>
  <c r="CJ68" i="3"/>
  <c r="CJ67" i="3"/>
  <c r="CJ66" i="3"/>
  <c r="CJ65" i="3"/>
  <c r="CJ64" i="3"/>
  <c r="CJ63" i="3"/>
  <c r="CJ62" i="3"/>
  <c r="CJ61" i="3"/>
  <c r="CJ60" i="3"/>
  <c r="CJ59" i="3"/>
  <c r="CJ58" i="3"/>
  <c r="CJ57" i="3"/>
  <c r="CJ56" i="3"/>
  <c r="CJ55" i="3"/>
  <c r="CJ54" i="3"/>
  <c r="CJ53" i="3"/>
  <c r="CJ52" i="3"/>
  <c r="CJ51" i="3"/>
  <c r="CJ50" i="3"/>
  <c r="CJ49" i="3"/>
  <c r="CJ48" i="3"/>
  <c r="CJ47" i="3"/>
  <c r="CJ46" i="3"/>
  <c r="CJ45" i="3"/>
  <c r="CJ44" i="3"/>
  <c r="CJ43" i="3"/>
  <c r="CJ42" i="3"/>
  <c r="CJ41" i="3"/>
  <c r="CJ40" i="3"/>
  <c r="CJ39" i="3"/>
  <c r="CJ38" i="3"/>
  <c r="CJ37" i="3"/>
  <c r="CJ36" i="3"/>
  <c r="CJ35" i="3"/>
  <c r="CJ34" i="3"/>
  <c r="CJ33" i="3"/>
  <c r="CJ32" i="3"/>
  <c r="CJ31" i="3"/>
  <c r="CJ30" i="3"/>
  <c r="CJ29" i="3"/>
  <c r="CJ28" i="3"/>
  <c r="CJ27" i="3"/>
  <c r="CJ26" i="3"/>
  <c r="CJ25" i="3"/>
  <c r="CJ24" i="3"/>
  <c r="CJ23" i="3"/>
  <c r="CJ22" i="3"/>
  <c r="CJ21" i="3"/>
  <c r="CJ20" i="3"/>
  <c r="CJ19" i="3"/>
  <c r="CJ18" i="3"/>
  <c r="CJ17" i="3"/>
  <c r="CJ16" i="3"/>
  <c r="CJ15" i="3"/>
  <c r="CJ14" i="3"/>
  <c r="CJ13" i="3"/>
  <c r="CJ12" i="3"/>
  <c r="CJ11" i="3"/>
  <c r="CJ10" i="3"/>
  <c r="CJ9" i="3"/>
  <c r="CJ8" i="3"/>
  <c r="CJ7" i="3"/>
  <c r="CJ6" i="3"/>
  <c r="CJ5" i="3"/>
  <c r="CJ4" i="3"/>
  <c r="CJ3" i="3"/>
  <c r="CJ2" i="3"/>
  <c r="CF69" i="3"/>
  <c r="CF68" i="3"/>
  <c r="CF67" i="3"/>
  <c r="CF66" i="3"/>
  <c r="CF65" i="3"/>
  <c r="CF64" i="3"/>
  <c r="CF63" i="3"/>
  <c r="CF62" i="3"/>
  <c r="CF61" i="3"/>
  <c r="CF60" i="3"/>
  <c r="CF59" i="3"/>
  <c r="CF58" i="3"/>
  <c r="CF57" i="3"/>
  <c r="CF56" i="3"/>
  <c r="CF55" i="3"/>
  <c r="CF54" i="3"/>
  <c r="CF53" i="3"/>
  <c r="CF52" i="3"/>
  <c r="CF51" i="3"/>
  <c r="CF50" i="3"/>
  <c r="CF49" i="3"/>
  <c r="CF48" i="3"/>
  <c r="CF47" i="3"/>
  <c r="CF46" i="3"/>
  <c r="CF45" i="3"/>
  <c r="CF44" i="3"/>
  <c r="CF43" i="3"/>
  <c r="CF42" i="3"/>
  <c r="CF41" i="3"/>
  <c r="CF40" i="3"/>
  <c r="CF39" i="3"/>
  <c r="CF38" i="3"/>
  <c r="CF37" i="3"/>
  <c r="CF36" i="3"/>
  <c r="CF35" i="3"/>
  <c r="CF34" i="3"/>
  <c r="CF33" i="3"/>
  <c r="CF32" i="3"/>
  <c r="CF31" i="3"/>
  <c r="CF30" i="3"/>
  <c r="CF29" i="3"/>
  <c r="CF28" i="3"/>
  <c r="CF27" i="3"/>
  <c r="CF26" i="3"/>
  <c r="CF25" i="3"/>
  <c r="CF24" i="3"/>
  <c r="CF23" i="3"/>
  <c r="CF22" i="3"/>
  <c r="CF21" i="3"/>
  <c r="CF20" i="3"/>
  <c r="CF19" i="3"/>
  <c r="CF18" i="3"/>
  <c r="CF17" i="3"/>
  <c r="CF16" i="3"/>
  <c r="CF15" i="3"/>
  <c r="CF14" i="3"/>
  <c r="CF13" i="3"/>
  <c r="CF12" i="3"/>
  <c r="CF11" i="3"/>
  <c r="CF10" i="3"/>
  <c r="CF9" i="3"/>
  <c r="CF8" i="3"/>
  <c r="CF7" i="3"/>
  <c r="CF6" i="3"/>
  <c r="CF5" i="3"/>
  <c r="CF4" i="3"/>
  <c r="CF3" i="3"/>
  <c r="CF2" i="3"/>
  <c r="CB69" i="3"/>
  <c r="CB68" i="3"/>
  <c r="CB67" i="3"/>
  <c r="CB66" i="3"/>
  <c r="CB65" i="3"/>
  <c r="CB64" i="3"/>
  <c r="CB63" i="3"/>
  <c r="CB62" i="3"/>
  <c r="CB61" i="3"/>
  <c r="CB60" i="3"/>
  <c r="CB59" i="3"/>
  <c r="CB58" i="3"/>
  <c r="CB57" i="3"/>
  <c r="CB56" i="3"/>
  <c r="CB55" i="3"/>
  <c r="CB54" i="3"/>
  <c r="CB53" i="3"/>
  <c r="CB52" i="3"/>
  <c r="CB51" i="3"/>
  <c r="CB50" i="3"/>
  <c r="CB49" i="3"/>
  <c r="CB48" i="3"/>
  <c r="CB47" i="3"/>
  <c r="CB46" i="3"/>
  <c r="CB45" i="3"/>
  <c r="CB44" i="3"/>
  <c r="CB43" i="3"/>
  <c r="CB42" i="3"/>
  <c r="CB41" i="3"/>
  <c r="CB40" i="3"/>
  <c r="CB39" i="3"/>
  <c r="CB38" i="3"/>
  <c r="CB37" i="3"/>
  <c r="CB36" i="3"/>
  <c r="CB35" i="3"/>
  <c r="CB34" i="3"/>
  <c r="CB33" i="3"/>
  <c r="CB32" i="3"/>
  <c r="CB31" i="3"/>
  <c r="CB30" i="3"/>
  <c r="CB29" i="3"/>
  <c r="CB28" i="3"/>
  <c r="CB27" i="3"/>
  <c r="CB26" i="3"/>
  <c r="CB25" i="3"/>
  <c r="CB24" i="3"/>
  <c r="CB23" i="3"/>
  <c r="CB22" i="3"/>
  <c r="CB21" i="3"/>
  <c r="CB20" i="3"/>
  <c r="CB19" i="3"/>
  <c r="CB18" i="3"/>
  <c r="CB17" i="3"/>
  <c r="CB16" i="3"/>
  <c r="CB15" i="3"/>
  <c r="CB14" i="3"/>
  <c r="CB13" i="3"/>
  <c r="CB12" i="3"/>
  <c r="CB11" i="3"/>
  <c r="CB10" i="3"/>
  <c r="CB9" i="3"/>
  <c r="CB8" i="3"/>
  <c r="CB7" i="3"/>
  <c r="CB6" i="3"/>
  <c r="CB5" i="3"/>
  <c r="CB4" i="3"/>
  <c r="CB3" i="3"/>
  <c r="CB2" i="3"/>
  <c r="BX69" i="3"/>
  <c r="BX68" i="3"/>
  <c r="BX67" i="3"/>
  <c r="BX66" i="3"/>
  <c r="BX65" i="3"/>
  <c r="BX64" i="3"/>
  <c r="BX63" i="3"/>
  <c r="BX62" i="3"/>
  <c r="BX61" i="3"/>
  <c r="BX60" i="3"/>
  <c r="BX59" i="3"/>
  <c r="BX58" i="3"/>
  <c r="BX57" i="3"/>
  <c r="BX56" i="3"/>
  <c r="BX55" i="3"/>
  <c r="BX54" i="3"/>
  <c r="BX53" i="3"/>
  <c r="BX52" i="3"/>
  <c r="BX51" i="3"/>
  <c r="BX50" i="3"/>
  <c r="BX49" i="3"/>
  <c r="BX48" i="3"/>
  <c r="BX47" i="3"/>
  <c r="BX46" i="3"/>
  <c r="BX45" i="3"/>
  <c r="BX44" i="3"/>
  <c r="BX43" i="3"/>
  <c r="BX42" i="3"/>
  <c r="BX41" i="3"/>
  <c r="BX40" i="3"/>
  <c r="BX39" i="3"/>
  <c r="BX38" i="3"/>
  <c r="BX37" i="3"/>
  <c r="BX36" i="3"/>
  <c r="BX35" i="3"/>
  <c r="BX34" i="3"/>
  <c r="BX33" i="3"/>
  <c r="BX32" i="3"/>
  <c r="BX31" i="3"/>
  <c r="BX30" i="3"/>
  <c r="BX29" i="3"/>
  <c r="BX28" i="3"/>
  <c r="BX27" i="3"/>
  <c r="BX26" i="3"/>
  <c r="BX25" i="3"/>
  <c r="BX24" i="3"/>
  <c r="BX23" i="3"/>
  <c r="BX22" i="3"/>
  <c r="BX21" i="3"/>
  <c r="BX20" i="3"/>
  <c r="BX19" i="3"/>
  <c r="BX18" i="3"/>
  <c r="BX17" i="3"/>
  <c r="BX16" i="3"/>
  <c r="BX15" i="3"/>
  <c r="BX14" i="3"/>
  <c r="BX13" i="3"/>
  <c r="BX12" i="3"/>
  <c r="BX11" i="3"/>
  <c r="BX10" i="3"/>
  <c r="BX9" i="3"/>
  <c r="BX8" i="3"/>
  <c r="BX7" i="3"/>
  <c r="BX6" i="3"/>
  <c r="BX5" i="3"/>
  <c r="BX4" i="3"/>
  <c r="BX3" i="3"/>
  <c r="BX2" i="3"/>
  <c r="BT69" i="3"/>
  <c r="BT68" i="3"/>
  <c r="BT67" i="3"/>
  <c r="BT66" i="3"/>
  <c r="BT65" i="3"/>
  <c r="BT64" i="3"/>
  <c r="BT63" i="3"/>
  <c r="BT62" i="3"/>
  <c r="BT61" i="3"/>
  <c r="BT60" i="3"/>
  <c r="BT59" i="3"/>
  <c r="BT58" i="3"/>
  <c r="BT57" i="3"/>
  <c r="BT56" i="3"/>
  <c r="BT55" i="3"/>
  <c r="BT54" i="3"/>
  <c r="BT53" i="3"/>
  <c r="BT52" i="3"/>
  <c r="BT51" i="3"/>
  <c r="BT50" i="3"/>
  <c r="BT49" i="3"/>
  <c r="BT48" i="3"/>
  <c r="BT47" i="3"/>
  <c r="BT46" i="3"/>
  <c r="BT45" i="3"/>
  <c r="BT44" i="3"/>
  <c r="BT43" i="3"/>
  <c r="BT42" i="3"/>
  <c r="BT41" i="3"/>
  <c r="BT40" i="3"/>
  <c r="BT39" i="3"/>
  <c r="BT38" i="3"/>
  <c r="BT37" i="3"/>
  <c r="BT36" i="3"/>
  <c r="BT35" i="3"/>
  <c r="BT34" i="3"/>
  <c r="BT33" i="3"/>
  <c r="BT32" i="3"/>
  <c r="BT31" i="3"/>
  <c r="BT30" i="3"/>
  <c r="BT29" i="3"/>
  <c r="BT28" i="3"/>
  <c r="BT27" i="3"/>
  <c r="BT26" i="3"/>
  <c r="BT25" i="3"/>
  <c r="BT24" i="3"/>
  <c r="BT23" i="3"/>
  <c r="BT22" i="3"/>
  <c r="BT21" i="3"/>
  <c r="BT20" i="3"/>
  <c r="BT19" i="3"/>
  <c r="BT18" i="3"/>
  <c r="BT17" i="3"/>
  <c r="BT16" i="3"/>
  <c r="BT15" i="3"/>
  <c r="BT14" i="3"/>
  <c r="BT13" i="3"/>
  <c r="BT12" i="3"/>
  <c r="BT11" i="3"/>
  <c r="BT10" i="3"/>
  <c r="BT9" i="3"/>
  <c r="BT8" i="3"/>
  <c r="BT7" i="3"/>
  <c r="BT6" i="3"/>
  <c r="BT5" i="3"/>
  <c r="BT4" i="3"/>
  <c r="BT3" i="3"/>
  <c r="BT2" i="3"/>
  <c r="BP69" i="3"/>
  <c r="BP68" i="3"/>
  <c r="BP67" i="3"/>
  <c r="BP66" i="3"/>
  <c r="BP65" i="3"/>
  <c r="BP64" i="3"/>
  <c r="BP63" i="3"/>
  <c r="BP62" i="3"/>
  <c r="BP61" i="3"/>
  <c r="BP60" i="3"/>
  <c r="BP59" i="3"/>
  <c r="BP58" i="3"/>
  <c r="BP57" i="3"/>
  <c r="BP56" i="3"/>
  <c r="BP55" i="3"/>
  <c r="BP54" i="3"/>
  <c r="BP53" i="3"/>
  <c r="BP52" i="3"/>
  <c r="BP51" i="3"/>
  <c r="BP50" i="3"/>
  <c r="BP49" i="3"/>
  <c r="BP48" i="3"/>
  <c r="BP47" i="3"/>
  <c r="BP46" i="3"/>
  <c r="BP45" i="3"/>
  <c r="BP44" i="3"/>
  <c r="BP43" i="3"/>
  <c r="BP42" i="3"/>
  <c r="BP41" i="3"/>
  <c r="BP40" i="3"/>
  <c r="BP39" i="3"/>
  <c r="BP38" i="3"/>
  <c r="BP37" i="3"/>
  <c r="BP36" i="3"/>
  <c r="BP35" i="3"/>
  <c r="BP34" i="3"/>
  <c r="BP33" i="3"/>
  <c r="BP32" i="3"/>
  <c r="BP31" i="3"/>
  <c r="BP30" i="3"/>
  <c r="BP29" i="3"/>
  <c r="BP28" i="3"/>
  <c r="BP27" i="3"/>
  <c r="BP26" i="3"/>
  <c r="BP25" i="3"/>
  <c r="BP24" i="3"/>
  <c r="BP23" i="3"/>
  <c r="BP22" i="3"/>
  <c r="BP21" i="3"/>
  <c r="BP20" i="3"/>
  <c r="BP19" i="3"/>
  <c r="BP18" i="3"/>
  <c r="BP17" i="3"/>
  <c r="BP16" i="3"/>
  <c r="BP15" i="3"/>
  <c r="BP14" i="3"/>
  <c r="BP13" i="3"/>
  <c r="BP12" i="3"/>
  <c r="BP11" i="3"/>
  <c r="BP10" i="3"/>
  <c r="BP9" i="3"/>
  <c r="BP8" i="3"/>
  <c r="BP7" i="3"/>
  <c r="BP6" i="3"/>
  <c r="BP5" i="3"/>
  <c r="BP4" i="3"/>
  <c r="BP3" i="3"/>
  <c r="BP2" i="3"/>
  <c r="BL69" i="3"/>
  <c r="BL68" i="3"/>
  <c r="BL67" i="3"/>
  <c r="BL66" i="3"/>
  <c r="BL65" i="3"/>
  <c r="BL64" i="3"/>
  <c r="BL63" i="3"/>
  <c r="BL62" i="3"/>
  <c r="BL61" i="3"/>
  <c r="BL60" i="3"/>
  <c r="BL59" i="3"/>
  <c r="BL58" i="3"/>
  <c r="BL57" i="3"/>
  <c r="BL56" i="3"/>
  <c r="BL55" i="3"/>
  <c r="BL54" i="3"/>
  <c r="BL53" i="3"/>
  <c r="BL52" i="3"/>
  <c r="BL51" i="3"/>
  <c r="BL50" i="3"/>
  <c r="BL49" i="3"/>
  <c r="BL48" i="3"/>
  <c r="BL47" i="3"/>
  <c r="BL46" i="3"/>
  <c r="BL45" i="3"/>
  <c r="BL44" i="3"/>
  <c r="BL43" i="3"/>
  <c r="BL42" i="3"/>
  <c r="BL41" i="3"/>
  <c r="BL40" i="3"/>
  <c r="BL39" i="3"/>
  <c r="BL38" i="3"/>
  <c r="BL37" i="3"/>
  <c r="BL36" i="3"/>
  <c r="BL35" i="3"/>
  <c r="BL34" i="3"/>
  <c r="BL33" i="3"/>
  <c r="BL32" i="3"/>
  <c r="BL31" i="3"/>
  <c r="BL30" i="3"/>
  <c r="BL29" i="3"/>
  <c r="BL28" i="3"/>
  <c r="BL27" i="3"/>
  <c r="BL26" i="3"/>
  <c r="BL25" i="3"/>
  <c r="BL24" i="3"/>
  <c r="BL23" i="3"/>
  <c r="BL22" i="3"/>
  <c r="BL21" i="3"/>
  <c r="BL20" i="3"/>
  <c r="BL19" i="3"/>
  <c r="BL18" i="3"/>
  <c r="BL17" i="3"/>
  <c r="BL16" i="3"/>
  <c r="BL15" i="3"/>
  <c r="BL14" i="3"/>
  <c r="BL13" i="3"/>
  <c r="BL12" i="3"/>
  <c r="BL11" i="3"/>
  <c r="BL10" i="3"/>
  <c r="BL9" i="3"/>
  <c r="BL8" i="3"/>
  <c r="BL7" i="3"/>
  <c r="BL6" i="3"/>
  <c r="BL5" i="3"/>
  <c r="BL4" i="3"/>
  <c r="BL3" i="3"/>
  <c r="BL2" i="3"/>
  <c r="BH69" i="3"/>
  <c r="BH68" i="3"/>
  <c r="BH67" i="3"/>
  <c r="BH66" i="3"/>
  <c r="BH65" i="3"/>
  <c r="BH64" i="3"/>
  <c r="BH63" i="3"/>
  <c r="BH62" i="3"/>
  <c r="BH61" i="3"/>
  <c r="BH60" i="3"/>
  <c r="BH59" i="3"/>
  <c r="BH58" i="3"/>
  <c r="BH57" i="3"/>
  <c r="BH56" i="3"/>
  <c r="BH55" i="3"/>
  <c r="BH54" i="3"/>
  <c r="BH53" i="3"/>
  <c r="BH52" i="3"/>
  <c r="BH51" i="3"/>
  <c r="BH50" i="3"/>
  <c r="BH49" i="3"/>
  <c r="BH48" i="3"/>
  <c r="BH47" i="3"/>
  <c r="BH46" i="3"/>
  <c r="BH45" i="3"/>
  <c r="BH44" i="3"/>
  <c r="BH43" i="3"/>
  <c r="BH42" i="3"/>
  <c r="BH41" i="3"/>
  <c r="BH40" i="3"/>
  <c r="BH39" i="3"/>
  <c r="BH38" i="3"/>
  <c r="BH37" i="3"/>
  <c r="BH36" i="3"/>
  <c r="BH35" i="3"/>
  <c r="BH34" i="3"/>
  <c r="BH33" i="3"/>
  <c r="BH32" i="3"/>
  <c r="BH31" i="3"/>
  <c r="BH30" i="3"/>
  <c r="BH29" i="3"/>
  <c r="BH28" i="3"/>
  <c r="BH27" i="3"/>
  <c r="BH26" i="3"/>
  <c r="BH25" i="3"/>
  <c r="BH24" i="3"/>
  <c r="BH23" i="3"/>
  <c r="BH22" i="3"/>
  <c r="BH21" i="3"/>
  <c r="BH20" i="3"/>
  <c r="BH19" i="3"/>
  <c r="BH18" i="3"/>
  <c r="BH17" i="3"/>
  <c r="BH16" i="3"/>
  <c r="BH15" i="3"/>
  <c r="BH14" i="3"/>
  <c r="BH13" i="3"/>
  <c r="BH12" i="3"/>
  <c r="BH11" i="3"/>
  <c r="BH10" i="3"/>
  <c r="BH9" i="3"/>
  <c r="BH8" i="3"/>
  <c r="BH7" i="3"/>
  <c r="BH6" i="3"/>
  <c r="BH5" i="3"/>
  <c r="BH4" i="3"/>
  <c r="BH3" i="3"/>
  <c r="BH2" i="3"/>
  <c r="BD69" i="3"/>
  <c r="BD68" i="3"/>
  <c r="BD67" i="3"/>
  <c r="BD66" i="3"/>
  <c r="BD65" i="3"/>
  <c r="BD64" i="3"/>
  <c r="BD63" i="3"/>
  <c r="BD62" i="3"/>
  <c r="BD61" i="3"/>
  <c r="BD60" i="3"/>
  <c r="BD59" i="3"/>
  <c r="BD58" i="3"/>
  <c r="BD57" i="3"/>
  <c r="BD56" i="3"/>
  <c r="BD55" i="3"/>
  <c r="BD54" i="3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D7" i="3"/>
  <c r="BD6" i="3"/>
  <c r="BD5" i="3"/>
  <c r="BD4" i="3"/>
  <c r="BD3" i="3"/>
  <c r="BD2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3" i="3"/>
  <c r="D17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1" i="8"/>
  <c r="E43" i="8"/>
  <c r="E1" i="8"/>
  <c r="AT4" i="3"/>
  <c r="E4" i="8" s="1"/>
  <c r="AT5" i="3"/>
  <c r="E5" i="8" s="1"/>
  <c r="AT6" i="3"/>
  <c r="E6" i="8" s="1"/>
  <c r="AT7" i="3"/>
  <c r="E7" i="8" s="1"/>
  <c r="AT8" i="3"/>
  <c r="E8" i="8" s="1"/>
  <c r="AT11" i="3"/>
  <c r="E11" i="8" s="1"/>
  <c r="AT12" i="3"/>
  <c r="E12" i="8" s="1"/>
  <c r="AT13" i="3"/>
  <c r="E13" i="8" s="1"/>
  <c r="AT16" i="3"/>
  <c r="E16" i="8" s="1"/>
  <c r="AT17" i="3"/>
  <c r="E17" i="8" s="1"/>
  <c r="AT18" i="3"/>
  <c r="E18" i="8" s="1"/>
  <c r="AT19" i="3"/>
  <c r="E19" i="8" s="1"/>
  <c r="AT20" i="3"/>
  <c r="E20" i="8" s="1"/>
  <c r="AT21" i="3"/>
  <c r="E21" i="8" s="1"/>
  <c r="AT22" i="3"/>
  <c r="E22" i="8" s="1"/>
  <c r="AT23" i="3"/>
  <c r="E23" i="8" s="1"/>
  <c r="AT24" i="3"/>
  <c r="E24" i="8" s="1"/>
  <c r="AT25" i="3"/>
  <c r="E25" i="8" s="1"/>
  <c r="AT26" i="3"/>
  <c r="E26" i="8" s="1"/>
  <c r="AT27" i="3"/>
  <c r="E27" i="8" s="1"/>
  <c r="AT28" i="3"/>
  <c r="E28" i="8" s="1"/>
  <c r="AT29" i="3"/>
  <c r="E29" i="8" s="1"/>
  <c r="AT30" i="3"/>
  <c r="E30" i="8" s="1"/>
  <c r="AT31" i="3"/>
  <c r="E31" i="8" s="1"/>
  <c r="AT32" i="3"/>
  <c r="E32" i="8" s="1"/>
  <c r="AT33" i="3"/>
  <c r="E33" i="8" s="1"/>
  <c r="AT34" i="3"/>
  <c r="E34" i="8" s="1"/>
  <c r="AT35" i="3"/>
  <c r="E35" i="8" s="1"/>
  <c r="AT36" i="3"/>
  <c r="E36" i="8" s="1"/>
  <c r="AT37" i="3"/>
  <c r="E37" i="8" s="1"/>
  <c r="AT38" i="3"/>
  <c r="E38" i="8" s="1"/>
  <c r="AT39" i="3"/>
  <c r="E39" i="8" s="1"/>
  <c r="AT40" i="3"/>
  <c r="E40" i="8" s="1"/>
  <c r="AT41" i="3"/>
  <c r="E41" i="8" s="1"/>
  <c r="AT42" i="3"/>
  <c r="E42" i="8" s="1"/>
  <c r="AT44" i="3"/>
  <c r="E44" i="8" s="1"/>
  <c r="AT45" i="3"/>
  <c r="E45" i="8" s="1"/>
  <c r="AT46" i="3"/>
  <c r="E46" i="8" s="1"/>
  <c r="AT47" i="3"/>
  <c r="E47" i="8" s="1"/>
  <c r="AT48" i="3"/>
  <c r="E48" i="8" s="1"/>
  <c r="AT49" i="3"/>
  <c r="E49" i="8" s="1"/>
  <c r="AT50" i="3"/>
  <c r="E50" i="8" s="1"/>
  <c r="AT51" i="3"/>
  <c r="E51" i="8" s="1"/>
  <c r="AT52" i="3"/>
  <c r="E52" i="8" s="1"/>
  <c r="AT53" i="3"/>
  <c r="E53" i="8" s="1"/>
  <c r="AT54" i="3"/>
  <c r="E54" i="8" s="1"/>
  <c r="AT55" i="3"/>
  <c r="E55" i="8" s="1"/>
  <c r="AT56" i="3"/>
  <c r="E56" i="8" s="1"/>
  <c r="AT57" i="3"/>
  <c r="E57" i="8" s="1"/>
  <c r="AT58" i="3"/>
  <c r="E58" i="8" s="1"/>
  <c r="AT59" i="3"/>
  <c r="E59" i="8" s="1"/>
  <c r="AT60" i="3"/>
  <c r="E60" i="8" s="1"/>
  <c r="AT61" i="3"/>
  <c r="E61" i="8" s="1"/>
  <c r="AT62" i="3"/>
  <c r="E62" i="8" s="1"/>
  <c r="AT63" i="3"/>
  <c r="E63" i="8" s="1"/>
  <c r="AT64" i="3"/>
  <c r="E64" i="8" s="1"/>
  <c r="AT65" i="3"/>
  <c r="E65" i="8" s="1"/>
  <c r="AT66" i="3"/>
  <c r="E66" i="8" s="1"/>
  <c r="AT67" i="3"/>
  <c r="E67" i="8" s="1"/>
  <c r="AT68" i="3"/>
  <c r="E68" i="8" s="1"/>
  <c r="AT69" i="3"/>
  <c r="E69" i="8" s="1"/>
  <c r="AT3" i="3"/>
  <c r="E3" i="8" s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1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1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OI69" i="7"/>
  <c r="OE69" i="7"/>
  <c r="OA69" i="7"/>
  <c r="NW69" i="7"/>
  <c r="NS69" i="7"/>
  <c r="NO69" i="7"/>
  <c r="NK69" i="7"/>
  <c r="NG69" i="7"/>
  <c r="NC69" i="7"/>
  <c r="MY69" i="7"/>
  <c r="MU69" i="7"/>
  <c r="MQ69" i="7"/>
  <c r="MM69" i="7"/>
  <c r="MI69" i="7"/>
  <c r="ME69" i="7"/>
  <c r="MA69" i="7"/>
  <c r="LW69" i="7"/>
  <c r="LS69" i="7"/>
  <c r="LO69" i="7"/>
  <c r="LK69" i="7"/>
  <c r="LG69" i="7"/>
  <c r="LC69" i="7"/>
  <c r="KY69" i="7"/>
  <c r="KU69" i="7"/>
  <c r="KS69" i="7"/>
  <c r="KR69" i="7"/>
  <c r="A69" i="7"/>
  <c r="OI68" i="7"/>
  <c r="OE68" i="7"/>
  <c r="OA68" i="7"/>
  <c r="NW68" i="7"/>
  <c r="NS68" i="7"/>
  <c r="NO68" i="7"/>
  <c r="NK68" i="7"/>
  <c r="NG68" i="7"/>
  <c r="NC68" i="7"/>
  <c r="MY68" i="7"/>
  <c r="MU68" i="7"/>
  <c r="MQ68" i="7"/>
  <c r="MM68" i="7"/>
  <c r="MI68" i="7"/>
  <c r="ME68" i="7"/>
  <c r="MA68" i="7"/>
  <c r="LW68" i="7"/>
  <c r="LS68" i="7"/>
  <c r="LO68" i="7"/>
  <c r="LK68" i="7"/>
  <c r="LG68" i="7"/>
  <c r="LC68" i="7"/>
  <c r="KY68" i="7"/>
  <c r="KU68" i="7"/>
  <c r="KS68" i="7"/>
  <c r="KR68" i="7"/>
  <c r="A68" i="7"/>
  <c r="OI67" i="7"/>
  <c r="OE67" i="7"/>
  <c r="OA67" i="7"/>
  <c r="NW67" i="7"/>
  <c r="NS67" i="7"/>
  <c r="NO67" i="7"/>
  <c r="NK67" i="7"/>
  <c r="NG67" i="7"/>
  <c r="NC67" i="7"/>
  <c r="MY67" i="7"/>
  <c r="MU67" i="7"/>
  <c r="MQ67" i="7"/>
  <c r="MM67" i="7"/>
  <c r="MI67" i="7"/>
  <c r="ME67" i="7"/>
  <c r="MA67" i="7"/>
  <c r="LW67" i="7"/>
  <c r="LS67" i="7"/>
  <c r="LO67" i="7"/>
  <c r="LK67" i="7"/>
  <c r="LG67" i="7"/>
  <c r="LC67" i="7"/>
  <c r="KY67" i="7"/>
  <c r="KU67" i="7"/>
  <c r="KS67" i="7"/>
  <c r="KR67" i="7"/>
  <c r="A67" i="7"/>
  <c r="OI66" i="7"/>
  <c r="OE66" i="7"/>
  <c r="OA66" i="7"/>
  <c r="NW66" i="7"/>
  <c r="NS66" i="7"/>
  <c r="NO66" i="7"/>
  <c r="NK66" i="7"/>
  <c r="NG66" i="7"/>
  <c r="NC66" i="7"/>
  <c r="MY66" i="7"/>
  <c r="MU66" i="7"/>
  <c r="MQ66" i="7"/>
  <c r="MM66" i="7"/>
  <c r="MI66" i="7"/>
  <c r="ME66" i="7"/>
  <c r="MA66" i="7"/>
  <c r="LW66" i="7"/>
  <c r="LS66" i="7"/>
  <c r="LO66" i="7"/>
  <c r="LK66" i="7"/>
  <c r="LG66" i="7"/>
  <c r="LC66" i="7"/>
  <c r="KY66" i="7"/>
  <c r="KU66" i="7"/>
  <c r="KS66" i="7"/>
  <c r="KR66" i="7"/>
  <c r="A66" i="7"/>
  <c r="OI65" i="7"/>
  <c r="OE65" i="7"/>
  <c r="OA65" i="7"/>
  <c r="NW65" i="7"/>
  <c r="NS65" i="7"/>
  <c r="NO65" i="7"/>
  <c r="NK65" i="7"/>
  <c r="NG65" i="7"/>
  <c r="NC65" i="7"/>
  <c r="MY65" i="7"/>
  <c r="MU65" i="7"/>
  <c r="MQ65" i="7"/>
  <c r="MM65" i="7"/>
  <c r="MI65" i="7"/>
  <c r="ME65" i="7"/>
  <c r="MA65" i="7"/>
  <c r="LW65" i="7"/>
  <c r="LS65" i="7"/>
  <c r="LO65" i="7"/>
  <c r="LK65" i="7"/>
  <c r="LG65" i="7"/>
  <c r="LC65" i="7"/>
  <c r="KY65" i="7"/>
  <c r="KU65" i="7"/>
  <c r="KS65" i="7"/>
  <c r="KR65" i="7"/>
  <c r="A65" i="7"/>
  <c r="OI64" i="7"/>
  <c r="OE64" i="7"/>
  <c r="OA64" i="7"/>
  <c r="NW64" i="7"/>
  <c r="NS64" i="7"/>
  <c r="NO64" i="7"/>
  <c r="NK64" i="7"/>
  <c r="NG64" i="7"/>
  <c r="NC64" i="7"/>
  <c r="MY64" i="7"/>
  <c r="MU64" i="7"/>
  <c r="MQ64" i="7"/>
  <c r="MM64" i="7"/>
  <c r="MI64" i="7"/>
  <c r="ME64" i="7"/>
  <c r="MA64" i="7"/>
  <c r="LW64" i="7"/>
  <c r="LS64" i="7"/>
  <c r="LO64" i="7"/>
  <c r="LK64" i="7"/>
  <c r="LG64" i="7"/>
  <c r="LC64" i="7"/>
  <c r="KY64" i="7"/>
  <c r="KU64" i="7"/>
  <c r="KS64" i="7"/>
  <c r="KR64" i="7"/>
  <c r="A64" i="7"/>
  <c r="OI63" i="7"/>
  <c r="OE63" i="7"/>
  <c r="OA63" i="7"/>
  <c r="NW63" i="7"/>
  <c r="NS63" i="7"/>
  <c r="NO63" i="7"/>
  <c r="NK63" i="7"/>
  <c r="NG63" i="7"/>
  <c r="NC63" i="7"/>
  <c r="MY63" i="7"/>
  <c r="MU63" i="7"/>
  <c r="MQ63" i="7"/>
  <c r="MM63" i="7"/>
  <c r="MI63" i="7"/>
  <c r="ME63" i="7"/>
  <c r="MA63" i="7"/>
  <c r="LW63" i="7"/>
  <c r="LS63" i="7"/>
  <c r="LO63" i="7"/>
  <c r="LK63" i="7"/>
  <c r="LG63" i="7"/>
  <c r="LC63" i="7"/>
  <c r="KY63" i="7"/>
  <c r="KU63" i="7"/>
  <c r="KS63" i="7"/>
  <c r="KR63" i="7"/>
  <c r="A63" i="7"/>
  <c r="OI62" i="7"/>
  <c r="OE62" i="7"/>
  <c r="OA62" i="7"/>
  <c r="NW62" i="7"/>
  <c r="NS62" i="7"/>
  <c r="NO62" i="7"/>
  <c r="NK62" i="7"/>
  <c r="NG62" i="7"/>
  <c r="NC62" i="7"/>
  <c r="MY62" i="7"/>
  <c r="MU62" i="7"/>
  <c r="MQ62" i="7"/>
  <c r="MM62" i="7"/>
  <c r="MI62" i="7"/>
  <c r="ME62" i="7"/>
  <c r="MA62" i="7"/>
  <c r="LW62" i="7"/>
  <c r="LS62" i="7"/>
  <c r="LO62" i="7"/>
  <c r="LK62" i="7"/>
  <c r="LG62" i="7"/>
  <c r="LC62" i="7"/>
  <c r="KY62" i="7"/>
  <c r="KU62" i="7"/>
  <c r="KS62" i="7"/>
  <c r="KR62" i="7"/>
  <c r="A62" i="7"/>
  <c r="OI61" i="7"/>
  <c r="OE61" i="7"/>
  <c r="OA61" i="7"/>
  <c r="NW61" i="7"/>
  <c r="NS61" i="7"/>
  <c r="NO61" i="7"/>
  <c r="NK61" i="7"/>
  <c r="NG61" i="7"/>
  <c r="NC61" i="7"/>
  <c r="MY61" i="7"/>
  <c r="MU61" i="7"/>
  <c r="MQ61" i="7"/>
  <c r="MM61" i="7"/>
  <c r="MI61" i="7"/>
  <c r="ME61" i="7"/>
  <c r="MA61" i="7"/>
  <c r="LW61" i="7"/>
  <c r="LS61" i="7"/>
  <c r="LO61" i="7"/>
  <c r="LK61" i="7"/>
  <c r="LG61" i="7"/>
  <c r="LC61" i="7"/>
  <c r="KY61" i="7"/>
  <c r="KU61" i="7"/>
  <c r="KS61" i="7"/>
  <c r="KR61" i="7"/>
  <c r="A61" i="7"/>
  <c r="OI60" i="7"/>
  <c r="OE60" i="7"/>
  <c r="OA60" i="7"/>
  <c r="NW60" i="7"/>
  <c r="NS60" i="7"/>
  <c r="NO60" i="7"/>
  <c r="NK60" i="7"/>
  <c r="NG60" i="7"/>
  <c r="NC60" i="7"/>
  <c r="MY60" i="7"/>
  <c r="MU60" i="7"/>
  <c r="MQ60" i="7"/>
  <c r="MM60" i="7"/>
  <c r="MI60" i="7"/>
  <c r="ME60" i="7"/>
  <c r="MA60" i="7"/>
  <c r="LW60" i="7"/>
  <c r="LS60" i="7"/>
  <c r="LO60" i="7"/>
  <c r="LK60" i="7"/>
  <c r="LG60" i="7"/>
  <c r="LC60" i="7"/>
  <c r="KY60" i="7"/>
  <c r="KU60" i="7"/>
  <c r="KS60" i="7"/>
  <c r="KR60" i="7"/>
  <c r="A60" i="7"/>
  <c r="OI59" i="7"/>
  <c r="OE59" i="7"/>
  <c r="OA59" i="7"/>
  <c r="NW59" i="7"/>
  <c r="NS59" i="7"/>
  <c r="NO59" i="7"/>
  <c r="NK59" i="7"/>
  <c r="NG59" i="7"/>
  <c r="NC59" i="7"/>
  <c r="MY59" i="7"/>
  <c r="MU59" i="7"/>
  <c r="MQ59" i="7"/>
  <c r="MM59" i="7"/>
  <c r="MI59" i="7"/>
  <c r="ME59" i="7"/>
  <c r="MA59" i="7"/>
  <c r="LW59" i="7"/>
  <c r="LS59" i="7"/>
  <c r="LO59" i="7"/>
  <c r="LK59" i="7"/>
  <c r="LG59" i="7"/>
  <c r="LC59" i="7"/>
  <c r="KY59" i="7"/>
  <c r="KU59" i="7"/>
  <c r="KS59" i="7"/>
  <c r="KR59" i="7"/>
  <c r="A59" i="7"/>
  <c r="OI58" i="7"/>
  <c r="OE58" i="7"/>
  <c r="OA58" i="7"/>
  <c r="NW58" i="7"/>
  <c r="NS58" i="7"/>
  <c r="NO58" i="7"/>
  <c r="NK58" i="7"/>
  <c r="NG58" i="7"/>
  <c r="NC58" i="7"/>
  <c r="MY58" i="7"/>
  <c r="MU58" i="7"/>
  <c r="MQ58" i="7"/>
  <c r="MM58" i="7"/>
  <c r="MI58" i="7"/>
  <c r="ME58" i="7"/>
  <c r="MA58" i="7"/>
  <c r="LW58" i="7"/>
  <c r="LS58" i="7"/>
  <c r="LO58" i="7"/>
  <c r="LK58" i="7"/>
  <c r="LG58" i="7"/>
  <c r="LC58" i="7"/>
  <c r="KY58" i="7"/>
  <c r="KU58" i="7"/>
  <c r="KS58" i="7"/>
  <c r="KR58" i="7"/>
  <c r="A58" i="7"/>
  <c r="OI57" i="7"/>
  <c r="OE57" i="7"/>
  <c r="OA57" i="7"/>
  <c r="NW57" i="7"/>
  <c r="NS57" i="7"/>
  <c r="NO57" i="7"/>
  <c r="NK57" i="7"/>
  <c r="NG57" i="7"/>
  <c r="NC57" i="7"/>
  <c r="MY57" i="7"/>
  <c r="MU57" i="7"/>
  <c r="MQ57" i="7"/>
  <c r="MM57" i="7"/>
  <c r="MI57" i="7"/>
  <c r="ME57" i="7"/>
  <c r="MA57" i="7"/>
  <c r="LW57" i="7"/>
  <c r="LS57" i="7"/>
  <c r="LO57" i="7"/>
  <c r="LK57" i="7"/>
  <c r="LG57" i="7"/>
  <c r="LC57" i="7"/>
  <c r="KY57" i="7"/>
  <c r="KU57" i="7"/>
  <c r="KS57" i="7"/>
  <c r="KR57" i="7"/>
  <c r="A57" i="7"/>
  <c r="OI56" i="7"/>
  <c r="OE56" i="7"/>
  <c r="OA56" i="7"/>
  <c r="NW56" i="7"/>
  <c r="NS56" i="7"/>
  <c r="NO56" i="7"/>
  <c r="NK56" i="7"/>
  <c r="NG56" i="7"/>
  <c r="NC56" i="7"/>
  <c r="MY56" i="7"/>
  <c r="MU56" i="7"/>
  <c r="MQ56" i="7"/>
  <c r="MM56" i="7"/>
  <c r="MI56" i="7"/>
  <c r="ME56" i="7"/>
  <c r="MA56" i="7"/>
  <c r="LW56" i="7"/>
  <c r="LS56" i="7"/>
  <c r="LO56" i="7"/>
  <c r="LK56" i="7"/>
  <c r="LG56" i="7"/>
  <c r="LC56" i="7"/>
  <c r="KY56" i="7"/>
  <c r="KU56" i="7"/>
  <c r="KS56" i="7"/>
  <c r="KR56" i="7"/>
  <c r="A56" i="7"/>
  <c r="OI55" i="7"/>
  <c r="OE55" i="7"/>
  <c r="OA55" i="7"/>
  <c r="NW55" i="7"/>
  <c r="NS55" i="7"/>
  <c r="NO55" i="7"/>
  <c r="NK55" i="7"/>
  <c r="NG55" i="7"/>
  <c r="NC55" i="7"/>
  <c r="MY55" i="7"/>
  <c r="MU55" i="7"/>
  <c r="MQ55" i="7"/>
  <c r="MM55" i="7"/>
  <c r="MI55" i="7"/>
  <c r="ME55" i="7"/>
  <c r="MA55" i="7"/>
  <c r="LW55" i="7"/>
  <c r="LS55" i="7"/>
  <c r="LO55" i="7"/>
  <c r="LK55" i="7"/>
  <c r="LG55" i="7"/>
  <c r="LC55" i="7"/>
  <c r="KY55" i="7"/>
  <c r="KU55" i="7"/>
  <c r="KS55" i="7"/>
  <c r="KR55" i="7"/>
  <c r="A55" i="7"/>
  <c r="OI54" i="7"/>
  <c r="OE54" i="7"/>
  <c r="OA54" i="7"/>
  <c r="NW54" i="7"/>
  <c r="NS54" i="7"/>
  <c r="NO54" i="7"/>
  <c r="NK54" i="7"/>
  <c r="NG54" i="7"/>
  <c r="NC54" i="7"/>
  <c r="MY54" i="7"/>
  <c r="MU54" i="7"/>
  <c r="MQ54" i="7"/>
  <c r="MM54" i="7"/>
  <c r="MI54" i="7"/>
  <c r="ME54" i="7"/>
  <c r="MA54" i="7"/>
  <c r="LW54" i="7"/>
  <c r="LS54" i="7"/>
  <c r="LO54" i="7"/>
  <c r="LK54" i="7"/>
  <c r="LG54" i="7"/>
  <c r="LC54" i="7"/>
  <c r="KY54" i="7"/>
  <c r="KU54" i="7"/>
  <c r="KS54" i="7"/>
  <c r="KR54" i="7"/>
  <c r="A54" i="7"/>
  <c r="OI53" i="7"/>
  <c r="OE53" i="7"/>
  <c r="OA53" i="7"/>
  <c r="NW53" i="7"/>
  <c r="NS53" i="7"/>
  <c r="NO53" i="7"/>
  <c r="NK53" i="7"/>
  <c r="NG53" i="7"/>
  <c r="NC53" i="7"/>
  <c r="MY53" i="7"/>
  <c r="MU53" i="7"/>
  <c r="MQ53" i="7"/>
  <c r="MM53" i="7"/>
  <c r="MI53" i="7"/>
  <c r="ME53" i="7"/>
  <c r="MA53" i="7"/>
  <c r="LW53" i="7"/>
  <c r="LS53" i="7"/>
  <c r="LO53" i="7"/>
  <c r="LK53" i="7"/>
  <c r="LG53" i="7"/>
  <c r="LC53" i="7"/>
  <c r="KY53" i="7"/>
  <c r="KU53" i="7"/>
  <c r="KS53" i="7"/>
  <c r="KR53" i="7"/>
  <c r="A53" i="7"/>
  <c r="OI52" i="7"/>
  <c r="OE52" i="7"/>
  <c r="OA52" i="7"/>
  <c r="NW52" i="7"/>
  <c r="NS52" i="7"/>
  <c r="NO52" i="7"/>
  <c r="NK52" i="7"/>
  <c r="NG52" i="7"/>
  <c r="NC52" i="7"/>
  <c r="MY52" i="7"/>
  <c r="MU52" i="7"/>
  <c r="MQ52" i="7"/>
  <c r="MM52" i="7"/>
  <c r="MI52" i="7"/>
  <c r="ME52" i="7"/>
  <c r="MA52" i="7"/>
  <c r="LW52" i="7"/>
  <c r="LS52" i="7"/>
  <c r="LO52" i="7"/>
  <c r="LK52" i="7"/>
  <c r="LG52" i="7"/>
  <c r="LC52" i="7"/>
  <c r="KY52" i="7"/>
  <c r="KU52" i="7"/>
  <c r="KS52" i="7"/>
  <c r="KR52" i="7"/>
  <c r="A52" i="7"/>
  <c r="OI51" i="7"/>
  <c r="OE51" i="7"/>
  <c r="OA51" i="7"/>
  <c r="NW51" i="7"/>
  <c r="NS51" i="7"/>
  <c r="NO51" i="7"/>
  <c r="NK51" i="7"/>
  <c r="NG51" i="7"/>
  <c r="NC51" i="7"/>
  <c r="MY51" i="7"/>
  <c r="MU51" i="7"/>
  <c r="MQ51" i="7"/>
  <c r="MM51" i="7"/>
  <c r="MI51" i="7"/>
  <c r="ME51" i="7"/>
  <c r="MA51" i="7"/>
  <c r="LW51" i="7"/>
  <c r="LS51" i="7"/>
  <c r="LO51" i="7"/>
  <c r="LK51" i="7"/>
  <c r="LG51" i="7"/>
  <c r="LC51" i="7"/>
  <c r="KY51" i="7"/>
  <c r="KU51" i="7"/>
  <c r="KS51" i="7"/>
  <c r="KR51" i="7"/>
  <c r="A51" i="7"/>
  <c r="OI50" i="7"/>
  <c r="OE50" i="7"/>
  <c r="OA50" i="7"/>
  <c r="NW50" i="7"/>
  <c r="NS50" i="7"/>
  <c r="NO50" i="7"/>
  <c r="NK50" i="7"/>
  <c r="NG50" i="7"/>
  <c r="NC50" i="7"/>
  <c r="MY50" i="7"/>
  <c r="MU50" i="7"/>
  <c r="MQ50" i="7"/>
  <c r="MM50" i="7"/>
  <c r="MI50" i="7"/>
  <c r="ME50" i="7"/>
  <c r="MA50" i="7"/>
  <c r="LW50" i="7"/>
  <c r="LS50" i="7"/>
  <c r="LO50" i="7"/>
  <c r="LK50" i="7"/>
  <c r="LG50" i="7"/>
  <c r="LC50" i="7"/>
  <c r="KY50" i="7"/>
  <c r="KU50" i="7"/>
  <c r="KS50" i="7"/>
  <c r="KR50" i="7"/>
  <c r="A50" i="7"/>
  <c r="OI49" i="7"/>
  <c r="OE49" i="7"/>
  <c r="OA49" i="7"/>
  <c r="NW49" i="7"/>
  <c r="NS49" i="7"/>
  <c r="NO49" i="7"/>
  <c r="NK49" i="7"/>
  <c r="NG49" i="7"/>
  <c r="NC49" i="7"/>
  <c r="MY49" i="7"/>
  <c r="MU49" i="7"/>
  <c r="MQ49" i="7"/>
  <c r="MM49" i="7"/>
  <c r="MI49" i="7"/>
  <c r="ME49" i="7"/>
  <c r="MA49" i="7"/>
  <c r="LW49" i="7"/>
  <c r="LS49" i="7"/>
  <c r="LO49" i="7"/>
  <c r="LK49" i="7"/>
  <c r="LG49" i="7"/>
  <c r="LC49" i="7"/>
  <c r="KY49" i="7"/>
  <c r="KU49" i="7"/>
  <c r="KS49" i="7"/>
  <c r="KR49" i="7"/>
  <c r="A49" i="7"/>
  <c r="OI48" i="7"/>
  <c r="OE48" i="7"/>
  <c r="OA48" i="7"/>
  <c r="NW48" i="7"/>
  <c r="NS48" i="7"/>
  <c r="NO48" i="7"/>
  <c r="NK48" i="7"/>
  <c r="NG48" i="7"/>
  <c r="NC48" i="7"/>
  <c r="MY48" i="7"/>
  <c r="MU48" i="7"/>
  <c r="MQ48" i="7"/>
  <c r="MM48" i="7"/>
  <c r="MI48" i="7"/>
  <c r="ME48" i="7"/>
  <c r="MA48" i="7"/>
  <c r="LW48" i="7"/>
  <c r="LS48" i="7"/>
  <c r="LO48" i="7"/>
  <c r="LK48" i="7"/>
  <c r="LG48" i="7"/>
  <c r="LC48" i="7"/>
  <c r="KY48" i="7"/>
  <c r="KU48" i="7"/>
  <c r="KS48" i="7"/>
  <c r="KR48" i="7"/>
  <c r="A48" i="7"/>
  <c r="OI47" i="7"/>
  <c r="OE47" i="7"/>
  <c r="OA47" i="7"/>
  <c r="NW47" i="7"/>
  <c r="NS47" i="7"/>
  <c r="NO47" i="7"/>
  <c r="NK47" i="7"/>
  <c r="NG47" i="7"/>
  <c r="NC47" i="7"/>
  <c r="MY47" i="7"/>
  <c r="MU47" i="7"/>
  <c r="MQ47" i="7"/>
  <c r="MM47" i="7"/>
  <c r="MI47" i="7"/>
  <c r="ME47" i="7"/>
  <c r="MA47" i="7"/>
  <c r="LW47" i="7"/>
  <c r="LS47" i="7"/>
  <c r="LO47" i="7"/>
  <c r="LK47" i="7"/>
  <c r="LG47" i="7"/>
  <c r="LC47" i="7"/>
  <c r="KY47" i="7"/>
  <c r="KU47" i="7"/>
  <c r="KS47" i="7"/>
  <c r="KR47" i="7"/>
  <c r="A47" i="7"/>
  <c r="OI46" i="7"/>
  <c r="OE46" i="7"/>
  <c r="OA46" i="7"/>
  <c r="NW46" i="7"/>
  <c r="NS46" i="7"/>
  <c r="NO46" i="7"/>
  <c r="NK46" i="7"/>
  <c r="NG46" i="7"/>
  <c r="NC46" i="7"/>
  <c r="MY46" i="7"/>
  <c r="MU46" i="7"/>
  <c r="MQ46" i="7"/>
  <c r="MM46" i="7"/>
  <c r="MI46" i="7"/>
  <c r="ME46" i="7"/>
  <c r="MA46" i="7"/>
  <c r="LW46" i="7"/>
  <c r="LS46" i="7"/>
  <c r="LO46" i="7"/>
  <c r="LK46" i="7"/>
  <c r="LG46" i="7"/>
  <c r="LC46" i="7"/>
  <c r="KY46" i="7"/>
  <c r="KU46" i="7"/>
  <c r="KS46" i="7"/>
  <c r="KR46" i="7"/>
  <c r="A46" i="7"/>
  <c r="OI45" i="7"/>
  <c r="OE45" i="7"/>
  <c r="OA45" i="7"/>
  <c r="NW45" i="7"/>
  <c r="NS45" i="7"/>
  <c r="NO45" i="7"/>
  <c r="NK45" i="7"/>
  <c r="NG45" i="7"/>
  <c r="NC45" i="7"/>
  <c r="MY45" i="7"/>
  <c r="MU45" i="7"/>
  <c r="MQ45" i="7"/>
  <c r="MM45" i="7"/>
  <c r="MI45" i="7"/>
  <c r="ME45" i="7"/>
  <c r="MA45" i="7"/>
  <c r="LW45" i="7"/>
  <c r="LS45" i="7"/>
  <c r="LO45" i="7"/>
  <c r="LK45" i="7"/>
  <c r="LG45" i="7"/>
  <c r="LC45" i="7"/>
  <c r="KY45" i="7"/>
  <c r="KU45" i="7"/>
  <c r="KS45" i="7"/>
  <c r="KR45" i="7"/>
  <c r="A45" i="7"/>
  <c r="OI44" i="7"/>
  <c r="OE44" i="7"/>
  <c r="OA44" i="7"/>
  <c r="NW44" i="7"/>
  <c r="NS44" i="7"/>
  <c r="NO44" i="7"/>
  <c r="NK44" i="7"/>
  <c r="NG44" i="7"/>
  <c r="NC44" i="7"/>
  <c r="MY44" i="7"/>
  <c r="MU44" i="7"/>
  <c r="MQ44" i="7"/>
  <c r="MM44" i="7"/>
  <c r="MI44" i="7"/>
  <c r="ME44" i="7"/>
  <c r="MA44" i="7"/>
  <c r="LW44" i="7"/>
  <c r="LS44" i="7"/>
  <c r="LO44" i="7"/>
  <c r="LK44" i="7"/>
  <c r="LG44" i="7"/>
  <c r="LC44" i="7"/>
  <c r="KY44" i="7"/>
  <c r="KU44" i="7"/>
  <c r="OI43" i="7"/>
  <c r="OE43" i="7"/>
  <c r="OA43" i="7"/>
  <c r="NW43" i="7"/>
  <c r="NS43" i="7"/>
  <c r="NO43" i="7"/>
  <c r="NK43" i="7"/>
  <c r="NG43" i="7"/>
  <c r="NC43" i="7"/>
  <c r="MY43" i="7"/>
  <c r="MU43" i="7"/>
  <c r="MQ43" i="7"/>
  <c r="MM43" i="7"/>
  <c r="MI43" i="7"/>
  <c r="ME43" i="7"/>
  <c r="MA43" i="7"/>
  <c r="LW43" i="7"/>
  <c r="LS43" i="7"/>
  <c r="LO43" i="7"/>
  <c r="LK43" i="7"/>
  <c r="LG43" i="7"/>
  <c r="LC43" i="7"/>
  <c r="KY43" i="7"/>
  <c r="KU43" i="7"/>
  <c r="A43" i="7"/>
  <c r="OI42" i="7"/>
  <c r="OE42" i="7"/>
  <c r="OA42" i="7"/>
  <c r="NW42" i="7"/>
  <c r="NS42" i="7"/>
  <c r="NO42" i="7"/>
  <c r="NK42" i="7"/>
  <c r="NG42" i="7"/>
  <c r="NC42" i="7"/>
  <c r="MY42" i="7"/>
  <c r="MU42" i="7"/>
  <c r="MQ42" i="7"/>
  <c r="MM42" i="7"/>
  <c r="MI42" i="7"/>
  <c r="ME42" i="7"/>
  <c r="MA42" i="7"/>
  <c r="LW42" i="7"/>
  <c r="LS42" i="7"/>
  <c r="LO42" i="7"/>
  <c r="LK42" i="7"/>
  <c r="LG42" i="7"/>
  <c r="LC42" i="7"/>
  <c r="KY42" i="7"/>
  <c r="KU42" i="7"/>
  <c r="KR42" i="7"/>
  <c r="A42" i="7"/>
  <c r="OI41" i="7"/>
  <c r="OE41" i="7"/>
  <c r="OA41" i="7"/>
  <c r="NW41" i="7"/>
  <c r="NS41" i="7"/>
  <c r="NO41" i="7"/>
  <c r="NK41" i="7"/>
  <c r="NG41" i="7"/>
  <c r="NC41" i="7"/>
  <c r="MY41" i="7"/>
  <c r="MU41" i="7"/>
  <c r="MQ41" i="7"/>
  <c r="MM41" i="7"/>
  <c r="MI41" i="7"/>
  <c r="ME41" i="7"/>
  <c r="MA41" i="7"/>
  <c r="LW41" i="7"/>
  <c r="LS41" i="7"/>
  <c r="LO41" i="7"/>
  <c r="LK41" i="7"/>
  <c r="LG41" i="7"/>
  <c r="LC41" i="7"/>
  <c r="KY41" i="7"/>
  <c r="KU41" i="7"/>
  <c r="KS41" i="7"/>
  <c r="KR41" i="7"/>
  <c r="A41" i="7"/>
  <c r="OI40" i="7"/>
  <c r="OE40" i="7"/>
  <c r="OA40" i="7"/>
  <c r="NW40" i="7"/>
  <c r="NS40" i="7"/>
  <c r="NO40" i="7"/>
  <c r="NK40" i="7"/>
  <c r="NG40" i="7"/>
  <c r="NC40" i="7"/>
  <c r="MY40" i="7"/>
  <c r="MU40" i="7"/>
  <c r="MQ40" i="7"/>
  <c r="MM40" i="7"/>
  <c r="MI40" i="7"/>
  <c r="ME40" i="7"/>
  <c r="MA40" i="7"/>
  <c r="LW40" i="7"/>
  <c r="LS40" i="7"/>
  <c r="LO40" i="7"/>
  <c r="LK40" i="7"/>
  <c r="LG40" i="7"/>
  <c r="LC40" i="7"/>
  <c r="KY40" i="7"/>
  <c r="KU40" i="7"/>
  <c r="KS40" i="7"/>
  <c r="KR40" i="7"/>
  <c r="A40" i="7"/>
  <c r="OI39" i="7"/>
  <c r="OE39" i="7"/>
  <c r="OA39" i="7"/>
  <c r="NW39" i="7"/>
  <c r="NS39" i="7"/>
  <c r="NO39" i="7"/>
  <c r="NK39" i="7"/>
  <c r="NG39" i="7"/>
  <c r="NC39" i="7"/>
  <c r="MY39" i="7"/>
  <c r="MU39" i="7"/>
  <c r="MQ39" i="7"/>
  <c r="MM39" i="7"/>
  <c r="MI39" i="7"/>
  <c r="ME39" i="7"/>
  <c r="MA39" i="7"/>
  <c r="LW39" i="7"/>
  <c r="LS39" i="7"/>
  <c r="LO39" i="7"/>
  <c r="LK39" i="7"/>
  <c r="LG39" i="7"/>
  <c r="LC39" i="7"/>
  <c r="KY39" i="7"/>
  <c r="KU39" i="7"/>
  <c r="KS39" i="7"/>
  <c r="KR39" i="7"/>
  <c r="A39" i="7"/>
  <c r="OI38" i="7"/>
  <c r="OE38" i="7"/>
  <c r="OA38" i="7"/>
  <c r="NW38" i="7"/>
  <c r="NS38" i="7"/>
  <c r="NO38" i="7"/>
  <c r="NK38" i="7"/>
  <c r="NG38" i="7"/>
  <c r="NC38" i="7"/>
  <c r="MY38" i="7"/>
  <c r="MU38" i="7"/>
  <c r="MQ38" i="7"/>
  <c r="MM38" i="7"/>
  <c r="MI38" i="7"/>
  <c r="ME38" i="7"/>
  <c r="MA38" i="7"/>
  <c r="LW38" i="7"/>
  <c r="LS38" i="7"/>
  <c r="LO38" i="7"/>
  <c r="LK38" i="7"/>
  <c r="LG38" i="7"/>
  <c r="LC38" i="7"/>
  <c r="KY38" i="7"/>
  <c r="KU38" i="7"/>
  <c r="KS38" i="7"/>
  <c r="KR38" i="7"/>
  <c r="A38" i="7"/>
  <c r="OI37" i="7"/>
  <c r="OE37" i="7"/>
  <c r="OA37" i="7"/>
  <c r="NW37" i="7"/>
  <c r="NS37" i="7"/>
  <c r="NO37" i="7"/>
  <c r="NK37" i="7"/>
  <c r="NG37" i="7"/>
  <c r="NC37" i="7"/>
  <c r="MY37" i="7"/>
  <c r="MU37" i="7"/>
  <c r="MQ37" i="7"/>
  <c r="MM37" i="7"/>
  <c r="MI37" i="7"/>
  <c r="ME37" i="7"/>
  <c r="MA37" i="7"/>
  <c r="LW37" i="7"/>
  <c r="LS37" i="7"/>
  <c r="LO37" i="7"/>
  <c r="LK37" i="7"/>
  <c r="LG37" i="7"/>
  <c r="LC37" i="7"/>
  <c r="KY37" i="7"/>
  <c r="KU37" i="7"/>
  <c r="KS37" i="7"/>
  <c r="KR37" i="7"/>
  <c r="A37" i="7"/>
  <c r="OI36" i="7"/>
  <c r="OE36" i="7"/>
  <c r="OA36" i="7"/>
  <c r="NW36" i="7"/>
  <c r="NS36" i="7"/>
  <c r="NO36" i="7"/>
  <c r="NK36" i="7"/>
  <c r="NG36" i="7"/>
  <c r="NC36" i="7"/>
  <c r="MY36" i="7"/>
  <c r="MU36" i="7"/>
  <c r="MQ36" i="7"/>
  <c r="MM36" i="7"/>
  <c r="MI36" i="7"/>
  <c r="ME36" i="7"/>
  <c r="MA36" i="7"/>
  <c r="LW36" i="7"/>
  <c r="LS36" i="7"/>
  <c r="LO36" i="7"/>
  <c r="LK36" i="7"/>
  <c r="LG36" i="7"/>
  <c r="LC36" i="7"/>
  <c r="KY36" i="7"/>
  <c r="KU36" i="7"/>
  <c r="KS36" i="7"/>
  <c r="KR36" i="7"/>
  <c r="A36" i="7"/>
  <c r="OI35" i="7"/>
  <c r="OE35" i="7"/>
  <c r="OA35" i="7"/>
  <c r="NW35" i="7"/>
  <c r="NS35" i="7"/>
  <c r="NO35" i="7"/>
  <c r="NK35" i="7"/>
  <c r="NG35" i="7"/>
  <c r="NC35" i="7"/>
  <c r="MY35" i="7"/>
  <c r="MU35" i="7"/>
  <c r="MQ35" i="7"/>
  <c r="MM35" i="7"/>
  <c r="MI35" i="7"/>
  <c r="ME35" i="7"/>
  <c r="MA35" i="7"/>
  <c r="LW35" i="7"/>
  <c r="LS35" i="7"/>
  <c r="LO35" i="7"/>
  <c r="LK35" i="7"/>
  <c r="LG35" i="7"/>
  <c r="LC35" i="7"/>
  <c r="KY35" i="7"/>
  <c r="KU35" i="7"/>
  <c r="KS35" i="7"/>
  <c r="KR35" i="7"/>
  <c r="A35" i="7"/>
  <c r="OI34" i="7"/>
  <c r="OE34" i="7"/>
  <c r="OA34" i="7"/>
  <c r="NW34" i="7"/>
  <c r="NS34" i="7"/>
  <c r="NO34" i="7"/>
  <c r="NK34" i="7"/>
  <c r="NG34" i="7"/>
  <c r="NC34" i="7"/>
  <c r="MY34" i="7"/>
  <c r="MU34" i="7"/>
  <c r="MQ34" i="7"/>
  <c r="MM34" i="7"/>
  <c r="MI34" i="7"/>
  <c r="ME34" i="7"/>
  <c r="MA34" i="7"/>
  <c r="LW34" i="7"/>
  <c r="LS34" i="7"/>
  <c r="LO34" i="7"/>
  <c r="LK34" i="7"/>
  <c r="LG34" i="7"/>
  <c r="LC34" i="7"/>
  <c r="KY34" i="7"/>
  <c r="KU34" i="7"/>
  <c r="KS34" i="7"/>
  <c r="KR34" i="7"/>
  <c r="A34" i="7"/>
  <c r="OI33" i="7"/>
  <c r="OE33" i="7"/>
  <c r="OA33" i="7"/>
  <c r="NW33" i="7"/>
  <c r="NS33" i="7"/>
  <c r="NO33" i="7"/>
  <c r="NK33" i="7"/>
  <c r="NG33" i="7"/>
  <c r="NC33" i="7"/>
  <c r="MY33" i="7"/>
  <c r="MU33" i="7"/>
  <c r="MQ33" i="7"/>
  <c r="MM33" i="7"/>
  <c r="MI33" i="7"/>
  <c r="ME33" i="7"/>
  <c r="MA33" i="7"/>
  <c r="LW33" i="7"/>
  <c r="LS33" i="7"/>
  <c r="LO33" i="7"/>
  <c r="LK33" i="7"/>
  <c r="LG33" i="7"/>
  <c r="LC33" i="7"/>
  <c r="KY33" i="7"/>
  <c r="KU33" i="7"/>
  <c r="KS33" i="7"/>
  <c r="KR33" i="7"/>
  <c r="A33" i="7"/>
  <c r="OI32" i="7"/>
  <c r="OE32" i="7"/>
  <c r="OA32" i="7"/>
  <c r="NW32" i="7"/>
  <c r="NS32" i="7"/>
  <c r="NO32" i="7"/>
  <c r="NK32" i="7"/>
  <c r="NG32" i="7"/>
  <c r="NC32" i="7"/>
  <c r="MY32" i="7"/>
  <c r="MU32" i="7"/>
  <c r="MQ32" i="7"/>
  <c r="MM32" i="7"/>
  <c r="MI32" i="7"/>
  <c r="ME32" i="7"/>
  <c r="MA32" i="7"/>
  <c r="LW32" i="7"/>
  <c r="LS32" i="7"/>
  <c r="LO32" i="7"/>
  <c r="LK32" i="7"/>
  <c r="LG32" i="7"/>
  <c r="LC32" i="7"/>
  <c r="KY32" i="7"/>
  <c r="KU32" i="7"/>
  <c r="KS32" i="7"/>
  <c r="KR32" i="7"/>
  <c r="A32" i="7"/>
  <c r="OI31" i="7"/>
  <c r="OE31" i="7"/>
  <c r="OA31" i="7"/>
  <c r="NW31" i="7"/>
  <c r="NS31" i="7"/>
  <c r="NO31" i="7"/>
  <c r="NK31" i="7"/>
  <c r="NG31" i="7"/>
  <c r="NC31" i="7"/>
  <c r="MY31" i="7"/>
  <c r="MU31" i="7"/>
  <c r="MQ31" i="7"/>
  <c r="MM31" i="7"/>
  <c r="MI31" i="7"/>
  <c r="ME31" i="7"/>
  <c r="MA31" i="7"/>
  <c r="LW31" i="7"/>
  <c r="LS31" i="7"/>
  <c r="LO31" i="7"/>
  <c r="LK31" i="7"/>
  <c r="LG31" i="7"/>
  <c r="LC31" i="7"/>
  <c r="KY31" i="7"/>
  <c r="KU31" i="7"/>
  <c r="KS31" i="7"/>
  <c r="KR31" i="7"/>
  <c r="A31" i="7"/>
  <c r="OI30" i="7"/>
  <c r="OE30" i="7"/>
  <c r="OA30" i="7"/>
  <c r="NW30" i="7"/>
  <c r="NS30" i="7"/>
  <c r="NO30" i="7"/>
  <c r="NK30" i="7"/>
  <c r="NG30" i="7"/>
  <c r="NC30" i="7"/>
  <c r="MY30" i="7"/>
  <c r="MU30" i="7"/>
  <c r="MQ30" i="7"/>
  <c r="MM30" i="7"/>
  <c r="MI30" i="7"/>
  <c r="ME30" i="7"/>
  <c r="MA30" i="7"/>
  <c r="LW30" i="7"/>
  <c r="LS30" i="7"/>
  <c r="LO30" i="7"/>
  <c r="LK30" i="7"/>
  <c r="LG30" i="7"/>
  <c r="LC30" i="7"/>
  <c r="KY30" i="7"/>
  <c r="KU30" i="7"/>
  <c r="KS30" i="7"/>
  <c r="KR30" i="7"/>
  <c r="A30" i="7"/>
  <c r="OI29" i="7"/>
  <c r="OE29" i="7"/>
  <c r="OA29" i="7"/>
  <c r="NW29" i="7"/>
  <c r="NS29" i="7"/>
  <c r="NO29" i="7"/>
  <c r="NK29" i="7"/>
  <c r="NG29" i="7"/>
  <c r="NC29" i="7"/>
  <c r="MY29" i="7"/>
  <c r="MU29" i="7"/>
  <c r="MQ29" i="7"/>
  <c r="MM29" i="7"/>
  <c r="MI29" i="7"/>
  <c r="ME29" i="7"/>
  <c r="MA29" i="7"/>
  <c r="LW29" i="7"/>
  <c r="LS29" i="7"/>
  <c r="LO29" i="7"/>
  <c r="LK29" i="7"/>
  <c r="LG29" i="7"/>
  <c r="LC29" i="7"/>
  <c r="KY29" i="7"/>
  <c r="KU29" i="7"/>
  <c r="KS29" i="7"/>
  <c r="KR29" i="7"/>
  <c r="A29" i="7"/>
  <c r="OI28" i="7"/>
  <c r="OE28" i="7"/>
  <c r="OA28" i="7"/>
  <c r="NW28" i="7"/>
  <c r="NS28" i="7"/>
  <c r="NO28" i="7"/>
  <c r="NK28" i="7"/>
  <c r="NG28" i="7"/>
  <c r="NC28" i="7"/>
  <c r="MY28" i="7"/>
  <c r="MU28" i="7"/>
  <c r="MQ28" i="7"/>
  <c r="MM28" i="7"/>
  <c r="MI28" i="7"/>
  <c r="ME28" i="7"/>
  <c r="MA28" i="7"/>
  <c r="LW28" i="7"/>
  <c r="LS28" i="7"/>
  <c r="LO28" i="7"/>
  <c r="LK28" i="7"/>
  <c r="LG28" i="7"/>
  <c r="LC28" i="7"/>
  <c r="KY28" i="7"/>
  <c r="KU28" i="7"/>
  <c r="KS28" i="7"/>
  <c r="KR28" i="7"/>
  <c r="A28" i="7"/>
  <c r="OI27" i="7"/>
  <c r="OE27" i="7"/>
  <c r="OA27" i="7"/>
  <c r="NW27" i="7"/>
  <c r="NS27" i="7"/>
  <c r="NO27" i="7"/>
  <c r="NK27" i="7"/>
  <c r="NG27" i="7"/>
  <c r="NC27" i="7"/>
  <c r="MY27" i="7"/>
  <c r="MU27" i="7"/>
  <c r="MQ27" i="7"/>
  <c r="MM27" i="7"/>
  <c r="MI27" i="7"/>
  <c r="ME27" i="7"/>
  <c r="MA27" i="7"/>
  <c r="LW27" i="7"/>
  <c r="LS27" i="7"/>
  <c r="LO27" i="7"/>
  <c r="LK27" i="7"/>
  <c r="LG27" i="7"/>
  <c r="LC27" i="7"/>
  <c r="KY27" i="7"/>
  <c r="KU27" i="7"/>
  <c r="KS27" i="7"/>
  <c r="KR27" i="7"/>
  <c r="A27" i="7"/>
  <c r="OI26" i="7"/>
  <c r="OE26" i="7"/>
  <c r="OA26" i="7"/>
  <c r="NW26" i="7"/>
  <c r="NS26" i="7"/>
  <c r="NO26" i="7"/>
  <c r="NK26" i="7"/>
  <c r="NG26" i="7"/>
  <c r="NC26" i="7"/>
  <c r="MY26" i="7"/>
  <c r="MU26" i="7"/>
  <c r="MQ26" i="7"/>
  <c r="MM26" i="7"/>
  <c r="MI26" i="7"/>
  <c r="ME26" i="7"/>
  <c r="MA26" i="7"/>
  <c r="LW26" i="7"/>
  <c r="LS26" i="7"/>
  <c r="LO26" i="7"/>
  <c r="LK26" i="7"/>
  <c r="LG26" i="7"/>
  <c r="LC26" i="7"/>
  <c r="KY26" i="7"/>
  <c r="KU26" i="7"/>
  <c r="KS26" i="7"/>
  <c r="KR26" i="7"/>
  <c r="A26" i="7"/>
  <c r="OI25" i="7"/>
  <c r="OE25" i="7"/>
  <c r="OA25" i="7"/>
  <c r="NW25" i="7"/>
  <c r="NS25" i="7"/>
  <c r="NO25" i="7"/>
  <c r="NK25" i="7"/>
  <c r="NG25" i="7"/>
  <c r="NC25" i="7"/>
  <c r="MY25" i="7"/>
  <c r="MU25" i="7"/>
  <c r="MQ25" i="7"/>
  <c r="MM25" i="7"/>
  <c r="MI25" i="7"/>
  <c r="ME25" i="7"/>
  <c r="MA25" i="7"/>
  <c r="LW25" i="7"/>
  <c r="LS25" i="7"/>
  <c r="LO25" i="7"/>
  <c r="LK25" i="7"/>
  <c r="LG25" i="7"/>
  <c r="LC25" i="7"/>
  <c r="KY25" i="7"/>
  <c r="KU25" i="7"/>
  <c r="KS25" i="7"/>
  <c r="KR25" i="7"/>
  <c r="A25" i="7"/>
  <c r="OI24" i="7"/>
  <c r="OE24" i="7"/>
  <c r="OA24" i="7"/>
  <c r="NW24" i="7"/>
  <c r="NS24" i="7"/>
  <c r="NO24" i="7"/>
  <c r="NK24" i="7"/>
  <c r="NG24" i="7"/>
  <c r="NC24" i="7"/>
  <c r="MY24" i="7"/>
  <c r="MU24" i="7"/>
  <c r="MQ24" i="7"/>
  <c r="MM24" i="7"/>
  <c r="MI24" i="7"/>
  <c r="ME24" i="7"/>
  <c r="MA24" i="7"/>
  <c r="LW24" i="7"/>
  <c r="LS24" i="7"/>
  <c r="LO24" i="7"/>
  <c r="LK24" i="7"/>
  <c r="LG24" i="7"/>
  <c r="LC24" i="7"/>
  <c r="KY24" i="7"/>
  <c r="KU24" i="7"/>
  <c r="KS24" i="7"/>
  <c r="KR24" i="7"/>
  <c r="A24" i="7"/>
  <c r="OI23" i="7"/>
  <c r="OE23" i="7"/>
  <c r="OA23" i="7"/>
  <c r="NW23" i="7"/>
  <c r="NS23" i="7"/>
  <c r="NO23" i="7"/>
  <c r="NK23" i="7"/>
  <c r="NG23" i="7"/>
  <c r="NC23" i="7"/>
  <c r="MY23" i="7"/>
  <c r="MU23" i="7"/>
  <c r="MQ23" i="7"/>
  <c r="MM23" i="7"/>
  <c r="MI23" i="7"/>
  <c r="ME23" i="7"/>
  <c r="MA23" i="7"/>
  <c r="LW23" i="7"/>
  <c r="LS23" i="7"/>
  <c r="LO23" i="7"/>
  <c r="LK23" i="7"/>
  <c r="LG23" i="7"/>
  <c r="LC23" i="7"/>
  <c r="KY23" i="7"/>
  <c r="KU23" i="7"/>
  <c r="KS23" i="7"/>
  <c r="KR23" i="7"/>
  <c r="A23" i="7"/>
  <c r="OI22" i="7"/>
  <c r="OE22" i="7"/>
  <c r="OA22" i="7"/>
  <c r="NW22" i="7"/>
  <c r="NS22" i="7"/>
  <c r="NO22" i="7"/>
  <c r="NK22" i="7"/>
  <c r="NG22" i="7"/>
  <c r="NC22" i="7"/>
  <c r="MY22" i="7"/>
  <c r="MU22" i="7"/>
  <c r="MQ22" i="7"/>
  <c r="MM22" i="7"/>
  <c r="MI22" i="7"/>
  <c r="ME22" i="7"/>
  <c r="MA22" i="7"/>
  <c r="LW22" i="7"/>
  <c r="LS22" i="7"/>
  <c r="LO22" i="7"/>
  <c r="LK22" i="7"/>
  <c r="LG22" i="7"/>
  <c r="LC22" i="7"/>
  <c r="KY22" i="7"/>
  <c r="KU22" i="7"/>
  <c r="KS22" i="7"/>
  <c r="KR22" i="7"/>
  <c r="A22" i="7"/>
  <c r="OI21" i="7"/>
  <c r="OE21" i="7"/>
  <c r="OA21" i="7"/>
  <c r="NW21" i="7"/>
  <c r="NS21" i="7"/>
  <c r="NO21" i="7"/>
  <c r="NK21" i="7"/>
  <c r="NG21" i="7"/>
  <c r="NC21" i="7"/>
  <c r="MY21" i="7"/>
  <c r="MU21" i="7"/>
  <c r="MQ21" i="7"/>
  <c r="MM21" i="7"/>
  <c r="MI21" i="7"/>
  <c r="ME21" i="7"/>
  <c r="MA21" i="7"/>
  <c r="LW21" i="7"/>
  <c r="LS21" i="7"/>
  <c r="LO21" i="7"/>
  <c r="LK21" i="7"/>
  <c r="LG21" i="7"/>
  <c r="LC21" i="7"/>
  <c r="KY21" i="7"/>
  <c r="KU21" i="7"/>
  <c r="KS21" i="7"/>
  <c r="KR21" i="7"/>
  <c r="A21" i="7"/>
  <c r="OI20" i="7"/>
  <c r="OE20" i="7"/>
  <c r="OA20" i="7"/>
  <c r="NW20" i="7"/>
  <c r="NS20" i="7"/>
  <c r="NO20" i="7"/>
  <c r="NK20" i="7"/>
  <c r="NG20" i="7"/>
  <c r="NC20" i="7"/>
  <c r="MY20" i="7"/>
  <c r="MU20" i="7"/>
  <c r="MQ20" i="7"/>
  <c r="MM20" i="7"/>
  <c r="MI20" i="7"/>
  <c r="ME20" i="7"/>
  <c r="MA20" i="7"/>
  <c r="LW20" i="7"/>
  <c r="LS20" i="7"/>
  <c r="LO20" i="7"/>
  <c r="LK20" i="7"/>
  <c r="LG20" i="7"/>
  <c r="LC20" i="7"/>
  <c r="KY20" i="7"/>
  <c r="KU20" i="7"/>
  <c r="KS20" i="7"/>
  <c r="KR20" i="7"/>
  <c r="A20" i="7"/>
  <c r="OI19" i="7"/>
  <c r="OE19" i="7"/>
  <c r="OA19" i="7"/>
  <c r="NW19" i="7"/>
  <c r="NS19" i="7"/>
  <c r="NO19" i="7"/>
  <c r="NK19" i="7"/>
  <c r="NG19" i="7"/>
  <c r="NC19" i="7"/>
  <c r="MY19" i="7"/>
  <c r="MU19" i="7"/>
  <c r="MQ19" i="7"/>
  <c r="MM19" i="7"/>
  <c r="MI19" i="7"/>
  <c r="ME19" i="7"/>
  <c r="MA19" i="7"/>
  <c r="LW19" i="7"/>
  <c r="LS19" i="7"/>
  <c r="LO19" i="7"/>
  <c r="LK19" i="7"/>
  <c r="LG19" i="7"/>
  <c r="LC19" i="7"/>
  <c r="KY19" i="7"/>
  <c r="KU19" i="7"/>
  <c r="KS19" i="7"/>
  <c r="KR19" i="7"/>
  <c r="A19" i="7"/>
  <c r="OI18" i="7"/>
  <c r="OE18" i="7"/>
  <c r="OA18" i="7"/>
  <c r="NW18" i="7"/>
  <c r="NS18" i="7"/>
  <c r="NO18" i="7"/>
  <c r="NK18" i="7"/>
  <c r="NG18" i="7"/>
  <c r="NC18" i="7"/>
  <c r="MY18" i="7"/>
  <c r="MU18" i="7"/>
  <c r="MQ18" i="7"/>
  <c r="MM18" i="7"/>
  <c r="MI18" i="7"/>
  <c r="ME18" i="7"/>
  <c r="MA18" i="7"/>
  <c r="LW18" i="7"/>
  <c r="LS18" i="7"/>
  <c r="LO18" i="7"/>
  <c r="LK18" i="7"/>
  <c r="LG18" i="7"/>
  <c r="LC18" i="7"/>
  <c r="KY18" i="7"/>
  <c r="KU18" i="7"/>
  <c r="KS18" i="7"/>
  <c r="KR18" i="7"/>
  <c r="A18" i="7"/>
  <c r="OI17" i="7"/>
  <c r="OE17" i="7"/>
  <c r="OA17" i="7"/>
  <c r="NW17" i="7"/>
  <c r="NS17" i="7"/>
  <c r="NO17" i="7"/>
  <c r="NK17" i="7"/>
  <c r="NG17" i="7"/>
  <c r="NC17" i="7"/>
  <c r="MY17" i="7"/>
  <c r="MU17" i="7"/>
  <c r="MQ17" i="7"/>
  <c r="MM17" i="7"/>
  <c r="MI17" i="7"/>
  <c r="ME17" i="7"/>
  <c r="MA17" i="7"/>
  <c r="LW17" i="7"/>
  <c r="LS17" i="7"/>
  <c r="LO17" i="7"/>
  <c r="LK17" i="7"/>
  <c r="LG17" i="7"/>
  <c r="LC17" i="7"/>
  <c r="KY17" i="7"/>
  <c r="KU17" i="7"/>
  <c r="A17" i="7"/>
  <c r="OI16" i="7"/>
  <c r="OE16" i="7"/>
  <c r="OA16" i="7"/>
  <c r="NW16" i="7"/>
  <c r="NS16" i="7"/>
  <c r="NO16" i="7"/>
  <c r="NK16" i="7"/>
  <c r="NG16" i="7"/>
  <c r="NC16" i="7"/>
  <c r="MY16" i="7"/>
  <c r="MU16" i="7"/>
  <c r="MQ16" i="7"/>
  <c r="MM16" i="7"/>
  <c r="MI16" i="7"/>
  <c r="ME16" i="7"/>
  <c r="MA16" i="7"/>
  <c r="LW16" i="7"/>
  <c r="LS16" i="7"/>
  <c r="LO16" i="7"/>
  <c r="LK16" i="7"/>
  <c r="LG16" i="7"/>
  <c r="LC16" i="7"/>
  <c r="KY16" i="7"/>
  <c r="KU16" i="7"/>
  <c r="KS16" i="7"/>
  <c r="KR16" i="7"/>
  <c r="A16" i="7"/>
  <c r="OI15" i="7"/>
  <c r="OE15" i="7"/>
  <c r="OA15" i="7"/>
  <c r="NW15" i="7"/>
  <c r="NS15" i="7"/>
  <c r="NO15" i="7"/>
  <c r="NK15" i="7"/>
  <c r="NG15" i="7"/>
  <c r="NC15" i="7"/>
  <c r="MY15" i="7"/>
  <c r="MU15" i="7"/>
  <c r="MQ15" i="7"/>
  <c r="MM15" i="7"/>
  <c r="MI15" i="7"/>
  <c r="ME15" i="7"/>
  <c r="MA15" i="7"/>
  <c r="LW15" i="7"/>
  <c r="LS15" i="7"/>
  <c r="LO15" i="7"/>
  <c r="LK15" i="7"/>
  <c r="LG15" i="7"/>
  <c r="LC15" i="7"/>
  <c r="KY15" i="7"/>
  <c r="KU15" i="7"/>
  <c r="KS15" i="7"/>
  <c r="KR15" i="7"/>
  <c r="A15" i="7"/>
  <c r="OI14" i="7"/>
  <c r="OE14" i="7"/>
  <c r="OA14" i="7"/>
  <c r="NW14" i="7"/>
  <c r="NS14" i="7"/>
  <c r="NO14" i="7"/>
  <c r="NK14" i="7"/>
  <c r="NG14" i="7"/>
  <c r="NC14" i="7"/>
  <c r="MY14" i="7"/>
  <c r="MU14" i="7"/>
  <c r="MQ14" i="7"/>
  <c r="MM14" i="7"/>
  <c r="MI14" i="7"/>
  <c r="ME14" i="7"/>
  <c r="MA14" i="7"/>
  <c r="LW14" i="7"/>
  <c r="LS14" i="7"/>
  <c r="LO14" i="7"/>
  <c r="LK14" i="7"/>
  <c r="LG14" i="7"/>
  <c r="LC14" i="7"/>
  <c r="KY14" i="7"/>
  <c r="KU14" i="7"/>
  <c r="KS14" i="7"/>
  <c r="KR14" i="7"/>
  <c r="A14" i="7"/>
  <c r="OI13" i="7"/>
  <c r="OE13" i="7"/>
  <c r="OA13" i="7"/>
  <c r="NW13" i="7"/>
  <c r="NS13" i="7"/>
  <c r="NO13" i="7"/>
  <c r="NK13" i="7"/>
  <c r="NG13" i="7"/>
  <c r="NC13" i="7"/>
  <c r="MY13" i="7"/>
  <c r="MU13" i="7"/>
  <c r="MQ13" i="7"/>
  <c r="MM13" i="7"/>
  <c r="MI13" i="7"/>
  <c r="ME13" i="7"/>
  <c r="MA13" i="7"/>
  <c r="LW13" i="7"/>
  <c r="LS13" i="7"/>
  <c r="LO13" i="7"/>
  <c r="LK13" i="7"/>
  <c r="LG13" i="7"/>
  <c r="LC13" i="7"/>
  <c r="KY13" i="7"/>
  <c r="KU13" i="7"/>
  <c r="KS13" i="7"/>
  <c r="KR13" i="7"/>
  <c r="A13" i="7"/>
  <c r="OI12" i="7"/>
  <c r="OE12" i="7"/>
  <c r="OA12" i="7"/>
  <c r="NW12" i="7"/>
  <c r="NS12" i="7"/>
  <c r="NO12" i="7"/>
  <c r="NK12" i="7"/>
  <c r="NG12" i="7"/>
  <c r="NC12" i="7"/>
  <c r="MY12" i="7"/>
  <c r="MU12" i="7"/>
  <c r="MQ12" i="7"/>
  <c r="MM12" i="7"/>
  <c r="MI12" i="7"/>
  <c r="ME12" i="7"/>
  <c r="MA12" i="7"/>
  <c r="LW12" i="7"/>
  <c r="LS12" i="7"/>
  <c r="LO12" i="7"/>
  <c r="LK12" i="7"/>
  <c r="LG12" i="7"/>
  <c r="LC12" i="7"/>
  <c r="KY12" i="7"/>
  <c r="KU12" i="7"/>
  <c r="KS12" i="7"/>
  <c r="KR12" i="7"/>
  <c r="A12" i="7"/>
  <c r="OI11" i="7"/>
  <c r="OE11" i="7"/>
  <c r="OA11" i="7"/>
  <c r="NW11" i="7"/>
  <c r="NS11" i="7"/>
  <c r="NO11" i="7"/>
  <c r="NK11" i="7"/>
  <c r="NG11" i="7"/>
  <c r="NC11" i="7"/>
  <c r="MY11" i="7"/>
  <c r="MU11" i="7"/>
  <c r="MQ11" i="7"/>
  <c r="MM11" i="7"/>
  <c r="MI11" i="7"/>
  <c r="ME11" i="7"/>
  <c r="MA11" i="7"/>
  <c r="LW11" i="7"/>
  <c r="LS11" i="7"/>
  <c r="LO11" i="7"/>
  <c r="LK11" i="7"/>
  <c r="LG11" i="7"/>
  <c r="LC11" i="7"/>
  <c r="KY11" i="7"/>
  <c r="KU11" i="7"/>
  <c r="KS11" i="7"/>
  <c r="KR11" i="7"/>
  <c r="A11" i="7"/>
  <c r="OI10" i="7"/>
  <c r="OE10" i="7"/>
  <c r="OA10" i="7"/>
  <c r="NW10" i="7"/>
  <c r="NS10" i="7"/>
  <c r="NO10" i="7"/>
  <c r="NK10" i="7"/>
  <c r="NG10" i="7"/>
  <c r="NC10" i="7"/>
  <c r="MY10" i="7"/>
  <c r="MU10" i="7"/>
  <c r="MQ10" i="7"/>
  <c r="MM10" i="7"/>
  <c r="MI10" i="7"/>
  <c r="ME10" i="7"/>
  <c r="MA10" i="7"/>
  <c r="LW10" i="7"/>
  <c r="LS10" i="7"/>
  <c r="LO10" i="7"/>
  <c r="LK10" i="7"/>
  <c r="LG10" i="7"/>
  <c r="LC10" i="7"/>
  <c r="KY10" i="7"/>
  <c r="KU10" i="7"/>
  <c r="KS10" i="7"/>
  <c r="KR10" i="7"/>
  <c r="A10" i="7"/>
  <c r="OI9" i="7"/>
  <c r="OE9" i="7"/>
  <c r="OA9" i="7"/>
  <c r="NW9" i="7"/>
  <c r="NS9" i="7"/>
  <c r="NO9" i="7"/>
  <c r="NK9" i="7"/>
  <c r="NG9" i="7"/>
  <c r="NC9" i="7"/>
  <c r="MY9" i="7"/>
  <c r="MU9" i="7"/>
  <c r="MQ9" i="7"/>
  <c r="MM9" i="7"/>
  <c r="MI9" i="7"/>
  <c r="ME9" i="7"/>
  <c r="MA9" i="7"/>
  <c r="LW9" i="7"/>
  <c r="LS9" i="7"/>
  <c r="LO9" i="7"/>
  <c r="LK9" i="7"/>
  <c r="LG9" i="7"/>
  <c r="LC9" i="7"/>
  <c r="KY9" i="7"/>
  <c r="KU9" i="7"/>
  <c r="KS9" i="7"/>
  <c r="KR9" i="7"/>
  <c r="A9" i="7"/>
  <c r="OI8" i="7"/>
  <c r="OE8" i="7"/>
  <c r="OA8" i="7"/>
  <c r="NW8" i="7"/>
  <c r="NS8" i="7"/>
  <c r="NO8" i="7"/>
  <c r="NK8" i="7"/>
  <c r="NG8" i="7"/>
  <c r="NC8" i="7"/>
  <c r="MY8" i="7"/>
  <c r="MU8" i="7"/>
  <c r="MQ8" i="7"/>
  <c r="MM8" i="7"/>
  <c r="MI8" i="7"/>
  <c r="ME8" i="7"/>
  <c r="MA8" i="7"/>
  <c r="LW8" i="7"/>
  <c r="LS8" i="7"/>
  <c r="LO8" i="7"/>
  <c r="LK8" i="7"/>
  <c r="LG8" i="7"/>
  <c r="LC8" i="7"/>
  <c r="KY8" i="7"/>
  <c r="KU8" i="7"/>
  <c r="KS8" i="7"/>
  <c r="KR8" i="7"/>
  <c r="A8" i="7"/>
  <c r="OI7" i="7"/>
  <c r="OE7" i="7"/>
  <c r="OA7" i="7"/>
  <c r="NW7" i="7"/>
  <c r="NS7" i="7"/>
  <c r="NO7" i="7"/>
  <c r="NK7" i="7"/>
  <c r="NG7" i="7"/>
  <c r="NC7" i="7"/>
  <c r="MY7" i="7"/>
  <c r="MU7" i="7"/>
  <c r="MQ7" i="7"/>
  <c r="MM7" i="7"/>
  <c r="MI7" i="7"/>
  <c r="ME7" i="7"/>
  <c r="MA7" i="7"/>
  <c r="LW7" i="7"/>
  <c r="LS7" i="7"/>
  <c r="LO7" i="7"/>
  <c r="LK7" i="7"/>
  <c r="LG7" i="7"/>
  <c r="LC7" i="7"/>
  <c r="KY7" i="7"/>
  <c r="KU7" i="7"/>
  <c r="KS7" i="7"/>
  <c r="KR7" i="7"/>
  <c r="A7" i="7"/>
  <c r="OI6" i="7"/>
  <c r="OE6" i="7"/>
  <c r="OA6" i="7"/>
  <c r="NW6" i="7"/>
  <c r="NS6" i="7"/>
  <c r="NO6" i="7"/>
  <c r="NK6" i="7"/>
  <c r="NG6" i="7"/>
  <c r="NC6" i="7"/>
  <c r="MY6" i="7"/>
  <c r="MU6" i="7"/>
  <c r="MQ6" i="7"/>
  <c r="MM6" i="7"/>
  <c r="MI6" i="7"/>
  <c r="ME6" i="7"/>
  <c r="MA6" i="7"/>
  <c r="LW6" i="7"/>
  <c r="LS6" i="7"/>
  <c r="LO6" i="7"/>
  <c r="LK6" i="7"/>
  <c r="LG6" i="7"/>
  <c r="LC6" i="7"/>
  <c r="KY6" i="7"/>
  <c r="KU6" i="7"/>
  <c r="KT6" i="7"/>
  <c r="KS6" i="7"/>
  <c r="KR6" i="7"/>
  <c r="A6" i="7"/>
  <c r="OI5" i="7"/>
  <c r="OE5" i="7"/>
  <c r="OA5" i="7"/>
  <c r="NW5" i="7"/>
  <c r="NS5" i="7"/>
  <c r="NO5" i="7"/>
  <c r="NK5" i="7"/>
  <c r="NG5" i="7"/>
  <c r="NC5" i="7"/>
  <c r="MY5" i="7"/>
  <c r="MU5" i="7"/>
  <c r="MQ5" i="7"/>
  <c r="MM5" i="7"/>
  <c r="MI5" i="7"/>
  <c r="ME5" i="7"/>
  <c r="MA5" i="7"/>
  <c r="LW5" i="7"/>
  <c r="LS5" i="7"/>
  <c r="LO5" i="7"/>
  <c r="LK5" i="7"/>
  <c r="LG5" i="7"/>
  <c r="LC5" i="7"/>
  <c r="KY5" i="7"/>
  <c r="KU5" i="7"/>
  <c r="KS5" i="7"/>
  <c r="KR5" i="7"/>
  <c r="A5" i="7"/>
  <c r="OI4" i="7"/>
  <c r="OE4" i="7"/>
  <c r="OA4" i="7"/>
  <c r="NW4" i="7"/>
  <c r="NS4" i="7"/>
  <c r="NO4" i="7"/>
  <c r="NK4" i="7"/>
  <c r="NG4" i="7"/>
  <c r="NC4" i="7"/>
  <c r="MY4" i="7"/>
  <c r="MU4" i="7"/>
  <c r="MQ4" i="7"/>
  <c r="MM4" i="7"/>
  <c r="MI4" i="7"/>
  <c r="ME4" i="7"/>
  <c r="MA4" i="7"/>
  <c r="LW4" i="7"/>
  <c r="LS4" i="7"/>
  <c r="LO4" i="7"/>
  <c r="LK4" i="7"/>
  <c r="LG4" i="7"/>
  <c r="LC4" i="7"/>
  <c r="KY4" i="7"/>
  <c r="KU4" i="7"/>
  <c r="KS4" i="7"/>
  <c r="KR4" i="7"/>
  <c r="A4" i="7"/>
  <c r="OI3" i="7"/>
  <c r="OE3" i="7"/>
  <c r="OA3" i="7"/>
  <c r="NW3" i="7"/>
  <c r="NS3" i="7"/>
  <c r="NO3" i="7"/>
  <c r="NK3" i="7"/>
  <c r="NG3" i="7"/>
  <c r="NC3" i="7"/>
  <c r="MY3" i="7"/>
  <c r="MU3" i="7"/>
  <c r="MQ3" i="7"/>
  <c r="MM3" i="7"/>
  <c r="MI3" i="7"/>
  <c r="ME3" i="7"/>
  <c r="MA3" i="7"/>
  <c r="LW3" i="7"/>
  <c r="LS3" i="7"/>
  <c r="LO3" i="7"/>
  <c r="LK3" i="7"/>
  <c r="LG3" i="7"/>
  <c r="LC3" i="7"/>
  <c r="KY3" i="7"/>
  <c r="KU3" i="7"/>
  <c r="KS3" i="7"/>
  <c r="KR3" i="7"/>
  <c r="KT3" i="7" s="1"/>
  <c r="A3" i="7"/>
  <c r="OI1" i="7"/>
  <c r="OE1" i="7"/>
  <c r="OA1" i="7"/>
  <c r="NW1" i="7"/>
  <c r="NS1" i="7"/>
  <c r="NO1" i="7"/>
  <c r="NK1" i="7"/>
  <c r="NG1" i="7"/>
  <c r="NC1" i="7"/>
  <c r="MY1" i="7"/>
  <c r="MU1" i="7"/>
  <c r="MQ1" i="7"/>
  <c r="MM1" i="7"/>
  <c r="MI1" i="7"/>
  <c r="ME1" i="7"/>
  <c r="MA1" i="7"/>
  <c r="LW1" i="7"/>
  <c r="LS1" i="7"/>
  <c r="LO1" i="7"/>
  <c r="LK1" i="7"/>
  <c r="LG1" i="7"/>
  <c r="LC1" i="7"/>
  <c r="KY1" i="7"/>
  <c r="KU1" i="7"/>
  <c r="A1" i="7"/>
  <c r="GY70" i="6"/>
  <c r="KQ69" i="6"/>
  <c r="KM69" i="6"/>
  <c r="KI69" i="6"/>
  <c r="KE69" i="6"/>
  <c r="KA69" i="6"/>
  <c r="JW69" i="6"/>
  <c r="JS69" i="6"/>
  <c r="JO69" i="6"/>
  <c r="JK69" i="6"/>
  <c r="JG69" i="6"/>
  <c r="JC69" i="6"/>
  <c r="IY69" i="6"/>
  <c r="IU69" i="6"/>
  <c r="IQ69" i="6"/>
  <c r="IM69" i="6"/>
  <c r="II69" i="6"/>
  <c r="IE69" i="6"/>
  <c r="IA69" i="6"/>
  <c r="HW69" i="6"/>
  <c r="HS69" i="6"/>
  <c r="HO69" i="6"/>
  <c r="HK69" i="6"/>
  <c r="HG69" i="6"/>
  <c r="HC69" i="6"/>
  <c r="GY69" i="6"/>
  <c r="GW69" i="6"/>
  <c r="A69" i="6"/>
  <c r="KQ68" i="6"/>
  <c r="KM68" i="6"/>
  <c r="KI68" i="6"/>
  <c r="KE68" i="6"/>
  <c r="KA68" i="6"/>
  <c r="JW68" i="6"/>
  <c r="JS68" i="6"/>
  <c r="JO68" i="6"/>
  <c r="JK68" i="6"/>
  <c r="JG68" i="6"/>
  <c r="JC68" i="6"/>
  <c r="IY68" i="6"/>
  <c r="IU68" i="6"/>
  <c r="IQ68" i="6"/>
  <c r="IM68" i="6"/>
  <c r="II68" i="6"/>
  <c r="IE68" i="6"/>
  <c r="IA68" i="6"/>
  <c r="HW68" i="6"/>
  <c r="HS68" i="6"/>
  <c r="HO68" i="6"/>
  <c r="HK68" i="6"/>
  <c r="HG68" i="6"/>
  <c r="HC68" i="6"/>
  <c r="GY68" i="6"/>
  <c r="GW68" i="6"/>
  <c r="A68" i="6"/>
  <c r="KQ67" i="6"/>
  <c r="KM67" i="6"/>
  <c r="KI67" i="6"/>
  <c r="KE67" i="6"/>
  <c r="KA67" i="6"/>
  <c r="JW67" i="6"/>
  <c r="JS67" i="6"/>
  <c r="JO67" i="6"/>
  <c r="JK67" i="6"/>
  <c r="JG67" i="6"/>
  <c r="JC67" i="6"/>
  <c r="IY67" i="6"/>
  <c r="IU67" i="6"/>
  <c r="IQ67" i="6"/>
  <c r="IM67" i="6"/>
  <c r="II67" i="6"/>
  <c r="IE67" i="6"/>
  <c r="IA67" i="6"/>
  <c r="HW67" i="6"/>
  <c r="HS67" i="6"/>
  <c r="HO67" i="6"/>
  <c r="HK67" i="6"/>
  <c r="HG67" i="6"/>
  <c r="HC67" i="6"/>
  <c r="GY67" i="6"/>
  <c r="GW67" i="6"/>
  <c r="A67" i="6"/>
  <c r="KQ66" i="6"/>
  <c r="KM66" i="6"/>
  <c r="KI66" i="6"/>
  <c r="KE66" i="6"/>
  <c r="KA66" i="6"/>
  <c r="JW66" i="6"/>
  <c r="JS66" i="6"/>
  <c r="JO66" i="6"/>
  <c r="JK66" i="6"/>
  <c r="JG66" i="6"/>
  <c r="JC66" i="6"/>
  <c r="IY66" i="6"/>
  <c r="IU66" i="6"/>
  <c r="IQ66" i="6"/>
  <c r="IM66" i="6"/>
  <c r="II66" i="6"/>
  <c r="IE66" i="6"/>
  <c r="IA66" i="6"/>
  <c r="HW66" i="6"/>
  <c r="HS66" i="6"/>
  <c r="HO66" i="6"/>
  <c r="HK66" i="6"/>
  <c r="HG66" i="6"/>
  <c r="HC66" i="6"/>
  <c r="GY66" i="6"/>
  <c r="GW66" i="6"/>
  <c r="A66" i="6"/>
  <c r="KQ65" i="6"/>
  <c r="KM65" i="6"/>
  <c r="KI65" i="6"/>
  <c r="KE65" i="6"/>
  <c r="KA65" i="6"/>
  <c r="JW65" i="6"/>
  <c r="JS65" i="6"/>
  <c r="JO65" i="6"/>
  <c r="JK65" i="6"/>
  <c r="JG65" i="6"/>
  <c r="JC65" i="6"/>
  <c r="IY65" i="6"/>
  <c r="IU65" i="6"/>
  <c r="IQ65" i="6"/>
  <c r="IM65" i="6"/>
  <c r="II65" i="6"/>
  <c r="IE65" i="6"/>
  <c r="IA65" i="6"/>
  <c r="HW65" i="6"/>
  <c r="HS65" i="6"/>
  <c r="HO65" i="6"/>
  <c r="HK65" i="6"/>
  <c r="HG65" i="6"/>
  <c r="HC65" i="6"/>
  <c r="GY65" i="6"/>
  <c r="GW65" i="6"/>
  <c r="A65" i="6"/>
  <c r="KQ64" i="6"/>
  <c r="KM64" i="6"/>
  <c r="KI64" i="6"/>
  <c r="KE64" i="6"/>
  <c r="KA64" i="6"/>
  <c r="JW64" i="6"/>
  <c r="JS64" i="6"/>
  <c r="JO64" i="6"/>
  <c r="JK64" i="6"/>
  <c r="JG64" i="6"/>
  <c r="JC64" i="6"/>
  <c r="IY64" i="6"/>
  <c r="IU64" i="6"/>
  <c r="IQ64" i="6"/>
  <c r="IM64" i="6"/>
  <c r="II64" i="6"/>
  <c r="IE64" i="6"/>
  <c r="IA64" i="6"/>
  <c r="HW64" i="6"/>
  <c r="HS64" i="6"/>
  <c r="HO64" i="6"/>
  <c r="HK64" i="6"/>
  <c r="HG64" i="6"/>
  <c r="HC64" i="6"/>
  <c r="GY64" i="6"/>
  <c r="GW64" i="6"/>
  <c r="A64" i="6"/>
  <c r="KQ63" i="6"/>
  <c r="KM63" i="6"/>
  <c r="KI63" i="6"/>
  <c r="KE63" i="6"/>
  <c r="KA63" i="6"/>
  <c r="JW63" i="6"/>
  <c r="JS63" i="6"/>
  <c r="JO63" i="6"/>
  <c r="JK63" i="6"/>
  <c r="JG63" i="6"/>
  <c r="JC63" i="6"/>
  <c r="IY63" i="6"/>
  <c r="IU63" i="6"/>
  <c r="IQ63" i="6"/>
  <c r="IM63" i="6"/>
  <c r="II63" i="6"/>
  <c r="IE63" i="6"/>
  <c r="IA63" i="6"/>
  <c r="HW63" i="6"/>
  <c r="HS63" i="6"/>
  <c r="HO63" i="6"/>
  <c r="HK63" i="6"/>
  <c r="HG63" i="6"/>
  <c r="HC63" i="6"/>
  <c r="GY63" i="6"/>
  <c r="GW63" i="6"/>
  <c r="A63" i="6"/>
  <c r="KQ62" i="6"/>
  <c r="KM62" i="6"/>
  <c r="KI62" i="6"/>
  <c r="KE62" i="6"/>
  <c r="KA62" i="6"/>
  <c r="JW62" i="6"/>
  <c r="JS62" i="6"/>
  <c r="JO62" i="6"/>
  <c r="JK62" i="6"/>
  <c r="JG62" i="6"/>
  <c r="JC62" i="6"/>
  <c r="IY62" i="6"/>
  <c r="IU62" i="6"/>
  <c r="IQ62" i="6"/>
  <c r="IM62" i="6"/>
  <c r="II62" i="6"/>
  <c r="IE62" i="6"/>
  <c r="IA62" i="6"/>
  <c r="HW62" i="6"/>
  <c r="HS62" i="6"/>
  <c r="HO62" i="6"/>
  <c r="HK62" i="6"/>
  <c r="HG62" i="6"/>
  <c r="HC62" i="6"/>
  <c r="GY62" i="6"/>
  <c r="GW62" i="6"/>
  <c r="A62" i="6"/>
  <c r="KQ61" i="6"/>
  <c r="KM61" i="6"/>
  <c r="KI61" i="6"/>
  <c r="KE61" i="6"/>
  <c r="KA61" i="6"/>
  <c r="JW61" i="6"/>
  <c r="JS61" i="6"/>
  <c r="JO61" i="6"/>
  <c r="JK61" i="6"/>
  <c r="JG61" i="6"/>
  <c r="JC61" i="6"/>
  <c r="IY61" i="6"/>
  <c r="IU61" i="6"/>
  <c r="IQ61" i="6"/>
  <c r="IM61" i="6"/>
  <c r="II61" i="6"/>
  <c r="IE61" i="6"/>
  <c r="IA61" i="6"/>
  <c r="HW61" i="6"/>
  <c r="HS61" i="6"/>
  <c r="HO61" i="6"/>
  <c r="HK61" i="6"/>
  <c r="HG61" i="6"/>
  <c r="HC61" i="6"/>
  <c r="GY61" i="6"/>
  <c r="GW61" i="6"/>
  <c r="A61" i="6"/>
  <c r="KQ60" i="6"/>
  <c r="KM60" i="6"/>
  <c r="KI60" i="6"/>
  <c r="KE60" i="6"/>
  <c r="KA60" i="6"/>
  <c r="JW60" i="6"/>
  <c r="JS60" i="6"/>
  <c r="JO60" i="6"/>
  <c r="JK60" i="6"/>
  <c r="JG60" i="6"/>
  <c r="JC60" i="6"/>
  <c r="IY60" i="6"/>
  <c r="IU60" i="6"/>
  <c r="IQ60" i="6"/>
  <c r="IM60" i="6"/>
  <c r="II60" i="6"/>
  <c r="IE60" i="6"/>
  <c r="IA60" i="6"/>
  <c r="HW60" i="6"/>
  <c r="HS60" i="6"/>
  <c r="HO60" i="6"/>
  <c r="HK60" i="6"/>
  <c r="HG60" i="6"/>
  <c r="HC60" i="6"/>
  <c r="GY60" i="6"/>
  <c r="GW60" i="6"/>
  <c r="A60" i="6"/>
  <c r="KQ59" i="6"/>
  <c r="KM59" i="6"/>
  <c r="KI59" i="6"/>
  <c r="KE59" i="6"/>
  <c r="KA59" i="6"/>
  <c r="JW59" i="6"/>
  <c r="JS59" i="6"/>
  <c r="JO59" i="6"/>
  <c r="JK59" i="6"/>
  <c r="JG59" i="6"/>
  <c r="JC59" i="6"/>
  <c r="IY59" i="6"/>
  <c r="IU59" i="6"/>
  <c r="IQ59" i="6"/>
  <c r="IM59" i="6"/>
  <c r="II59" i="6"/>
  <c r="IE59" i="6"/>
  <c r="IA59" i="6"/>
  <c r="HW59" i="6"/>
  <c r="HS59" i="6"/>
  <c r="HO59" i="6"/>
  <c r="HK59" i="6"/>
  <c r="HG59" i="6"/>
  <c r="HC59" i="6"/>
  <c r="GY59" i="6"/>
  <c r="GW59" i="6"/>
  <c r="A59" i="6"/>
  <c r="KQ58" i="6"/>
  <c r="KM58" i="6"/>
  <c r="KI58" i="6"/>
  <c r="KE58" i="6"/>
  <c r="KA58" i="6"/>
  <c r="JW58" i="6"/>
  <c r="JS58" i="6"/>
  <c r="JO58" i="6"/>
  <c r="JK58" i="6"/>
  <c r="JG58" i="6"/>
  <c r="JC58" i="6"/>
  <c r="IY58" i="6"/>
  <c r="IU58" i="6"/>
  <c r="IQ58" i="6"/>
  <c r="IM58" i="6"/>
  <c r="II58" i="6"/>
  <c r="IE58" i="6"/>
  <c r="IA58" i="6"/>
  <c r="HW58" i="6"/>
  <c r="HS58" i="6"/>
  <c r="HO58" i="6"/>
  <c r="HK58" i="6"/>
  <c r="HG58" i="6"/>
  <c r="HC58" i="6"/>
  <c r="GY58" i="6"/>
  <c r="GW58" i="6"/>
  <c r="A58" i="6"/>
  <c r="KQ57" i="6"/>
  <c r="KM57" i="6"/>
  <c r="KI57" i="6"/>
  <c r="KE57" i="6"/>
  <c r="KA57" i="6"/>
  <c r="JW57" i="6"/>
  <c r="JS57" i="6"/>
  <c r="JO57" i="6"/>
  <c r="JK57" i="6"/>
  <c r="JG57" i="6"/>
  <c r="JC57" i="6"/>
  <c r="IY57" i="6"/>
  <c r="IU57" i="6"/>
  <c r="IQ57" i="6"/>
  <c r="IM57" i="6"/>
  <c r="II57" i="6"/>
  <c r="IE57" i="6"/>
  <c r="IA57" i="6"/>
  <c r="HW57" i="6"/>
  <c r="HS57" i="6"/>
  <c r="HO57" i="6"/>
  <c r="HK57" i="6"/>
  <c r="HG57" i="6"/>
  <c r="HC57" i="6"/>
  <c r="GY57" i="6"/>
  <c r="GW57" i="6"/>
  <c r="A57" i="6"/>
  <c r="KQ56" i="6"/>
  <c r="KM56" i="6"/>
  <c r="KI56" i="6"/>
  <c r="KE56" i="6"/>
  <c r="KA56" i="6"/>
  <c r="JW56" i="6"/>
  <c r="JS56" i="6"/>
  <c r="JO56" i="6"/>
  <c r="JK56" i="6"/>
  <c r="JG56" i="6"/>
  <c r="JC56" i="6"/>
  <c r="IY56" i="6"/>
  <c r="IU56" i="6"/>
  <c r="IQ56" i="6"/>
  <c r="IM56" i="6"/>
  <c r="II56" i="6"/>
  <c r="IE56" i="6"/>
  <c r="IA56" i="6"/>
  <c r="HW56" i="6"/>
  <c r="HS56" i="6"/>
  <c r="HO56" i="6"/>
  <c r="HK56" i="6"/>
  <c r="HG56" i="6"/>
  <c r="HC56" i="6"/>
  <c r="GY56" i="6"/>
  <c r="GW56" i="6"/>
  <c r="A56" i="6"/>
  <c r="KQ55" i="6"/>
  <c r="KM55" i="6"/>
  <c r="KI55" i="6"/>
  <c r="KE55" i="6"/>
  <c r="KA55" i="6"/>
  <c r="JW55" i="6"/>
  <c r="JS55" i="6"/>
  <c r="JO55" i="6"/>
  <c r="JK55" i="6"/>
  <c r="JG55" i="6"/>
  <c r="JC55" i="6"/>
  <c r="IY55" i="6"/>
  <c r="IU55" i="6"/>
  <c r="IQ55" i="6"/>
  <c r="IM55" i="6"/>
  <c r="II55" i="6"/>
  <c r="IE55" i="6"/>
  <c r="IA55" i="6"/>
  <c r="HW55" i="6"/>
  <c r="HS55" i="6"/>
  <c r="HO55" i="6"/>
  <c r="HK55" i="6"/>
  <c r="HG55" i="6"/>
  <c r="HC55" i="6"/>
  <c r="GY55" i="6"/>
  <c r="GW55" i="6"/>
  <c r="A55" i="6"/>
  <c r="KQ54" i="6"/>
  <c r="KM54" i="6"/>
  <c r="KI54" i="6"/>
  <c r="KE54" i="6"/>
  <c r="KA54" i="6"/>
  <c r="JW54" i="6"/>
  <c r="JS54" i="6"/>
  <c r="JO54" i="6"/>
  <c r="JK54" i="6"/>
  <c r="JG54" i="6"/>
  <c r="JC54" i="6"/>
  <c r="IY54" i="6"/>
  <c r="IU54" i="6"/>
  <c r="IQ54" i="6"/>
  <c r="IM54" i="6"/>
  <c r="II54" i="6"/>
  <c r="IE54" i="6"/>
  <c r="IA54" i="6"/>
  <c r="HW54" i="6"/>
  <c r="HS54" i="6"/>
  <c r="HO54" i="6"/>
  <c r="HK54" i="6"/>
  <c r="HG54" i="6"/>
  <c r="HC54" i="6"/>
  <c r="GY54" i="6"/>
  <c r="GW54" i="6"/>
  <c r="A54" i="6"/>
  <c r="KQ53" i="6"/>
  <c r="KM53" i="6"/>
  <c r="KI53" i="6"/>
  <c r="KE53" i="6"/>
  <c r="KA53" i="6"/>
  <c r="JW53" i="6"/>
  <c r="JS53" i="6"/>
  <c r="JO53" i="6"/>
  <c r="JK53" i="6"/>
  <c r="JG53" i="6"/>
  <c r="JC53" i="6"/>
  <c r="IY53" i="6"/>
  <c r="IU53" i="6"/>
  <c r="IQ53" i="6"/>
  <c r="IM53" i="6"/>
  <c r="II53" i="6"/>
  <c r="IE53" i="6"/>
  <c r="IA53" i="6"/>
  <c r="HW53" i="6"/>
  <c r="HS53" i="6"/>
  <c r="HO53" i="6"/>
  <c r="HK53" i="6"/>
  <c r="HG53" i="6"/>
  <c r="HC53" i="6"/>
  <c r="GY53" i="6"/>
  <c r="GW53" i="6"/>
  <c r="A53" i="6"/>
  <c r="KQ52" i="6"/>
  <c r="KM52" i="6"/>
  <c r="KI52" i="6"/>
  <c r="KE52" i="6"/>
  <c r="KA52" i="6"/>
  <c r="JW52" i="6"/>
  <c r="JS52" i="6"/>
  <c r="JO52" i="6"/>
  <c r="JK52" i="6"/>
  <c r="JG52" i="6"/>
  <c r="JC52" i="6"/>
  <c r="IY52" i="6"/>
  <c r="IU52" i="6"/>
  <c r="IQ52" i="6"/>
  <c r="IM52" i="6"/>
  <c r="II52" i="6"/>
  <c r="IE52" i="6"/>
  <c r="IA52" i="6"/>
  <c r="HW52" i="6"/>
  <c r="HS52" i="6"/>
  <c r="HO52" i="6"/>
  <c r="HK52" i="6"/>
  <c r="HG52" i="6"/>
  <c r="HC52" i="6"/>
  <c r="GY52" i="6"/>
  <c r="GW52" i="6"/>
  <c r="A52" i="6"/>
  <c r="KQ51" i="6"/>
  <c r="KM51" i="6"/>
  <c r="KI51" i="6"/>
  <c r="KE51" i="6"/>
  <c r="KA51" i="6"/>
  <c r="JW51" i="6"/>
  <c r="JS51" i="6"/>
  <c r="JO51" i="6"/>
  <c r="JK51" i="6"/>
  <c r="JG51" i="6"/>
  <c r="JC51" i="6"/>
  <c r="IY51" i="6"/>
  <c r="IU51" i="6"/>
  <c r="IQ51" i="6"/>
  <c r="IM51" i="6"/>
  <c r="II51" i="6"/>
  <c r="IE51" i="6"/>
  <c r="IA51" i="6"/>
  <c r="HW51" i="6"/>
  <c r="HS51" i="6"/>
  <c r="HO51" i="6"/>
  <c r="HK51" i="6"/>
  <c r="HG51" i="6"/>
  <c r="HC51" i="6"/>
  <c r="GY51" i="6"/>
  <c r="GW51" i="6"/>
  <c r="A51" i="6"/>
  <c r="KQ50" i="6"/>
  <c r="KM50" i="6"/>
  <c r="KI50" i="6"/>
  <c r="KE50" i="6"/>
  <c r="KA50" i="6"/>
  <c r="JW50" i="6"/>
  <c r="JS50" i="6"/>
  <c r="JO50" i="6"/>
  <c r="JK50" i="6"/>
  <c r="JG50" i="6"/>
  <c r="JC50" i="6"/>
  <c r="IY50" i="6"/>
  <c r="IU50" i="6"/>
  <c r="IQ50" i="6"/>
  <c r="IM50" i="6"/>
  <c r="II50" i="6"/>
  <c r="IE50" i="6"/>
  <c r="IA50" i="6"/>
  <c r="HW50" i="6"/>
  <c r="HS50" i="6"/>
  <c r="HO50" i="6"/>
  <c r="HK50" i="6"/>
  <c r="HG50" i="6"/>
  <c r="HC50" i="6"/>
  <c r="GY50" i="6"/>
  <c r="GW50" i="6"/>
  <c r="A50" i="6"/>
  <c r="KQ49" i="6"/>
  <c r="KM49" i="6"/>
  <c r="KI49" i="6"/>
  <c r="KE49" i="6"/>
  <c r="KA49" i="6"/>
  <c r="JW49" i="6"/>
  <c r="JS49" i="6"/>
  <c r="JO49" i="6"/>
  <c r="JK49" i="6"/>
  <c r="JG49" i="6"/>
  <c r="JC49" i="6"/>
  <c r="IY49" i="6"/>
  <c r="IU49" i="6"/>
  <c r="IQ49" i="6"/>
  <c r="IM49" i="6"/>
  <c r="II49" i="6"/>
  <c r="IE49" i="6"/>
  <c r="IA49" i="6"/>
  <c r="HW49" i="6"/>
  <c r="HS49" i="6"/>
  <c r="HO49" i="6"/>
  <c r="HK49" i="6"/>
  <c r="HG49" i="6"/>
  <c r="HC49" i="6"/>
  <c r="GY49" i="6"/>
  <c r="GW49" i="6"/>
  <c r="A49" i="6"/>
  <c r="KQ48" i="6"/>
  <c r="KM48" i="6"/>
  <c r="KI48" i="6"/>
  <c r="KE48" i="6"/>
  <c r="KA48" i="6"/>
  <c r="JW48" i="6"/>
  <c r="JS48" i="6"/>
  <c r="JO48" i="6"/>
  <c r="JK48" i="6"/>
  <c r="JG48" i="6"/>
  <c r="JC48" i="6"/>
  <c r="IY48" i="6"/>
  <c r="IU48" i="6"/>
  <c r="IQ48" i="6"/>
  <c r="IM48" i="6"/>
  <c r="II48" i="6"/>
  <c r="IE48" i="6"/>
  <c r="IA48" i="6"/>
  <c r="HW48" i="6"/>
  <c r="HS48" i="6"/>
  <c r="HO48" i="6"/>
  <c r="HK48" i="6"/>
  <c r="HG48" i="6"/>
  <c r="HC48" i="6"/>
  <c r="GY48" i="6"/>
  <c r="GW48" i="6"/>
  <c r="A48" i="6"/>
  <c r="KQ47" i="6"/>
  <c r="KM47" i="6"/>
  <c r="KI47" i="6"/>
  <c r="KE47" i="6"/>
  <c r="KA47" i="6"/>
  <c r="JW47" i="6"/>
  <c r="JS47" i="6"/>
  <c r="JO47" i="6"/>
  <c r="JK47" i="6"/>
  <c r="JG47" i="6"/>
  <c r="JC47" i="6"/>
  <c r="IY47" i="6"/>
  <c r="IU47" i="6"/>
  <c r="IQ47" i="6"/>
  <c r="IM47" i="6"/>
  <c r="II47" i="6"/>
  <c r="IE47" i="6"/>
  <c r="IA47" i="6"/>
  <c r="HW47" i="6"/>
  <c r="HS47" i="6"/>
  <c r="HO47" i="6"/>
  <c r="HK47" i="6"/>
  <c r="HG47" i="6"/>
  <c r="HC47" i="6"/>
  <c r="GY47" i="6"/>
  <c r="GW47" i="6"/>
  <c r="A47" i="6"/>
  <c r="KQ46" i="6"/>
  <c r="KM46" i="6"/>
  <c r="KI46" i="6"/>
  <c r="KE46" i="6"/>
  <c r="KA46" i="6"/>
  <c r="JW46" i="6"/>
  <c r="JS46" i="6"/>
  <c r="JO46" i="6"/>
  <c r="JK46" i="6"/>
  <c r="JG46" i="6"/>
  <c r="JC46" i="6"/>
  <c r="IY46" i="6"/>
  <c r="IU46" i="6"/>
  <c r="IQ46" i="6"/>
  <c r="IM46" i="6"/>
  <c r="II46" i="6"/>
  <c r="IE46" i="6"/>
  <c r="IA46" i="6"/>
  <c r="HW46" i="6"/>
  <c r="HS46" i="6"/>
  <c r="HO46" i="6"/>
  <c r="HK46" i="6"/>
  <c r="HG46" i="6"/>
  <c r="HC46" i="6"/>
  <c r="GY46" i="6"/>
  <c r="GW46" i="6"/>
  <c r="A46" i="6"/>
  <c r="KQ45" i="6"/>
  <c r="KM45" i="6"/>
  <c r="KI45" i="6"/>
  <c r="KE45" i="6"/>
  <c r="KA45" i="6"/>
  <c r="JW45" i="6"/>
  <c r="JS45" i="6"/>
  <c r="JO45" i="6"/>
  <c r="JK45" i="6"/>
  <c r="JG45" i="6"/>
  <c r="JC45" i="6"/>
  <c r="IY45" i="6"/>
  <c r="IU45" i="6"/>
  <c r="IQ45" i="6"/>
  <c r="IM45" i="6"/>
  <c r="II45" i="6"/>
  <c r="IE45" i="6"/>
  <c r="IA45" i="6"/>
  <c r="HW45" i="6"/>
  <c r="HS45" i="6"/>
  <c r="HO45" i="6"/>
  <c r="HK45" i="6"/>
  <c r="HG45" i="6"/>
  <c r="HC45" i="6"/>
  <c r="GY45" i="6"/>
  <c r="GW45" i="6"/>
  <c r="A45" i="6"/>
  <c r="KQ44" i="6"/>
  <c r="KM44" i="6"/>
  <c r="KI44" i="6"/>
  <c r="KE44" i="6"/>
  <c r="KA44" i="6"/>
  <c r="JW44" i="6"/>
  <c r="JS44" i="6"/>
  <c r="JO44" i="6"/>
  <c r="JK44" i="6"/>
  <c r="JG44" i="6"/>
  <c r="JC44" i="6"/>
  <c r="IY44" i="6"/>
  <c r="IU44" i="6"/>
  <c r="IQ44" i="6"/>
  <c r="IM44" i="6"/>
  <c r="II44" i="6"/>
  <c r="IE44" i="6"/>
  <c r="IA44" i="6"/>
  <c r="HW44" i="6"/>
  <c r="HS44" i="6"/>
  <c r="HO44" i="6"/>
  <c r="HK44" i="6"/>
  <c r="HG44" i="6"/>
  <c r="HC44" i="6"/>
  <c r="GY44" i="6"/>
  <c r="KQ43" i="6"/>
  <c r="KM43" i="6"/>
  <c r="KI43" i="6"/>
  <c r="KE43" i="6"/>
  <c r="KA43" i="6"/>
  <c r="JW43" i="6"/>
  <c r="JS43" i="6"/>
  <c r="JO43" i="6"/>
  <c r="JK43" i="6"/>
  <c r="JG43" i="6"/>
  <c r="JC43" i="6"/>
  <c r="IY43" i="6"/>
  <c r="IU43" i="6"/>
  <c r="IQ43" i="6"/>
  <c r="IM43" i="6"/>
  <c r="II43" i="6"/>
  <c r="IE43" i="6"/>
  <c r="IA43" i="6"/>
  <c r="HW43" i="6"/>
  <c r="HS43" i="6"/>
  <c r="HO43" i="6"/>
  <c r="HK43" i="6"/>
  <c r="HG43" i="6"/>
  <c r="HC43" i="6"/>
  <c r="GY43" i="6"/>
  <c r="KQ42" i="6"/>
  <c r="KM42" i="6"/>
  <c r="KI42" i="6"/>
  <c r="KE42" i="6"/>
  <c r="KA42" i="6"/>
  <c r="JW42" i="6"/>
  <c r="JS42" i="6"/>
  <c r="JO42" i="6"/>
  <c r="JK42" i="6"/>
  <c r="JG42" i="6"/>
  <c r="JC42" i="6"/>
  <c r="IY42" i="6"/>
  <c r="IU42" i="6"/>
  <c r="IQ42" i="6"/>
  <c r="IM42" i="6"/>
  <c r="II42" i="6"/>
  <c r="IE42" i="6"/>
  <c r="IA42" i="6"/>
  <c r="HW42" i="6"/>
  <c r="HS42" i="6"/>
  <c r="HO42" i="6"/>
  <c r="HK42" i="6"/>
  <c r="HG42" i="6"/>
  <c r="HC42" i="6"/>
  <c r="GY42" i="6"/>
  <c r="GW42" i="6"/>
  <c r="A42" i="6"/>
  <c r="KQ41" i="6"/>
  <c r="KM41" i="6"/>
  <c r="KI41" i="6"/>
  <c r="KE41" i="6"/>
  <c r="KA41" i="6"/>
  <c r="JW41" i="6"/>
  <c r="JS41" i="6"/>
  <c r="JO41" i="6"/>
  <c r="JK41" i="6"/>
  <c r="JG41" i="6"/>
  <c r="JC41" i="6"/>
  <c r="IY41" i="6"/>
  <c r="IU41" i="6"/>
  <c r="IQ41" i="6"/>
  <c r="IM41" i="6"/>
  <c r="II41" i="6"/>
  <c r="IE41" i="6"/>
  <c r="IA41" i="6"/>
  <c r="HW41" i="6"/>
  <c r="HS41" i="6"/>
  <c r="HO41" i="6"/>
  <c r="HK41" i="6"/>
  <c r="HG41" i="6"/>
  <c r="HC41" i="6"/>
  <c r="GY41" i="6"/>
  <c r="GW41" i="6"/>
  <c r="A41" i="6"/>
  <c r="KQ40" i="6"/>
  <c r="KM40" i="6"/>
  <c r="KI40" i="6"/>
  <c r="KE40" i="6"/>
  <c r="KA40" i="6"/>
  <c r="JW40" i="6"/>
  <c r="JS40" i="6"/>
  <c r="JO40" i="6"/>
  <c r="JK40" i="6"/>
  <c r="JG40" i="6"/>
  <c r="JC40" i="6"/>
  <c r="IY40" i="6"/>
  <c r="IU40" i="6"/>
  <c r="IQ40" i="6"/>
  <c r="IM40" i="6"/>
  <c r="II40" i="6"/>
  <c r="IE40" i="6"/>
  <c r="IA40" i="6"/>
  <c r="HW40" i="6"/>
  <c r="HS40" i="6"/>
  <c r="HO40" i="6"/>
  <c r="HK40" i="6"/>
  <c r="HG40" i="6"/>
  <c r="HC40" i="6"/>
  <c r="GY40" i="6"/>
  <c r="GW40" i="6"/>
  <c r="A40" i="6"/>
  <c r="KQ39" i="6"/>
  <c r="KM39" i="6"/>
  <c r="KI39" i="6"/>
  <c r="KE39" i="6"/>
  <c r="KA39" i="6"/>
  <c r="JW39" i="6"/>
  <c r="JS39" i="6"/>
  <c r="JO39" i="6"/>
  <c r="JK39" i="6"/>
  <c r="JG39" i="6"/>
  <c r="JC39" i="6"/>
  <c r="IY39" i="6"/>
  <c r="IU39" i="6"/>
  <c r="IQ39" i="6"/>
  <c r="IM39" i="6"/>
  <c r="II39" i="6"/>
  <c r="IE39" i="6"/>
  <c r="IA39" i="6"/>
  <c r="HW39" i="6"/>
  <c r="HS39" i="6"/>
  <c r="HO39" i="6"/>
  <c r="HK39" i="6"/>
  <c r="HG39" i="6"/>
  <c r="HC39" i="6"/>
  <c r="GY39" i="6"/>
  <c r="GW39" i="6"/>
  <c r="A39" i="6"/>
  <c r="KQ38" i="6"/>
  <c r="KM38" i="6"/>
  <c r="KI38" i="6"/>
  <c r="KE38" i="6"/>
  <c r="KA38" i="6"/>
  <c r="JW38" i="6"/>
  <c r="JS38" i="6"/>
  <c r="JO38" i="6"/>
  <c r="JK38" i="6"/>
  <c r="JG38" i="6"/>
  <c r="JC38" i="6"/>
  <c r="IY38" i="6"/>
  <c r="IU38" i="6"/>
  <c r="IQ38" i="6"/>
  <c r="IM38" i="6"/>
  <c r="II38" i="6"/>
  <c r="IE38" i="6"/>
  <c r="IA38" i="6"/>
  <c r="HW38" i="6"/>
  <c r="HS38" i="6"/>
  <c r="HO38" i="6"/>
  <c r="HK38" i="6"/>
  <c r="HG38" i="6"/>
  <c r="HC38" i="6"/>
  <c r="GY38" i="6"/>
  <c r="GW38" i="6"/>
  <c r="A38" i="6"/>
  <c r="KQ37" i="6"/>
  <c r="KM37" i="6"/>
  <c r="KI37" i="6"/>
  <c r="KE37" i="6"/>
  <c r="KA37" i="6"/>
  <c r="JW37" i="6"/>
  <c r="JS37" i="6"/>
  <c r="JO37" i="6"/>
  <c r="JK37" i="6"/>
  <c r="JG37" i="6"/>
  <c r="JC37" i="6"/>
  <c r="IY37" i="6"/>
  <c r="IU37" i="6"/>
  <c r="IQ37" i="6"/>
  <c r="IM37" i="6"/>
  <c r="II37" i="6"/>
  <c r="IE37" i="6"/>
  <c r="IA37" i="6"/>
  <c r="HW37" i="6"/>
  <c r="HS37" i="6"/>
  <c r="HO37" i="6"/>
  <c r="HK37" i="6"/>
  <c r="HG37" i="6"/>
  <c r="HC37" i="6"/>
  <c r="GY37" i="6"/>
  <c r="GW37" i="6"/>
  <c r="A37" i="6"/>
  <c r="KQ36" i="6"/>
  <c r="KM36" i="6"/>
  <c r="KI36" i="6"/>
  <c r="KE36" i="6"/>
  <c r="KA36" i="6"/>
  <c r="JW36" i="6"/>
  <c r="JS36" i="6"/>
  <c r="JO36" i="6"/>
  <c r="JK36" i="6"/>
  <c r="JG36" i="6"/>
  <c r="JC36" i="6"/>
  <c r="IY36" i="6"/>
  <c r="IU36" i="6"/>
  <c r="IQ36" i="6"/>
  <c r="IM36" i="6"/>
  <c r="II36" i="6"/>
  <c r="IE36" i="6"/>
  <c r="IA36" i="6"/>
  <c r="HW36" i="6"/>
  <c r="HS36" i="6"/>
  <c r="HO36" i="6"/>
  <c r="HK36" i="6"/>
  <c r="HG36" i="6"/>
  <c r="HC36" i="6"/>
  <c r="GY36" i="6"/>
  <c r="GW36" i="6"/>
  <c r="A36" i="6"/>
  <c r="KQ35" i="6"/>
  <c r="KM35" i="6"/>
  <c r="KI35" i="6"/>
  <c r="KE35" i="6"/>
  <c r="KA35" i="6"/>
  <c r="JW35" i="6"/>
  <c r="JS35" i="6"/>
  <c r="JO35" i="6"/>
  <c r="JK35" i="6"/>
  <c r="JG35" i="6"/>
  <c r="JC35" i="6"/>
  <c r="IY35" i="6"/>
  <c r="IU35" i="6"/>
  <c r="IQ35" i="6"/>
  <c r="IM35" i="6"/>
  <c r="II35" i="6"/>
  <c r="IE35" i="6"/>
  <c r="IA35" i="6"/>
  <c r="HW35" i="6"/>
  <c r="HS35" i="6"/>
  <c r="HO35" i="6"/>
  <c r="HK35" i="6"/>
  <c r="HG35" i="6"/>
  <c r="HC35" i="6"/>
  <c r="GY35" i="6"/>
  <c r="GW35" i="6"/>
  <c r="A35" i="6"/>
  <c r="KQ34" i="6"/>
  <c r="KM34" i="6"/>
  <c r="KI34" i="6"/>
  <c r="KE34" i="6"/>
  <c r="KA34" i="6"/>
  <c r="JW34" i="6"/>
  <c r="JS34" i="6"/>
  <c r="JO34" i="6"/>
  <c r="JK34" i="6"/>
  <c r="JG34" i="6"/>
  <c r="JC34" i="6"/>
  <c r="IY34" i="6"/>
  <c r="IU34" i="6"/>
  <c r="IQ34" i="6"/>
  <c r="IM34" i="6"/>
  <c r="II34" i="6"/>
  <c r="IE34" i="6"/>
  <c r="IA34" i="6"/>
  <c r="HW34" i="6"/>
  <c r="HS34" i="6"/>
  <c r="HO34" i="6"/>
  <c r="HK34" i="6"/>
  <c r="HG34" i="6"/>
  <c r="HC34" i="6"/>
  <c r="GY34" i="6"/>
  <c r="GW34" i="6"/>
  <c r="A34" i="6"/>
  <c r="KQ33" i="6"/>
  <c r="KM33" i="6"/>
  <c r="KI33" i="6"/>
  <c r="KE33" i="6"/>
  <c r="KA33" i="6"/>
  <c r="JW33" i="6"/>
  <c r="JS33" i="6"/>
  <c r="JO33" i="6"/>
  <c r="JK33" i="6"/>
  <c r="JG33" i="6"/>
  <c r="JC33" i="6"/>
  <c r="IY33" i="6"/>
  <c r="IU33" i="6"/>
  <c r="IQ33" i="6"/>
  <c r="IM33" i="6"/>
  <c r="II33" i="6"/>
  <c r="IE33" i="6"/>
  <c r="IA33" i="6"/>
  <c r="HW33" i="6"/>
  <c r="HS33" i="6"/>
  <c r="HO33" i="6"/>
  <c r="HK33" i="6"/>
  <c r="HG33" i="6"/>
  <c r="HC33" i="6"/>
  <c r="GY33" i="6"/>
  <c r="GW33" i="6"/>
  <c r="A33" i="6"/>
  <c r="KQ32" i="6"/>
  <c r="KM32" i="6"/>
  <c r="KI32" i="6"/>
  <c r="KE32" i="6"/>
  <c r="KA32" i="6"/>
  <c r="JW32" i="6"/>
  <c r="JS32" i="6"/>
  <c r="JO32" i="6"/>
  <c r="JK32" i="6"/>
  <c r="JG32" i="6"/>
  <c r="JC32" i="6"/>
  <c r="IY32" i="6"/>
  <c r="IU32" i="6"/>
  <c r="IQ32" i="6"/>
  <c r="IM32" i="6"/>
  <c r="II32" i="6"/>
  <c r="IE32" i="6"/>
  <c r="IA32" i="6"/>
  <c r="HW32" i="6"/>
  <c r="HS32" i="6"/>
  <c r="HO32" i="6"/>
  <c r="HK32" i="6"/>
  <c r="HG32" i="6"/>
  <c r="HC32" i="6"/>
  <c r="GY32" i="6"/>
  <c r="GW32" i="6"/>
  <c r="A32" i="6"/>
  <c r="KQ31" i="6"/>
  <c r="KM31" i="6"/>
  <c r="KI31" i="6"/>
  <c r="KE31" i="6"/>
  <c r="KA31" i="6"/>
  <c r="JW31" i="6"/>
  <c r="JS31" i="6"/>
  <c r="JO31" i="6"/>
  <c r="JK31" i="6"/>
  <c r="JG31" i="6"/>
  <c r="JC31" i="6"/>
  <c r="IY31" i="6"/>
  <c r="IU31" i="6"/>
  <c r="IQ31" i="6"/>
  <c r="IM31" i="6"/>
  <c r="II31" i="6"/>
  <c r="IE31" i="6"/>
  <c r="IA31" i="6"/>
  <c r="HW31" i="6"/>
  <c r="HS31" i="6"/>
  <c r="HO31" i="6"/>
  <c r="HK31" i="6"/>
  <c r="HG31" i="6"/>
  <c r="HC31" i="6"/>
  <c r="GY31" i="6"/>
  <c r="GW31" i="6"/>
  <c r="A31" i="6"/>
  <c r="KQ30" i="6"/>
  <c r="KM30" i="6"/>
  <c r="KI30" i="6"/>
  <c r="KE30" i="6"/>
  <c r="KA30" i="6"/>
  <c r="JW30" i="6"/>
  <c r="JS30" i="6"/>
  <c r="JO30" i="6"/>
  <c r="JK30" i="6"/>
  <c r="JG30" i="6"/>
  <c r="JC30" i="6"/>
  <c r="IY30" i="6"/>
  <c r="IU30" i="6"/>
  <c r="IQ30" i="6"/>
  <c r="IM30" i="6"/>
  <c r="II30" i="6"/>
  <c r="IE30" i="6"/>
  <c r="IA30" i="6"/>
  <c r="HW30" i="6"/>
  <c r="HS30" i="6"/>
  <c r="HO30" i="6"/>
  <c r="HK30" i="6"/>
  <c r="HG30" i="6"/>
  <c r="HC30" i="6"/>
  <c r="GY30" i="6"/>
  <c r="GW30" i="6"/>
  <c r="A30" i="6"/>
  <c r="KQ29" i="6"/>
  <c r="KM29" i="6"/>
  <c r="KI29" i="6"/>
  <c r="KE29" i="6"/>
  <c r="KA29" i="6"/>
  <c r="JW29" i="6"/>
  <c r="JS29" i="6"/>
  <c r="JO29" i="6"/>
  <c r="JK29" i="6"/>
  <c r="JG29" i="6"/>
  <c r="JC29" i="6"/>
  <c r="IY29" i="6"/>
  <c r="IU29" i="6"/>
  <c r="IQ29" i="6"/>
  <c r="IM29" i="6"/>
  <c r="II29" i="6"/>
  <c r="IE29" i="6"/>
  <c r="IA29" i="6"/>
  <c r="HW29" i="6"/>
  <c r="HS29" i="6"/>
  <c r="HO29" i="6"/>
  <c r="HK29" i="6"/>
  <c r="HG29" i="6"/>
  <c r="HC29" i="6"/>
  <c r="GY29" i="6"/>
  <c r="GW29" i="6"/>
  <c r="A29" i="6"/>
  <c r="KQ28" i="6"/>
  <c r="KM28" i="6"/>
  <c r="KI28" i="6"/>
  <c r="KE28" i="6"/>
  <c r="KA28" i="6"/>
  <c r="JW28" i="6"/>
  <c r="JS28" i="6"/>
  <c r="JO28" i="6"/>
  <c r="JK28" i="6"/>
  <c r="JG28" i="6"/>
  <c r="JC28" i="6"/>
  <c r="IY28" i="6"/>
  <c r="IU28" i="6"/>
  <c r="IQ28" i="6"/>
  <c r="IM28" i="6"/>
  <c r="II28" i="6"/>
  <c r="IE28" i="6"/>
  <c r="IA28" i="6"/>
  <c r="HW28" i="6"/>
  <c r="HS28" i="6"/>
  <c r="HO28" i="6"/>
  <c r="HK28" i="6"/>
  <c r="HG28" i="6"/>
  <c r="HC28" i="6"/>
  <c r="GY28" i="6"/>
  <c r="GW28" i="6"/>
  <c r="A28" i="6"/>
  <c r="KQ27" i="6"/>
  <c r="KM27" i="6"/>
  <c r="KI27" i="6"/>
  <c r="KE27" i="6"/>
  <c r="KA27" i="6"/>
  <c r="JW27" i="6"/>
  <c r="JS27" i="6"/>
  <c r="JO27" i="6"/>
  <c r="JK27" i="6"/>
  <c r="JG27" i="6"/>
  <c r="JC27" i="6"/>
  <c r="IY27" i="6"/>
  <c r="IU27" i="6"/>
  <c r="IQ27" i="6"/>
  <c r="IM27" i="6"/>
  <c r="II27" i="6"/>
  <c r="IE27" i="6"/>
  <c r="IA27" i="6"/>
  <c r="HW27" i="6"/>
  <c r="HS27" i="6"/>
  <c r="HO27" i="6"/>
  <c r="HK27" i="6"/>
  <c r="HG27" i="6"/>
  <c r="HC27" i="6"/>
  <c r="GY27" i="6"/>
  <c r="GW27" i="6"/>
  <c r="A27" i="6"/>
  <c r="KQ26" i="6"/>
  <c r="KM26" i="6"/>
  <c r="KI26" i="6"/>
  <c r="KE26" i="6"/>
  <c r="KA26" i="6"/>
  <c r="JW26" i="6"/>
  <c r="JS26" i="6"/>
  <c r="JO26" i="6"/>
  <c r="JK26" i="6"/>
  <c r="JG26" i="6"/>
  <c r="JC26" i="6"/>
  <c r="IY26" i="6"/>
  <c r="IU26" i="6"/>
  <c r="IQ26" i="6"/>
  <c r="IM26" i="6"/>
  <c r="II26" i="6"/>
  <c r="IE26" i="6"/>
  <c r="IA26" i="6"/>
  <c r="HW26" i="6"/>
  <c r="HS26" i="6"/>
  <c r="HO26" i="6"/>
  <c r="HK26" i="6"/>
  <c r="HG26" i="6"/>
  <c r="HC26" i="6"/>
  <c r="GY26" i="6"/>
  <c r="GW26" i="6"/>
  <c r="A26" i="6"/>
  <c r="KQ25" i="6"/>
  <c r="KM25" i="6"/>
  <c r="KI25" i="6"/>
  <c r="KE25" i="6"/>
  <c r="KA25" i="6"/>
  <c r="JW25" i="6"/>
  <c r="JS25" i="6"/>
  <c r="JO25" i="6"/>
  <c r="JK25" i="6"/>
  <c r="JG25" i="6"/>
  <c r="JC25" i="6"/>
  <c r="IY25" i="6"/>
  <c r="IU25" i="6"/>
  <c r="IQ25" i="6"/>
  <c r="IM25" i="6"/>
  <c r="II25" i="6"/>
  <c r="IE25" i="6"/>
  <c r="IA25" i="6"/>
  <c r="HW25" i="6"/>
  <c r="HS25" i="6"/>
  <c r="HO25" i="6"/>
  <c r="HK25" i="6"/>
  <c r="HG25" i="6"/>
  <c r="HC25" i="6"/>
  <c r="GY25" i="6"/>
  <c r="GW25" i="6"/>
  <c r="A25" i="6"/>
  <c r="KQ24" i="6"/>
  <c r="KM24" i="6"/>
  <c r="KI24" i="6"/>
  <c r="KE24" i="6"/>
  <c r="KA24" i="6"/>
  <c r="JW24" i="6"/>
  <c r="JS24" i="6"/>
  <c r="JO24" i="6"/>
  <c r="JK24" i="6"/>
  <c r="JG24" i="6"/>
  <c r="JC24" i="6"/>
  <c r="IY24" i="6"/>
  <c r="IU24" i="6"/>
  <c r="IQ24" i="6"/>
  <c r="IM24" i="6"/>
  <c r="II24" i="6"/>
  <c r="IE24" i="6"/>
  <c r="IA24" i="6"/>
  <c r="HW24" i="6"/>
  <c r="HS24" i="6"/>
  <c r="HO24" i="6"/>
  <c r="HK24" i="6"/>
  <c r="HG24" i="6"/>
  <c r="HC24" i="6"/>
  <c r="GY24" i="6"/>
  <c r="GW24" i="6"/>
  <c r="A24" i="6"/>
  <c r="KQ23" i="6"/>
  <c r="KM23" i="6"/>
  <c r="KI23" i="6"/>
  <c r="KE23" i="6"/>
  <c r="KA23" i="6"/>
  <c r="JW23" i="6"/>
  <c r="JS23" i="6"/>
  <c r="JO23" i="6"/>
  <c r="JK23" i="6"/>
  <c r="JG23" i="6"/>
  <c r="JC23" i="6"/>
  <c r="IY23" i="6"/>
  <c r="IU23" i="6"/>
  <c r="IQ23" i="6"/>
  <c r="IM23" i="6"/>
  <c r="II23" i="6"/>
  <c r="IE23" i="6"/>
  <c r="IA23" i="6"/>
  <c r="HW23" i="6"/>
  <c r="HS23" i="6"/>
  <c r="HO23" i="6"/>
  <c r="HK23" i="6"/>
  <c r="HG23" i="6"/>
  <c r="HC23" i="6"/>
  <c r="GY23" i="6"/>
  <c r="GW23" i="6"/>
  <c r="A23" i="6"/>
  <c r="KQ22" i="6"/>
  <c r="KM22" i="6"/>
  <c r="KI22" i="6"/>
  <c r="KE22" i="6"/>
  <c r="KA22" i="6"/>
  <c r="JW22" i="6"/>
  <c r="JS22" i="6"/>
  <c r="JO22" i="6"/>
  <c r="JK22" i="6"/>
  <c r="JG22" i="6"/>
  <c r="JC22" i="6"/>
  <c r="IY22" i="6"/>
  <c r="IU22" i="6"/>
  <c r="IQ22" i="6"/>
  <c r="IM22" i="6"/>
  <c r="II22" i="6"/>
  <c r="IE22" i="6"/>
  <c r="IA22" i="6"/>
  <c r="HW22" i="6"/>
  <c r="HS22" i="6"/>
  <c r="HO22" i="6"/>
  <c r="HK22" i="6"/>
  <c r="HG22" i="6"/>
  <c r="HC22" i="6"/>
  <c r="GY22" i="6"/>
  <c r="GW22" i="6"/>
  <c r="A22" i="6"/>
  <c r="KQ21" i="6"/>
  <c r="KM21" i="6"/>
  <c r="KI21" i="6"/>
  <c r="KE21" i="6"/>
  <c r="KA21" i="6"/>
  <c r="JW21" i="6"/>
  <c r="JS21" i="6"/>
  <c r="JO21" i="6"/>
  <c r="JK21" i="6"/>
  <c r="JG21" i="6"/>
  <c r="JC21" i="6"/>
  <c r="IY21" i="6"/>
  <c r="IU21" i="6"/>
  <c r="IQ21" i="6"/>
  <c r="IM21" i="6"/>
  <c r="II21" i="6"/>
  <c r="IE21" i="6"/>
  <c r="IA21" i="6"/>
  <c r="HW21" i="6"/>
  <c r="HS21" i="6"/>
  <c r="HO21" i="6"/>
  <c r="HK21" i="6"/>
  <c r="HG21" i="6"/>
  <c r="HC21" i="6"/>
  <c r="GY21" i="6"/>
  <c r="GW21" i="6"/>
  <c r="A21" i="6"/>
  <c r="KQ20" i="6"/>
  <c r="KM20" i="6"/>
  <c r="KI20" i="6"/>
  <c r="KE20" i="6"/>
  <c r="KA20" i="6"/>
  <c r="JW20" i="6"/>
  <c r="JS20" i="6"/>
  <c r="JO20" i="6"/>
  <c r="JK20" i="6"/>
  <c r="JG20" i="6"/>
  <c r="JC20" i="6"/>
  <c r="IY20" i="6"/>
  <c r="IU20" i="6"/>
  <c r="IQ20" i="6"/>
  <c r="IM20" i="6"/>
  <c r="II20" i="6"/>
  <c r="IE20" i="6"/>
  <c r="IA20" i="6"/>
  <c r="HW20" i="6"/>
  <c r="HS20" i="6"/>
  <c r="HO20" i="6"/>
  <c r="HK20" i="6"/>
  <c r="HG20" i="6"/>
  <c r="HC20" i="6"/>
  <c r="GY20" i="6"/>
  <c r="GW20" i="6"/>
  <c r="A20" i="6"/>
  <c r="KQ19" i="6"/>
  <c r="KM19" i="6"/>
  <c r="KI19" i="6"/>
  <c r="KE19" i="6"/>
  <c r="KA19" i="6"/>
  <c r="JW19" i="6"/>
  <c r="JS19" i="6"/>
  <c r="JO19" i="6"/>
  <c r="JK19" i="6"/>
  <c r="JG19" i="6"/>
  <c r="JC19" i="6"/>
  <c r="IY19" i="6"/>
  <c r="IU19" i="6"/>
  <c r="IQ19" i="6"/>
  <c r="IM19" i="6"/>
  <c r="II19" i="6"/>
  <c r="IE19" i="6"/>
  <c r="IA19" i="6"/>
  <c r="HW19" i="6"/>
  <c r="HS19" i="6"/>
  <c r="HO19" i="6"/>
  <c r="HK19" i="6"/>
  <c r="HG19" i="6"/>
  <c r="HC19" i="6"/>
  <c r="GY19" i="6"/>
  <c r="GW19" i="6"/>
  <c r="A19" i="6"/>
  <c r="KQ18" i="6"/>
  <c r="KM18" i="6"/>
  <c r="KI18" i="6"/>
  <c r="KE18" i="6"/>
  <c r="KA18" i="6"/>
  <c r="JW18" i="6"/>
  <c r="JS18" i="6"/>
  <c r="JO18" i="6"/>
  <c r="JK18" i="6"/>
  <c r="JG18" i="6"/>
  <c r="JC18" i="6"/>
  <c r="IY18" i="6"/>
  <c r="IU18" i="6"/>
  <c r="IQ18" i="6"/>
  <c r="IM18" i="6"/>
  <c r="II18" i="6"/>
  <c r="IE18" i="6"/>
  <c r="IA18" i="6"/>
  <c r="HW18" i="6"/>
  <c r="HS18" i="6"/>
  <c r="HO18" i="6"/>
  <c r="HK18" i="6"/>
  <c r="HG18" i="6"/>
  <c r="HC18" i="6"/>
  <c r="GY18" i="6"/>
  <c r="GW18" i="6"/>
  <c r="A18" i="6"/>
  <c r="KQ17" i="6"/>
  <c r="KM17" i="6"/>
  <c r="KI17" i="6"/>
  <c r="KE17" i="6"/>
  <c r="KA17" i="6"/>
  <c r="JW17" i="6"/>
  <c r="JS17" i="6"/>
  <c r="JO17" i="6"/>
  <c r="JK17" i="6"/>
  <c r="JG17" i="6"/>
  <c r="JC17" i="6"/>
  <c r="IY17" i="6"/>
  <c r="IU17" i="6"/>
  <c r="IQ17" i="6"/>
  <c r="IM17" i="6"/>
  <c r="II17" i="6"/>
  <c r="IE17" i="6"/>
  <c r="IA17" i="6"/>
  <c r="HW17" i="6"/>
  <c r="HS17" i="6"/>
  <c r="HO17" i="6"/>
  <c r="HK17" i="6"/>
  <c r="HG17" i="6"/>
  <c r="HC17" i="6"/>
  <c r="GY17" i="6"/>
  <c r="GW17" i="6"/>
  <c r="A17" i="6"/>
  <c r="KQ16" i="6"/>
  <c r="KM16" i="6"/>
  <c r="KI16" i="6"/>
  <c r="KE16" i="6"/>
  <c r="KA16" i="6"/>
  <c r="JW16" i="6"/>
  <c r="JS16" i="6"/>
  <c r="JO16" i="6"/>
  <c r="JK16" i="6"/>
  <c r="JG16" i="6"/>
  <c r="JC16" i="6"/>
  <c r="IY16" i="6"/>
  <c r="IU16" i="6"/>
  <c r="IQ16" i="6"/>
  <c r="IM16" i="6"/>
  <c r="II16" i="6"/>
  <c r="IE16" i="6"/>
  <c r="IA16" i="6"/>
  <c r="HW16" i="6"/>
  <c r="HS16" i="6"/>
  <c r="HO16" i="6"/>
  <c r="HK16" i="6"/>
  <c r="HG16" i="6"/>
  <c r="HC16" i="6"/>
  <c r="GY16" i="6"/>
  <c r="GW16" i="6"/>
  <c r="A16" i="6"/>
  <c r="KQ15" i="6"/>
  <c r="KM15" i="6"/>
  <c r="KI15" i="6"/>
  <c r="KE15" i="6"/>
  <c r="KA15" i="6"/>
  <c r="JW15" i="6"/>
  <c r="JS15" i="6"/>
  <c r="JO15" i="6"/>
  <c r="JK15" i="6"/>
  <c r="JG15" i="6"/>
  <c r="JC15" i="6"/>
  <c r="IY15" i="6"/>
  <c r="IU15" i="6"/>
  <c r="IQ15" i="6"/>
  <c r="IM15" i="6"/>
  <c r="II15" i="6"/>
  <c r="IE15" i="6"/>
  <c r="IA15" i="6"/>
  <c r="HW15" i="6"/>
  <c r="HS15" i="6"/>
  <c r="HO15" i="6"/>
  <c r="HK15" i="6"/>
  <c r="HG15" i="6"/>
  <c r="HC15" i="6"/>
  <c r="GY15" i="6"/>
  <c r="GW15" i="6"/>
  <c r="A15" i="6"/>
  <c r="KQ14" i="6"/>
  <c r="KM14" i="6"/>
  <c r="KI14" i="6"/>
  <c r="KE14" i="6"/>
  <c r="KA14" i="6"/>
  <c r="JW14" i="6"/>
  <c r="JS14" i="6"/>
  <c r="JO14" i="6"/>
  <c r="JK14" i="6"/>
  <c r="JG14" i="6"/>
  <c r="JC14" i="6"/>
  <c r="IY14" i="6"/>
  <c r="IU14" i="6"/>
  <c r="IQ14" i="6"/>
  <c r="IM14" i="6"/>
  <c r="II14" i="6"/>
  <c r="IE14" i="6"/>
  <c r="IA14" i="6"/>
  <c r="HW14" i="6"/>
  <c r="HS14" i="6"/>
  <c r="HO14" i="6"/>
  <c r="HK14" i="6"/>
  <c r="HG14" i="6"/>
  <c r="HC14" i="6"/>
  <c r="GY14" i="6"/>
  <c r="GW14" i="6"/>
  <c r="A14" i="6"/>
  <c r="KQ13" i="6"/>
  <c r="KM13" i="6"/>
  <c r="KI13" i="6"/>
  <c r="KE13" i="6"/>
  <c r="KA13" i="6"/>
  <c r="JW13" i="6"/>
  <c r="JS13" i="6"/>
  <c r="JO13" i="6"/>
  <c r="JK13" i="6"/>
  <c r="JG13" i="6"/>
  <c r="JC13" i="6"/>
  <c r="IY13" i="6"/>
  <c r="IU13" i="6"/>
  <c r="IQ13" i="6"/>
  <c r="IM13" i="6"/>
  <c r="II13" i="6"/>
  <c r="IE13" i="6"/>
  <c r="IA13" i="6"/>
  <c r="HW13" i="6"/>
  <c r="HS13" i="6"/>
  <c r="HO13" i="6"/>
  <c r="HK13" i="6"/>
  <c r="HG13" i="6"/>
  <c r="HC13" i="6"/>
  <c r="GY13" i="6"/>
  <c r="GW13" i="6"/>
  <c r="A13" i="6"/>
  <c r="KQ12" i="6"/>
  <c r="KM12" i="6"/>
  <c r="KI12" i="6"/>
  <c r="KE12" i="6"/>
  <c r="KA12" i="6"/>
  <c r="JW12" i="6"/>
  <c r="JS12" i="6"/>
  <c r="JO12" i="6"/>
  <c r="JK12" i="6"/>
  <c r="JG12" i="6"/>
  <c r="JC12" i="6"/>
  <c r="IY12" i="6"/>
  <c r="IU12" i="6"/>
  <c r="IQ12" i="6"/>
  <c r="IM12" i="6"/>
  <c r="II12" i="6"/>
  <c r="IE12" i="6"/>
  <c r="IA12" i="6"/>
  <c r="HW12" i="6"/>
  <c r="HS12" i="6"/>
  <c r="HO12" i="6"/>
  <c r="HK12" i="6"/>
  <c r="HG12" i="6"/>
  <c r="HC12" i="6"/>
  <c r="GY12" i="6"/>
  <c r="GW12" i="6"/>
  <c r="A12" i="6"/>
  <c r="KQ11" i="6"/>
  <c r="KM11" i="6"/>
  <c r="KI11" i="6"/>
  <c r="KE11" i="6"/>
  <c r="KA11" i="6"/>
  <c r="JW11" i="6"/>
  <c r="JS11" i="6"/>
  <c r="JO11" i="6"/>
  <c r="JK11" i="6"/>
  <c r="JG11" i="6"/>
  <c r="JC11" i="6"/>
  <c r="IY11" i="6"/>
  <c r="IU11" i="6"/>
  <c r="IQ11" i="6"/>
  <c r="IM11" i="6"/>
  <c r="II11" i="6"/>
  <c r="IE11" i="6"/>
  <c r="IA11" i="6"/>
  <c r="HW11" i="6"/>
  <c r="HS11" i="6"/>
  <c r="HO11" i="6"/>
  <c r="HK11" i="6"/>
  <c r="HG11" i="6"/>
  <c r="HC11" i="6"/>
  <c r="GY11" i="6"/>
  <c r="GW11" i="6"/>
  <c r="A11" i="6"/>
  <c r="KQ10" i="6"/>
  <c r="KM10" i="6"/>
  <c r="KI10" i="6"/>
  <c r="KE10" i="6"/>
  <c r="KA10" i="6"/>
  <c r="JW10" i="6"/>
  <c r="JS10" i="6"/>
  <c r="JO10" i="6"/>
  <c r="JK10" i="6"/>
  <c r="JG10" i="6"/>
  <c r="JC10" i="6"/>
  <c r="IY10" i="6"/>
  <c r="IU10" i="6"/>
  <c r="IQ10" i="6"/>
  <c r="IM10" i="6"/>
  <c r="II10" i="6"/>
  <c r="IE10" i="6"/>
  <c r="IA10" i="6"/>
  <c r="HW10" i="6"/>
  <c r="HS10" i="6"/>
  <c r="HO10" i="6"/>
  <c r="HK10" i="6"/>
  <c r="HG10" i="6"/>
  <c r="HC10" i="6"/>
  <c r="GY10" i="6"/>
  <c r="GW10" i="6"/>
  <c r="A10" i="6"/>
  <c r="KQ9" i="6"/>
  <c r="KM9" i="6"/>
  <c r="KI9" i="6"/>
  <c r="KE9" i="6"/>
  <c r="KA9" i="6"/>
  <c r="JW9" i="6"/>
  <c r="JS9" i="6"/>
  <c r="JO9" i="6"/>
  <c r="JK9" i="6"/>
  <c r="JG9" i="6"/>
  <c r="JC9" i="6"/>
  <c r="IY9" i="6"/>
  <c r="IU9" i="6"/>
  <c r="IQ9" i="6"/>
  <c r="IM9" i="6"/>
  <c r="II9" i="6"/>
  <c r="IE9" i="6"/>
  <c r="IA9" i="6"/>
  <c r="HW9" i="6"/>
  <c r="HS9" i="6"/>
  <c r="HO9" i="6"/>
  <c r="HK9" i="6"/>
  <c r="HG9" i="6"/>
  <c r="HC9" i="6"/>
  <c r="GY9" i="6"/>
  <c r="GW9" i="6"/>
  <c r="A9" i="6"/>
  <c r="KQ8" i="6"/>
  <c r="KM8" i="6"/>
  <c r="KI8" i="6"/>
  <c r="KE8" i="6"/>
  <c r="KA8" i="6"/>
  <c r="JW8" i="6"/>
  <c r="JS8" i="6"/>
  <c r="JO8" i="6"/>
  <c r="JK8" i="6"/>
  <c r="JG8" i="6"/>
  <c r="JC8" i="6"/>
  <c r="IY8" i="6"/>
  <c r="IU8" i="6"/>
  <c r="IQ8" i="6"/>
  <c r="IM8" i="6"/>
  <c r="II8" i="6"/>
  <c r="IE8" i="6"/>
  <c r="IA8" i="6"/>
  <c r="HW8" i="6"/>
  <c r="HS8" i="6"/>
  <c r="HO8" i="6"/>
  <c r="HK8" i="6"/>
  <c r="HG8" i="6"/>
  <c r="HC8" i="6"/>
  <c r="GY8" i="6"/>
  <c r="GW8" i="6"/>
  <c r="A8" i="6"/>
  <c r="KQ7" i="6"/>
  <c r="KM7" i="6"/>
  <c r="KI7" i="6"/>
  <c r="KE7" i="6"/>
  <c r="KA7" i="6"/>
  <c r="JW7" i="6"/>
  <c r="JS7" i="6"/>
  <c r="JO7" i="6"/>
  <c r="JK7" i="6"/>
  <c r="JG7" i="6"/>
  <c r="JC7" i="6"/>
  <c r="IY7" i="6"/>
  <c r="IU7" i="6"/>
  <c r="IQ7" i="6"/>
  <c r="IM7" i="6"/>
  <c r="II7" i="6"/>
  <c r="IE7" i="6"/>
  <c r="IA7" i="6"/>
  <c r="HW7" i="6"/>
  <c r="HS7" i="6"/>
  <c r="HO7" i="6"/>
  <c r="HK7" i="6"/>
  <c r="HG7" i="6"/>
  <c r="HC7" i="6"/>
  <c r="GY7" i="6"/>
  <c r="GW7" i="6"/>
  <c r="A7" i="6"/>
  <c r="KQ6" i="6"/>
  <c r="KM6" i="6"/>
  <c r="KI6" i="6"/>
  <c r="KE6" i="6"/>
  <c r="KA6" i="6"/>
  <c r="JW6" i="6"/>
  <c r="JS6" i="6"/>
  <c r="JO6" i="6"/>
  <c r="JK6" i="6"/>
  <c r="JG6" i="6"/>
  <c r="JC6" i="6"/>
  <c r="IY6" i="6"/>
  <c r="IU6" i="6"/>
  <c r="IQ6" i="6"/>
  <c r="IM6" i="6"/>
  <c r="II6" i="6"/>
  <c r="IE6" i="6"/>
  <c r="IA6" i="6"/>
  <c r="HW6" i="6"/>
  <c r="HS6" i="6"/>
  <c r="HO6" i="6"/>
  <c r="HK6" i="6"/>
  <c r="HG6" i="6"/>
  <c r="HC6" i="6"/>
  <c r="GY6" i="6"/>
  <c r="GW6" i="6"/>
  <c r="A6" i="6"/>
  <c r="KQ5" i="6"/>
  <c r="KM5" i="6"/>
  <c r="KI5" i="6"/>
  <c r="KE5" i="6"/>
  <c r="KA5" i="6"/>
  <c r="JW5" i="6"/>
  <c r="JS5" i="6"/>
  <c r="JO5" i="6"/>
  <c r="JK5" i="6"/>
  <c r="JG5" i="6"/>
  <c r="JC5" i="6"/>
  <c r="IY5" i="6"/>
  <c r="IU5" i="6"/>
  <c r="IQ5" i="6"/>
  <c r="IM5" i="6"/>
  <c r="II5" i="6"/>
  <c r="IE5" i="6"/>
  <c r="IA5" i="6"/>
  <c r="HW5" i="6"/>
  <c r="HS5" i="6"/>
  <c r="HO5" i="6"/>
  <c r="HK5" i="6"/>
  <c r="HG5" i="6"/>
  <c r="HC5" i="6"/>
  <c r="GY5" i="6"/>
  <c r="GW5" i="6"/>
  <c r="A5" i="6"/>
  <c r="KQ4" i="6"/>
  <c r="KM4" i="6"/>
  <c r="KI4" i="6"/>
  <c r="KE4" i="6"/>
  <c r="KA4" i="6"/>
  <c r="JW4" i="6"/>
  <c r="JS4" i="6"/>
  <c r="JO4" i="6"/>
  <c r="JK4" i="6"/>
  <c r="JG4" i="6"/>
  <c r="JC4" i="6"/>
  <c r="IY4" i="6"/>
  <c r="IU4" i="6"/>
  <c r="IQ4" i="6"/>
  <c r="IM4" i="6"/>
  <c r="II4" i="6"/>
  <c r="IE4" i="6"/>
  <c r="IA4" i="6"/>
  <c r="HW4" i="6"/>
  <c r="HS4" i="6"/>
  <c r="HO4" i="6"/>
  <c r="HK4" i="6"/>
  <c r="HG4" i="6"/>
  <c r="HC4" i="6"/>
  <c r="GY4" i="6"/>
  <c r="GW4" i="6"/>
  <c r="A4" i="6"/>
  <c r="KQ3" i="6"/>
  <c r="KM3" i="6"/>
  <c r="KI3" i="6"/>
  <c r="KE3" i="6"/>
  <c r="KA3" i="6"/>
  <c r="JW3" i="6"/>
  <c r="JS3" i="6"/>
  <c r="JO3" i="6"/>
  <c r="JK3" i="6"/>
  <c r="JG3" i="6"/>
  <c r="JC3" i="6"/>
  <c r="IY3" i="6"/>
  <c r="IU3" i="6"/>
  <c r="IQ3" i="6"/>
  <c r="IM3" i="6"/>
  <c r="II3" i="6"/>
  <c r="IE3" i="6"/>
  <c r="IA3" i="6"/>
  <c r="HW3" i="6"/>
  <c r="HS3" i="6"/>
  <c r="HO3" i="6"/>
  <c r="HK3" i="6"/>
  <c r="HG3" i="6"/>
  <c r="HC3" i="6"/>
  <c r="GY3" i="6"/>
  <c r="GX3" i="6"/>
  <c r="GW3" i="6"/>
  <c r="A3" i="6"/>
  <c r="KQ2" i="6"/>
  <c r="KM2" i="6"/>
  <c r="KI2" i="6"/>
  <c r="KE2" i="6"/>
  <c r="KA2" i="6"/>
  <c r="JW2" i="6"/>
  <c r="JS2" i="6"/>
  <c r="JO2" i="6"/>
  <c r="JK2" i="6"/>
  <c r="JG2" i="6"/>
  <c r="JC2" i="6"/>
  <c r="IY2" i="6"/>
  <c r="IU2" i="6"/>
  <c r="IQ2" i="6"/>
  <c r="IM2" i="6"/>
  <c r="II2" i="6"/>
  <c r="IE2" i="6"/>
  <c r="IA2" i="6"/>
  <c r="HW2" i="6"/>
  <c r="HS2" i="6"/>
  <c r="HO2" i="6"/>
  <c r="HK2" i="6"/>
  <c r="HG2" i="6"/>
  <c r="HC2" i="6"/>
  <c r="GY2" i="6"/>
  <c r="A2" i="6"/>
  <c r="GY1" i="6"/>
  <c r="A1" i="6"/>
  <c r="A71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F6" i="4"/>
  <c r="B6" i="4"/>
  <c r="A6" i="4"/>
  <c r="F5" i="4"/>
  <c r="B5" i="4"/>
  <c r="A5" i="4"/>
  <c r="F4" i="4"/>
  <c r="B4" i="4"/>
  <c r="A4" i="4"/>
  <c r="F3" i="4"/>
  <c r="B3" i="4"/>
  <c r="A3" i="4"/>
  <c r="GW2" i="4"/>
  <c r="GU2" i="4"/>
  <c r="GS2" i="4"/>
  <c r="GQ2" i="4"/>
  <c r="GO2" i="4"/>
  <c r="GM2" i="4"/>
  <c r="GK2" i="4"/>
  <c r="GI2" i="4"/>
  <c r="GG2" i="4"/>
  <c r="GE2" i="4"/>
  <c r="GC2" i="4"/>
  <c r="GA2" i="4"/>
  <c r="FY2" i="4"/>
  <c r="FW2" i="4"/>
  <c r="FU2" i="4"/>
  <c r="FS2" i="4"/>
  <c r="FQ2" i="4"/>
  <c r="F2" i="4"/>
  <c r="GW1" i="4"/>
  <c r="GU1" i="4"/>
  <c r="GS1" i="4"/>
  <c r="GQ1" i="4"/>
  <c r="GO1" i="4"/>
  <c r="GM1" i="4"/>
  <c r="GK1" i="4"/>
  <c r="GI1" i="4"/>
  <c r="GG1" i="4"/>
  <c r="GE1" i="4"/>
  <c r="GC1" i="4"/>
  <c r="GA1" i="4"/>
  <c r="FY1" i="4"/>
  <c r="FW1" i="4"/>
  <c r="FU1" i="4"/>
  <c r="FS1" i="4"/>
  <c r="FQ1" i="4"/>
  <c r="A1" i="4"/>
  <c r="AZ70" i="3"/>
  <c r="AV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3" i="3"/>
  <c r="A42" i="3"/>
  <c r="A41" i="3"/>
  <c r="A40" i="3"/>
  <c r="A39" i="3"/>
  <c r="A38" i="3"/>
  <c r="A37" i="3"/>
  <c r="A36" i="3"/>
  <c r="A35" i="3"/>
  <c r="A34" i="3"/>
  <c r="A33" i="3"/>
  <c r="A32" i="3"/>
  <c r="F31" i="3"/>
  <c r="A31" i="3"/>
  <c r="A30" i="3"/>
  <c r="A29" i="3"/>
  <c r="F28" i="3"/>
  <c r="A28" i="3"/>
  <c r="A27" i="3"/>
  <c r="A26" i="3"/>
  <c r="A25" i="3"/>
  <c r="A24" i="3"/>
  <c r="A23" i="3"/>
  <c r="A22" i="3"/>
  <c r="A21" i="3"/>
  <c r="F20" i="3"/>
  <c r="A20" i="3"/>
  <c r="F19" i="3"/>
  <c r="A19" i="3"/>
  <c r="F18" i="3"/>
  <c r="A18" i="3"/>
  <c r="F17" i="3"/>
  <c r="A17" i="3"/>
  <c r="A16" i="3"/>
  <c r="A15" i="3"/>
  <c r="A14" i="3"/>
  <c r="A13" i="3"/>
  <c r="A12" i="3"/>
  <c r="A11" i="3"/>
  <c r="A10" i="3"/>
  <c r="F9" i="3"/>
  <c r="A9" i="3"/>
  <c r="A8" i="3"/>
  <c r="A7" i="3"/>
  <c r="A6" i="3"/>
  <c r="A5" i="3"/>
  <c r="A4" i="3"/>
  <c r="FM9" i="3"/>
  <c r="FM10" i="3" s="1"/>
  <c r="BA9" i="3"/>
  <c r="BA10" i="3" s="1"/>
  <c r="A3" i="3"/>
  <c r="AZ2" i="3"/>
  <c r="AV2" i="3"/>
  <c r="FO1" i="3"/>
  <c r="FN1" i="3"/>
  <c r="FM1" i="3"/>
  <c r="FL1" i="3"/>
  <c r="FK1" i="3"/>
  <c r="FJ1" i="3"/>
  <c r="FI1" i="3"/>
  <c r="FH1" i="3"/>
  <c r="FG1" i="3"/>
  <c r="FF1" i="3"/>
  <c r="FE1" i="3"/>
  <c r="FD1" i="3"/>
  <c r="FC1" i="3"/>
  <c r="FB1" i="3"/>
  <c r="FA1" i="3"/>
  <c r="EZ1" i="3"/>
  <c r="EY1" i="3"/>
  <c r="EX1" i="3"/>
  <c r="EW1" i="3"/>
  <c r="EV1" i="3"/>
  <c r="EU1" i="3"/>
  <c r="ET1" i="3"/>
  <c r="ES1" i="3"/>
  <c r="ER1" i="3"/>
  <c r="EQ1" i="3"/>
  <c r="EP1" i="3"/>
  <c r="EO1" i="3"/>
  <c r="EN1" i="3"/>
  <c r="EM1" i="3"/>
  <c r="EL1" i="3"/>
  <c r="EK1" i="3"/>
  <c r="EJ1" i="3"/>
  <c r="EI1" i="3"/>
  <c r="EH1" i="3"/>
  <c r="EG1" i="3"/>
  <c r="EF1" i="3"/>
  <c r="EE1" i="3"/>
  <c r="ED1" i="3"/>
  <c r="EC1" i="3"/>
  <c r="EB1" i="3"/>
  <c r="EA1" i="3"/>
  <c r="DZ1" i="3"/>
  <c r="DY1" i="3"/>
  <c r="DX1" i="3"/>
  <c r="DW1" i="3"/>
  <c r="DV1" i="3"/>
  <c r="DU1" i="3"/>
  <c r="DT1" i="3"/>
  <c r="DS1" i="3"/>
  <c r="DR1" i="3"/>
  <c r="DQ1" i="3"/>
  <c r="DP1" i="3"/>
  <c r="DO1" i="3"/>
  <c r="DN1" i="3"/>
  <c r="DM1" i="3"/>
  <c r="DL1" i="3"/>
  <c r="DK1" i="3"/>
  <c r="DJ1" i="3"/>
  <c r="DI1" i="3"/>
  <c r="DH1" i="3"/>
  <c r="DG1" i="3"/>
  <c r="DF1" i="3"/>
  <c r="DE1" i="3"/>
  <c r="DD1" i="3"/>
  <c r="DC1" i="3"/>
  <c r="DB1" i="3"/>
  <c r="DA1" i="3"/>
  <c r="CZ1" i="3"/>
  <c r="CY1" i="3"/>
  <c r="CX1" i="3"/>
  <c r="CW1" i="3"/>
  <c r="CV1" i="3"/>
  <c r="CU1" i="3"/>
  <c r="CT1" i="3"/>
  <c r="CS1" i="3"/>
  <c r="CR1" i="3"/>
  <c r="CQ1" i="3"/>
  <c r="CP1" i="3"/>
  <c r="CO1" i="3"/>
  <c r="CN1" i="3"/>
  <c r="CM1" i="3"/>
  <c r="CL1" i="3"/>
  <c r="CK1" i="3"/>
  <c r="CJ1" i="3"/>
  <c r="CI1" i="3"/>
  <c r="CH1" i="3"/>
  <c r="CG1" i="3"/>
  <c r="CF1" i="3"/>
  <c r="CE1" i="3"/>
  <c r="CD1" i="3"/>
  <c r="CC1" i="3"/>
  <c r="CB1" i="3"/>
  <c r="CA1" i="3"/>
  <c r="BZ1" i="3"/>
  <c r="BY1" i="3"/>
  <c r="BX1" i="3"/>
  <c r="BW1" i="3"/>
  <c r="BV1" i="3"/>
  <c r="BU1" i="3"/>
  <c r="BT1" i="3"/>
  <c r="BS1" i="3"/>
  <c r="BR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V1" i="3"/>
  <c r="A1" i="3"/>
  <c r="B49" i="2"/>
  <c r="C49" i="2" s="1"/>
  <c r="A49" i="2"/>
  <c r="B48" i="2"/>
  <c r="C48" i="2" s="1"/>
  <c r="A48" i="2"/>
  <c r="B47" i="2"/>
  <c r="C47" i="2" s="1"/>
  <c r="A47" i="2"/>
  <c r="A46" i="2"/>
  <c r="B45" i="2"/>
  <c r="C45" i="2" s="1"/>
  <c r="A45" i="2"/>
  <c r="B44" i="2"/>
  <c r="C44" i="2" s="1"/>
  <c r="A44" i="2"/>
  <c r="B43" i="2"/>
  <c r="C43" i="2" s="1"/>
  <c r="A43" i="2"/>
  <c r="B42" i="2"/>
  <c r="C42" i="2" s="1"/>
  <c r="A42" i="2"/>
  <c r="B41" i="2"/>
  <c r="C41" i="2" s="1"/>
  <c r="A41" i="2"/>
  <c r="B40" i="2"/>
  <c r="C40" i="2" s="1"/>
  <c r="A40" i="2"/>
  <c r="B39" i="2"/>
  <c r="C39" i="2" s="1"/>
  <c r="A39" i="2"/>
  <c r="B38" i="2"/>
  <c r="C38" i="2" s="1"/>
  <c r="A38" i="2"/>
  <c r="A37" i="2"/>
  <c r="B36" i="2"/>
  <c r="C36" i="2" s="1"/>
  <c r="A36" i="2"/>
  <c r="B35" i="2"/>
  <c r="C35" i="2" s="1"/>
  <c r="A35" i="2"/>
  <c r="A34" i="2"/>
  <c r="A33" i="2"/>
  <c r="B32" i="2"/>
  <c r="C32" i="2" s="1"/>
  <c r="A32" i="2"/>
  <c r="B31" i="2"/>
  <c r="C31" i="2" s="1"/>
  <c r="A31" i="2"/>
  <c r="A30" i="2"/>
  <c r="B29" i="2"/>
  <c r="C29" i="2" s="1"/>
  <c r="A29" i="2"/>
  <c r="B28" i="2"/>
  <c r="C28" i="2" s="1"/>
  <c r="A28" i="2"/>
  <c r="B27" i="2"/>
  <c r="C27" i="2" s="1"/>
  <c r="A27" i="2"/>
  <c r="B26" i="2"/>
  <c r="C26" i="2" s="1"/>
  <c r="A26" i="2"/>
  <c r="B25" i="2"/>
  <c r="C25" i="2" s="1"/>
  <c r="A25" i="2"/>
  <c r="B24" i="2"/>
  <c r="C24" i="2" s="1"/>
  <c r="A24" i="2"/>
  <c r="B23" i="2"/>
  <c r="C23" i="2" s="1"/>
  <c r="A23" i="2"/>
  <c r="A22" i="2"/>
  <c r="B20" i="2"/>
  <c r="A19" i="2"/>
  <c r="A18" i="2"/>
  <c r="B17" i="2"/>
  <c r="C17" i="2" s="1"/>
  <c r="A17" i="2"/>
  <c r="B16" i="2"/>
  <c r="C16" i="2" s="1"/>
  <c r="A16" i="2"/>
  <c r="A15" i="2"/>
  <c r="B14" i="2"/>
  <c r="C14" i="2" s="1"/>
  <c r="A14" i="2"/>
  <c r="B13" i="2"/>
  <c r="C13" i="2" s="1"/>
  <c r="A13" i="2"/>
  <c r="B12" i="2"/>
  <c r="C12" i="2" s="1"/>
  <c r="A12" i="2"/>
  <c r="B11" i="2"/>
  <c r="C11" i="2" s="1"/>
  <c r="A11" i="2"/>
  <c r="B10" i="2"/>
  <c r="C10" i="2" s="1"/>
  <c r="A10" i="2"/>
  <c r="B9" i="2"/>
  <c r="C9" i="2" s="1"/>
  <c r="A9" i="2"/>
  <c r="B8" i="2"/>
  <c r="C8" i="2" s="1"/>
  <c r="A8" i="2"/>
  <c r="A7" i="2"/>
  <c r="B6" i="2"/>
  <c r="C6" i="2" s="1"/>
  <c r="A6" i="2"/>
  <c r="B5" i="2"/>
  <c r="C5" i="2" s="1"/>
  <c r="A5" i="2"/>
  <c r="B4" i="2"/>
  <c r="C4" i="2" s="1"/>
  <c r="A4" i="2"/>
  <c r="A3" i="2"/>
  <c r="B21" i="2" l="1"/>
  <c r="C21" i="2" s="1"/>
  <c r="C20" i="2"/>
  <c r="AW14" i="3"/>
  <c r="AW9" i="3"/>
  <c r="C6" i="4"/>
  <c r="C3" i="4"/>
  <c r="GX7" i="6"/>
  <c r="GX4" i="6"/>
  <c r="GZ14" i="6"/>
  <c r="GZ15" i="6" s="1"/>
  <c r="GZ9" i="6"/>
  <c r="GZ10" i="6" s="1"/>
  <c r="GZ6" i="6"/>
  <c r="GZ3" i="6"/>
  <c r="HD14" i="6"/>
  <c r="HD15" i="6" s="1"/>
  <c r="HD9" i="6"/>
  <c r="HD10" i="6" s="1"/>
  <c r="HD6" i="6"/>
  <c r="HD3" i="6"/>
  <c r="HH14" i="6"/>
  <c r="HH15" i="6" s="1"/>
  <c r="HH9" i="6"/>
  <c r="HH10" i="6" s="1"/>
  <c r="HH6" i="6"/>
  <c r="HH3" i="6"/>
  <c r="HL14" i="6"/>
  <c r="HL15" i="6" s="1"/>
  <c r="HL9" i="6"/>
  <c r="HL10" i="6" s="1"/>
  <c r="HL6" i="6"/>
  <c r="HL3" i="6"/>
  <c r="HP14" i="6"/>
  <c r="HP15" i="6" s="1"/>
  <c r="HP9" i="6"/>
  <c r="HP10" i="6" s="1"/>
  <c r="HP6" i="6"/>
  <c r="HP3" i="6"/>
  <c r="HT14" i="6"/>
  <c r="HT15" i="6" s="1"/>
  <c r="HT9" i="6"/>
  <c r="HT10" i="6" s="1"/>
  <c r="HT6" i="6"/>
  <c r="HT3" i="6"/>
  <c r="HX14" i="6"/>
  <c r="HX15" i="6" s="1"/>
  <c r="HX9" i="6"/>
  <c r="HX10" i="6" s="1"/>
  <c r="HX6" i="6"/>
  <c r="HX3" i="6"/>
  <c r="IB14" i="6"/>
  <c r="IB15" i="6" s="1"/>
  <c r="IB9" i="6"/>
  <c r="IB10" i="6" s="1"/>
  <c r="IB6" i="6"/>
  <c r="IB3" i="6"/>
  <c r="IF14" i="6"/>
  <c r="IF15" i="6" s="1"/>
  <c r="IF9" i="6"/>
  <c r="IF10" i="6" s="1"/>
  <c r="IF6" i="6"/>
  <c r="IF3" i="6"/>
  <c r="IJ14" i="6"/>
  <c r="IJ15" i="6" s="1"/>
  <c r="IJ9" i="6"/>
  <c r="IJ10" i="6" s="1"/>
  <c r="IJ6" i="6"/>
  <c r="IJ3" i="6"/>
  <c r="IN14" i="6"/>
  <c r="IN15" i="6" s="1"/>
  <c r="IN9" i="6"/>
  <c r="IN10" i="6" s="1"/>
  <c r="IN6" i="6"/>
  <c r="IN3" i="6"/>
  <c r="IR14" i="6"/>
  <c r="IR15" i="6" s="1"/>
  <c r="IR9" i="6"/>
  <c r="IR10" i="6" s="1"/>
  <c r="IR6" i="6"/>
  <c r="IR3" i="6"/>
  <c r="IV14" i="6"/>
  <c r="IV15" i="6" s="1"/>
  <c r="IV9" i="6"/>
  <c r="IV10" i="6" s="1"/>
  <c r="IV6" i="6"/>
  <c r="IV3" i="6"/>
  <c r="IZ14" i="6"/>
  <c r="IZ15" i="6" s="1"/>
  <c r="IZ9" i="6"/>
  <c r="IZ10" i="6" s="1"/>
  <c r="IZ6" i="6"/>
  <c r="IZ3" i="6"/>
  <c r="JD14" i="6"/>
  <c r="JD15" i="6" s="1"/>
  <c r="JD9" i="6"/>
  <c r="JD10" i="6" s="1"/>
  <c r="JD6" i="6"/>
  <c r="JD3" i="6"/>
  <c r="JH14" i="6"/>
  <c r="JH15" i="6" s="1"/>
  <c r="JH9" i="6"/>
  <c r="JH10" i="6" s="1"/>
  <c r="JH6" i="6"/>
  <c r="JH3" i="6"/>
  <c r="JL14" i="6"/>
  <c r="JL15" i="6" s="1"/>
  <c r="JL9" i="6"/>
  <c r="JL10" i="6" s="1"/>
  <c r="JL6" i="6"/>
  <c r="JL3" i="6"/>
  <c r="JP14" i="6"/>
  <c r="JP15" i="6" s="1"/>
  <c r="JP9" i="6"/>
  <c r="JP10" i="6" s="1"/>
  <c r="JP6" i="6"/>
  <c r="JP3" i="6"/>
  <c r="JT14" i="6"/>
  <c r="JT15" i="6" s="1"/>
  <c r="JT9" i="6"/>
  <c r="JT10" i="6" s="1"/>
  <c r="JT6" i="6"/>
  <c r="JT3" i="6"/>
  <c r="JX14" i="6"/>
  <c r="JX15" i="6" s="1"/>
  <c r="JX9" i="6"/>
  <c r="JX10" i="6" s="1"/>
  <c r="JX6" i="6"/>
  <c r="JX3" i="6"/>
  <c r="KB14" i="6"/>
  <c r="KB15" i="6" s="1"/>
  <c r="KB9" i="6"/>
  <c r="KB10" i="6" s="1"/>
  <c r="KB6" i="6"/>
  <c r="KB3" i="6"/>
  <c r="KF14" i="6"/>
  <c r="KF15" i="6" s="1"/>
  <c r="KF9" i="6"/>
  <c r="KF10" i="6" s="1"/>
  <c r="KF6" i="6"/>
  <c r="KF3" i="6"/>
  <c r="KJ14" i="6"/>
  <c r="KJ15" i="6" s="1"/>
  <c r="KJ9" i="6"/>
  <c r="KJ10" i="6" s="1"/>
  <c r="KJ6" i="6"/>
  <c r="KJ3" i="6"/>
  <c r="KN14" i="6"/>
  <c r="KN15" i="6" s="1"/>
  <c r="KN9" i="6"/>
  <c r="KN10" i="6" s="1"/>
  <c r="KN6" i="6"/>
  <c r="KN3" i="6"/>
  <c r="KR14" i="6"/>
  <c r="KR15" i="6" s="1"/>
  <c r="KR9" i="6"/>
  <c r="KR10" i="6" s="1"/>
  <c r="KR6" i="6"/>
  <c r="KR3" i="6"/>
  <c r="KT8" i="7"/>
  <c r="KT7" i="7"/>
  <c r="KV14" i="7"/>
  <c r="KV15" i="7" s="1"/>
  <c r="KV9" i="7"/>
  <c r="KV10" i="7" s="1"/>
  <c r="KZ14" i="7"/>
  <c r="KZ15" i="7" s="1"/>
  <c r="KZ9" i="7"/>
  <c r="KZ10" i="7" s="1"/>
  <c r="LD14" i="7"/>
  <c r="LD15" i="7" s="1"/>
  <c r="LD9" i="7"/>
  <c r="LD10" i="7" s="1"/>
  <c r="LH14" i="7"/>
  <c r="LH15" i="7" s="1"/>
  <c r="LH9" i="7"/>
  <c r="LH10" i="7" s="1"/>
  <c r="LL14" i="7"/>
  <c r="LL15" i="7" s="1"/>
  <c r="LL9" i="7"/>
  <c r="LL10" i="7" s="1"/>
  <c r="LP14" i="7"/>
  <c r="LP15" i="7" s="1"/>
  <c r="LP9" i="7"/>
  <c r="LP10" i="7" s="1"/>
  <c r="LT14" i="7"/>
  <c r="LT15" i="7" s="1"/>
  <c r="LT9" i="7"/>
  <c r="LT10" i="7" s="1"/>
  <c r="LX14" i="7"/>
  <c r="LX15" i="7" s="1"/>
  <c r="LX9" i="7"/>
  <c r="LX10" i="7" s="1"/>
  <c r="MB14" i="7"/>
  <c r="MB15" i="7" s="1"/>
  <c r="MB9" i="7"/>
  <c r="MB10" i="7" s="1"/>
  <c r="MF14" i="7"/>
  <c r="MF15" i="7" s="1"/>
  <c r="MF9" i="7"/>
  <c r="MF10" i="7" s="1"/>
  <c r="MJ14" i="7"/>
  <c r="MJ15" i="7" s="1"/>
  <c r="MJ9" i="7"/>
  <c r="MJ10" i="7" s="1"/>
  <c r="MN14" i="7"/>
  <c r="MN15" i="7" s="1"/>
  <c r="MN9" i="7"/>
  <c r="MN10" i="7" s="1"/>
  <c r="MR14" i="7"/>
  <c r="MR15" i="7" s="1"/>
  <c r="MR9" i="7"/>
  <c r="MR10" i="7" s="1"/>
  <c r="MV14" i="7"/>
  <c r="MV15" i="7" s="1"/>
  <c r="MV9" i="7"/>
  <c r="MV10" i="7" s="1"/>
  <c r="MZ14" i="7"/>
  <c r="MZ15" i="7" s="1"/>
  <c r="MZ9" i="7"/>
  <c r="MZ10" i="7" s="1"/>
  <c r="ND14" i="7"/>
  <c r="ND15" i="7" s="1"/>
  <c r="ND9" i="7"/>
  <c r="ND10" i="7" s="1"/>
  <c r="NH14" i="7"/>
  <c r="NH15" i="7" s="1"/>
  <c r="NH9" i="7"/>
  <c r="NH10" i="7" s="1"/>
  <c r="NL14" i="7"/>
  <c r="NL15" i="7" s="1"/>
  <c r="NL9" i="7"/>
  <c r="NL10" i="7" s="1"/>
  <c r="NP14" i="7"/>
  <c r="NP15" i="7" s="1"/>
  <c r="NP9" i="7"/>
  <c r="NP10" i="7" s="1"/>
  <c r="NT14" i="7"/>
  <c r="NT15" i="7" s="1"/>
  <c r="NT9" i="7"/>
  <c r="NT10" i="7" s="1"/>
  <c r="NX14" i="7"/>
  <c r="NX15" i="7" s="1"/>
  <c r="NX9" i="7"/>
  <c r="NX10" i="7" s="1"/>
  <c r="OB14" i="7"/>
  <c r="OB15" i="7" s="1"/>
  <c r="OB9" i="7"/>
  <c r="OB10" i="7" s="1"/>
  <c r="OF14" i="7"/>
  <c r="OF15" i="7" s="1"/>
  <c r="OF9" i="7"/>
  <c r="OF10" i="7" s="1"/>
  <c r="OJ14" i="7"/>
  <c r="OJ15" i="7" s="1"/>
  <c r="OJ9" i="7"/>
  <c r="OJ10" i="7" s="1"/>
  <c r="AW10" i="3" l="1"/>
  <c r="AT10" i="3" s="1"/>
  <c r="E10" i="8" s="1"/>
  <c r="AT9" i="3"/>
  <c r="E9" i="8" s="1"/>
  <c r="AW15" i="3"/>
  <c r="AT15" i="3" s="1"/>
  <c r="E15" i="8" s="1"/>
  <c r="AT14" i="3"/>
  <c r="E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Dimitri  Bolt</author>
  </authors>
  <commentList>
    <comment ref="V1" authorId="0" shapeId="0" xr:uid="{00000000-0006-0000-0000-000001000000}">
      <text>
        <r>
          <rPr>
            <sz val="10"/>
            <rFont val="Arial"/>
            <family val="2"/>
          </rPr>
          <t xml:space="preserve">Dmitry Boltyanskiy:
</t>
        </r>
        <r>
          <rPr>
            <sz val="9"/>
            <color rgb="FF000000"/>
            <rFont val="Tahoma"/>
            <charset val="1"/>
          </rPr>
          <t>Indicator (dependent variable)</t>
        </r>
      </text>
    </comment>
  </commentList>
</comments>
</file>

<file path=xl/sharedStrings.xml><?xml version="1.0" encoding="utf-8"?>
<sst xmlns="http://schemas.openxmlformats.org/spreadsheetml/2006/main" count="8235" uniqueCount="578">
  <si>
    <t>Пожалуйста, введите свой ID, который вы получили после подписания соглашения на участие.</t>
  </si>
  <si>
    <t>Вы уехали из России после 24-го февраля 2022 года? / Did you leave Russia after February 24th 2022?</t>
  </si>
  <si>
    <t>В данный момент вы проживаете в Грузии или Армении?/ Are you currently residing in Georgia or Armenia?</t>
  </si>
  <si>
    <t xml:space="preserve">Вы свободно говорите по-русски? / Are you fluent in Russian? </t>
  </si>
  <si>
    <t>Ваш пол / Gender</t>
  </si>
  <si>
    <t>Возраста / Age</t>
  </si>
  <si>
    <t>Укажите вашу этническую принадлежнось / Which ethnicity best describes you?</t>
  </si>
  <si>
    <t>На каких языках вы разговариваете? / What languages do you speak?</t>
  </si>
  <si>
    <t>Из какого города/села вы эмигрировали (название, область)? / What place did you emigrate from?</t>
  </si>
  <si>
    <t>В каком городе/селе вы сейчас находитесь (название, страна)? Where are you residing now?</t>
  </si>
  <si>
    <t>Семейное положение / Which of the following best describes your current relationship status?</t>
  </si>
  <si>
    <t>У вас есть дети моложе 18 лет? / Do you have any children under 18?</t>
  </si>
  <si>
    <t xml:space="preserve">Если да, то сколько? / If yes, how many? </t>
  </si>
  <si>
    <t>Есть ли у вас другие члены семьи на иждивении? / Do you have any other dependents who are currently living with you</t>
  </si>
  <si>
    <t>Если да, то сколько? / If yes, how many?</t>
  </si>
  <si>
    <t>Уровень образования / Highest level of education:</t>
  </si>
  <si>
    <t>Какой у вас уровень доходов? / What is your current income?</t>
  </si>
  <si>
    <t>Почему вы решили уехать из России? / What were your reasons for leaving Russia?</t>
  </si>
  <si>
    <t>Я не доверяю людям в этой стране. / I do not trust the people of this country.</t>
  </si>
  <si>
    <t xml:space="preserve">Я скучаю по атмосфере моего родного города (села). / I miss the atmosphere of my hometown. </t>
  </si>
  <si>
    <t>Социум постоянно напоминает мне, что я иммигрант. / Society constantly reminds you that you are an immigrant.</t>
  </si>
  <si>
    <t>Я чувствую себя одиноким. /  I feel alone.</t>
  </si>
  <si>
    <t xml:space="preserve">У меня слишком много обязанностей. / I have too many responsibilities. </t>
  </si>
  <si>
    <t xml:space="preserve">Меня беспокоит, что я не смогу дать моим детям образование, которое будет соответствовать моей культуре. / It worries me that I cannot educate my children according to my culture. </t>
  </si>
  <si>
    <t xml:space="preserve">Я чувствую, что я потерпел неудачу. / I feel that I have failed. </t>
  </si>
  <si>
    <t xml:space="preserve">Я чувствую, что я не принадлежу к этому обществу. / I feel that I do not belong to this society. </t>
  </si>
  <si>
    <t>Я боюсь, что я потерплю неудачу в этой стране. /  I fear that I will fail in this country.</t>
  </si>
  <si>
    <t xml:space="preserve"> Я не чувствую себя здесь принятым. / I do not feel accepted here. </t>
  </si>
  <si>
    <t xml:space="preserve">Я чувствую себя очень плохо, когда я думаю о том, что я оставил в своей стране. / I feel very bad when I think about everything I left behind in my country. </t>
  </si>
  <si>
    <t xml:space="preserve">Я переживаю за свое здоровье. / I am worried about my health. </t>
  </si>
  <si>
    <t xml:space="preserve">У меня нет адекватного жилья. / I do not have adequate housing. </t>
  </si>
  <si>
    <t>Я чувствую вину за то, что я оставил свою семью. / I feel guilty for having left my family.</t>
  </si>
  <si>
    <t xml:space="preserve">Я чувствую как будто я бросил свою семью. / I feel like I have abandoned my family. </t>
  </si>
  <si>
    <t xml:space="preserve">Я скучаю по своей семье. / I miss my family. </t>
  </si>
  <si>
    <t xml:space="preserve"> Я часто чувствую себя напряженным. / I frequently feel tense. </t>
  </si>
  <si>
    <t xml:space="preserve">Я не уверен, что я хочу здесь остаться. / I am not sure if I want to stay here. </t>
  </si>
  <si>
    <t xml:space="preserve">У меня есть финансовые проблемы. / I have financial problems. </t>
  </si>
  <si>
    <t xml:space="preserve">Мне очень сложно решить свои проблемы. / It is very difficult for me to solve my problems. </t>
  </si>
  <si>
    <t xml:space="preserve">Я жалею, что я покинул свою страну. / I regret having left my country. </t>
  </si>
  <si>
    <t xml:space="preserve">С тех пор как я сюда переехал, моя жизнь стала хуже. / Since I moved here my life has gotten worse. </t>
  </si>
  <si>
    <t xml:space="preserve">Я переживаю, что я вовлек других людей в свое желание эмигрировать. / It worries me that I have involved other people in my decision to immigrate. </t>
  </si>
  <si>
    <t>Я чувствую, что моя культура недооценена. / I have felt that my culture is undervalued.</t>
  </si>
  <si>
    <t xml:space="preserve">Я чувствую давление от жителей этой страны принять их стиль жизни. / I feel pressured by the people of this country to adopt their lifestyle. </t>
  </si>
  <si>
    <t xml:space="preserve">В этой стране иммигранты не имеют возможности получить высокие должности. / In this country, immigrants do not have the opportunity to obtain higher ranking jobs. </t>
  </si>
  <si>
    <t>Я переживаю, что я не смогу содержать свою семью. / I am worried that I cannot support my family.</t>
  </si>
  <si>
    <t xml:space="preserve">Я не чувствую себя хорошо в этой стране. / I don't feel good in this country. </t>
  </si>
  <si>
    <t>Я чувствую дискриминацию, когда я пытаюсь найти жилье. / I feel discriminated against when it comes to finding housing.</t>
  </si>
  <si>
    <t>Я очень волнуюсь за свою страну происхождения. / I worry a lot about my country of origin.</t>
  </si>
  <si>
    <t>Я чувствую, что я никогда не смогу вернуться на родину. / I feel like I will never be able to come back to my homeland.</t>
  </si>
  <si>
    <t xml:space="preserve">Отсутствие жилья / Lack of shelter </t>
  </si>
  <si>
    <t>Отсутствие еды или воды / Lack of food or water</t>
  </si>
  <si>
    <t>Плохое здоровье без доступа к медицинской помощи / Ill health without access to medical care</t>
  </si>
  <si>
    <t>Конфискация имущества / Confiscation of personal property</t>
  </si>
  <si>
    <t>Избиение / Beating to the body</t>
  </si>
  <si>
    <t>Изнасилование / Rape</t>
  </si>
  <si>
    <t>Другие виды сексуального домогательства или унижения / Other types of sexual abuse or sexual humiliation</t>
  </si>
  <si>
    <t xml:space="preserve">Арест / Imprisonment </t>
  </si>
  <si>
    <t xml:space="preserve">Рэкет или ограбление / Extortion or robbery </t>
  </si>
  <si>
    <t>Промывка мозгов / Brainwashing</t>
  </si>
  <si>
    <t>Разделение с членами семьи / Separation from family members</t>
  </si>
  <si>
    <t>Предательство члена семьи или друга / Betrayal of family member, or friend</t>
  </si>
  <si>
    <t>Присутствие при избиении другого человека / Witness beating to head or body</t>
  </si>
  <si>
    <t>Присутствие при пытках / Witness torture</t>
  </si>
  <si>
    <t>Присутствие при изнасиловании или сексуальных домогательствах / Witness rape or sexual abuse</t>
  </si>
  <si>
    <t>Утопление / Near drowning</t>
  </si>
  <si>
    <t>Голод / Starvation</t>
  </si>
  <si>
    <t>Пожалуйста, перечислите другие ситуации, в которых вы сильно испугались или почувствовали, что вашей жизни угрожает опасность. / Please list any other situations not included above that were very frightening or in which you felt your life was in danger.</t>
  </si>
  <si>
    <t>Насколько нижеприведенные симптомы вас беспокоили в течение последней недели?</t>
  </si>
  <si>
    <t>Насколько нижеприведенные симптомы беспокоили вас в течение последней недели? / How much have the following symptoms bothered you in the past week?</t>
  </si>
  <si>
    <t xml:space="preserve">Внезапный страх без видимой причины / Suddenly scared for no reason </t>
  </si>
  <si>
    <t>Чувство пугливости / Feeling fearful</t>
  </si>
  <si>
    <t>Обморочность, головокуржение, слабость / Faintness, dizziness or weakness</t>
  </si>
  <si>
    <t>Нервозность или внутренняя дрожь / Nervousness or shakiness inside</t>
  </si>
  <si>
    <t>Сердебиение или учащение пульса / Heart pounding or racing</t>
  </si>
  <si>
    <t>Тремор / Trembling</t>
  </si>
  <si>
    <t>Напряжение, взвинченность / Feeling tense or keyed up</t>
  </si>
  <si>
    <t>Головная боль / Headaches</t>
  </si>
  <si>
    <t>Присуп ужаса, паники / Spell of terror or panic</t>
  </si>
  <si>
    <t>Ощущение тревожности, не можете найти себе место / Feeling restless or can’t sit still</t>
  </si>
  <si>
    <t>Ощущение вялости, заторможенности / Feeling low in energy, slowed down</t>
  </si>
  <si>
    <t>Обвиняете себя за что-либо / Blaming yourself for things</t>
  </si>
  <si>
    <t>Легко начинаете плакать / Crying easily</t>
  </si>
  <si>
    <t>Утрата сексуального влечения или удовольствия / Loss of sexual interest or pleasure</t>
  </si>
  <si>
    <t>Плохой аппетит / Poor appetite</t>
  </si>
  <si>
    <t xml:space="preserve">Сложности с засыпанием или со сном / Difficulty falling asleep, staying asleep </t>
  </si>
  <si>
    <t>Чувство безнадежности в отношении будущего / Feeling hopeless about future</t>
  </si>
  <si>
    <t>Подавленное настроение / Feeling blue</t>
  </si>
  <si>
    <t>Чувство одиночества / Feeling lonely</t>
  </si>
  <si>
    <t>Чувство, что вы в ловушке или пойманы / Feeling of being trapped or caught</t>
  </si>
  <si>
    <t>Чрезмерное беспокойство по незначительным поводам / Worry too much about things</t>
  </si>
  <si>
    <t>Отсутствие интереса к чему-либо / Feeling no interest in things</t>
  </si>
  <si>
    <t>Ощущение, что все дается с трудом / Feeling everything is an effort</t>
  </si>
  <si>
    <t>Ощущение своей никчемности / Feeling of worthlessness</t>
  </si>
  <si>
    <t>Open-Ended Response</t>
  </si>
  <si>
    <t>Да / Yes</t>
  </si>
  <si>
    <t>Нет / No</t>
  </si>
  <si>
    <t>Женский / Female</t>
  </si>
  <si>
    <t>Мужской / Male</t>
  </si>
  <si>
    <t>Небинарный / Non-binary</t>
  </si>
  <si>
    <t>Моложе  18</t>
  </si>
  <si>
    <t>18-24</t>
  </si>
  <si>
    <t>25-34</t>
  </si>
  <si>
    <t>35-44</t>
  </si>
  <si>
    <t>45-54</t>
  </si>
  <si>
    <t>55-64</t>
  </si>
  <si>
    <t>65+</t>
  </si>
  <si>
    <t>Русский(ая) / Russian</t>
  </si>
  <si>
    <t>Другая этническая принадлежность (уточните) / Other (please specify)</t>
  </si>
  <si>
    <t>Женат (замужем) / Married</t>
  </si>
  <si>
    <t>Вдовец (вдова) / Widowed</t>
  </si>
  <si>
    <t>В разводе / Divorced</t>
  </si>
  <si>
    <t>Раздельное проживание / Separated</t>
  </si>
  <si>
    <t>Гражданский брак / Cohabiting with a significant other or in a domestic partnership</t>
  </si>
  <si>
    <t>Никогда не был женат (замужем) / Single, never married</t>
  </si>
  <si>
    <t>Предпочитаю не отвечать / Prefer not to answer</t>
  </si>
  <si>
    <t>Незаконченное среднее образование / Less than high school graduate</t>
  </si>
  <si>
    <t>Среднее образование / High school graduate</t>
  </si>
  <si>
    <t>Незаконченное высшее / Some college</t>
  </si>
  <si>
    <t>Высшее образование (бакалавриат) / Bachelor’s Degree</t>
  </si>
  <si>
    <t>Высшее образование (специалист) / 5 years of college</t>
  </si>
  <si>
    <t>Магистратура / Master’s Degree</t>
  </si>
  <si>
    <t>Кандидат наук / Doctoral Degree</t>
  </si>
  <si>
    <t>Профессиональное образование / Professional Degree</t>
  </si>
  <si>
    <t>Ниже среднего / Below average</t>
  </si>
  <si>
    <t>Средний / Average</t>
  </si>
  <si>
    <t>Выше среднего / Above average</t>
  </si>
  <si>
    <t>Полностью согласен / Strongly agree</t>
  </si>
  <si>
    <t>Скорее согласен / Moderately agree</t>
  </si>
  <si>
    <t>Скорее не согласен / Moderately disagree</t>
  </si>
  <si>
    <t>Полностью не согласен / Strongly disagree</t>
  </si>
  <si>
    <t>Навязчивые мысли и воспоминания о наиболее болезненных или пугающих событиях / Recurrent thoughts or memories of the most hurtful or terrifying events - Совсем нет/Not at all</t>
  </si>
  <si>
    <t>Навязчивые мысли и воспоминания о наиболее болезненных или пугающих событиях / Recurrent thoughts or memories of the most hurtful or terrifying events - Немного/A little</t>
  </si>
  <si>
    <t>Навязчивые мысли и воспоминания о наиболее болезненных или пугающих событиях / Recurrent thoughts or memories of the most hurtful or terrifying events - Довольно сильно/Quite a bit</t>
  </si>
  <si>
    <t>Навязчивые мысли и воспоминания о наиболее болезненных или пугающих событиях / Recurrent thoughts or memories of the most hurtful or terrifying events - Очень сильно/Extremely</t>
  </si>
  <si>
    <t>Ощущение, что это событие повторяется вновь / Feeling as though the event is happening again - Совсем нет/Not at all</t>
  </si>
  <si>
    <t>Ощущение, что это событие повторяется вновь / Feeling as though the event is happening again - Немного/A little</t>
  </si>
  <si>
    <t>Ощущение, что это событие повторяется вновь / Feeling as though the event is happening again - Довольно сильно/Quite a bit</t>
  </si>
  <si>
    <t>Ощущение, что это событие повторяется вновь / Feeling as though the event is happening again - Очень сильно/Extremely</t>
  </si>
  <si>
    <t>Повторяющиеся ночные кошмары / Recurrent nightmares - Совсем нет/Not at all</t>
  </si>
  <si>
    <t>Повторяющиеся ночные кошмары / Recurrent nightmares - Немного/A little</t>
  </si>
  <si>
    <t>Повторяющиеся ночные кошмары / Recurrent nightmares - Довольно сильно/Quite a bit</t>
  </si>
  <si>
    <t>Повторяющиеся ночные кошмары / Recurrent nightmares - Очень сильно/Extremely</t>
  </si>
  <si>
    <t>Ощущение отовранности или отчужденности от людей / Feeling detached or withdrawn from people - Совсем нет/Not at all</t>
  </si>
  <si>
    <t>Ощущение отовранности или отчужденности от людей / Feeling detached or withdrawn from people - Немного/A little</t>
  </si>
  <si>
    <t>Ощущение отовранности или отчужденности от людей / Feeling detached or withdrawn from people - Довольно сильно/Quite a bit</t>
  </si>
  <si>
    <t>Ощущение отовранности или отчужденности от людей / Feeling detached or withdrawn from people - Очень сильно/Extremely</t>
  </si>
  <si>
    <t>Неспособность испытывать эмоции / Unable to feel emotions - Совсем нет/Not at all</t>
  </si>
  <si>
    <t>Неспособность испытывать эмоции / Unable to feel emotions - Немного/A little</t>
  </si>
  <si>
    <t>Неспособность испытывать эмоции / Unable to feel emotions - Довольно сильно/Quite a bit</t>
  </si>
  <si>
    <t>Неспособность испытывать эмоции / Unable to feel emotions - Очень сильно/Extremely</t>
  </si>
  <si>
    <t>Нервозность, вздрагивание / Feeling jumpy, easily startled - Совсем нет/Not at all</t>
  </si>
  <si>
    <t>Нервозность, вздрагивание / Feeling jumpy, easily startled - Немного/A little</t>
  </si>
  <si>
    <t>Нервозность, вздрагивание / Feeling jumpy, easily startled - Довольно сильно/Quite a bit</t>
  </si>
  <si>
    <t>Нервозность, вздрагивание / Feeling jumpy, easily startled - Очень сильно/Extremely</t>
  </si>
  <si>
    <t>Трудности с концентрацией внимания / Difficulty concentrating - Совсем нет/Not at all</t>
  </si>
  <si>
    <t>Трудности с концентрацией внимания / Difficulty concentrating - Немного/A little</t>
  </si>
  <si>
    <t>Трудности с концентрацией внимания / Difficulty concentrating - Довольно сильно/Quite a bit</t>
  </si>
  <si>
    <t>Трудности с концентрацией внимания / Difficulty concentrating - Очень сильно/Extremely</t>
  </si>
  <si>
    <t>Проблемы со сном / Trouble sleeping - Совсем нет/Not at all</t>
  </si>
  <si>
    <t>Проблемы со сном / Trouble sleeping - Немного/A little</t>
  </si>
  <si>
    <t>Проблемы со сном / Trouble sleeping - Довольно сильно/Quite a bit</t>
  </si>
  <si>
    <t>Проблемы со сном / Trouble sleeping - Очень сильно/Extremely</t>
  </si>
  <si>
    <t>Постоянно настороже / Feeling on guard - Совсем нет/Not at all</t>
  </si>
  <si>
    <t>Постоянно настороже / Feeling on guard - Немного/A little</t>
  </si>
  <si>
    <t>Постоянно настороже / Feeling on guard - Довольно сильно/Quite a bit</t>
  </si>
  <si>
    <t>Постоянно настороже / Feeling on guard - Очень сильно/Extremely</t>
  </si>
  <si>
    <t>Легко раздражаетесь, испытываете вспышки гнева / Feeling irritable or having outbursts of anger - Совсем нет/Not at all</t>
  </si>
  <si>
    <t>Легко раздражаетесь, испытываете вспышки гнева / Feeling irritable or having outbursts of anger - Немного/A little</t>
  </si>
  <si>
    <t>Легко раздражаетесь, испытываете вспышки гнева / Feeling irritable or having outbursts of anger - Довольно сильно/Quite a bit</t>
  </si>
  <si>
    <t>Легко раздражаетесь, испытываете вспышки гнева / Feeling irritable or having outbursts of anger - Очень сильно/Extremely</t>
  </si>
  <si>
    <t>Избегания действий, которые напоминают вам о траматическом или болезненном событии. / Avoiding activities that remind you of the traumatic or hurtful event - Совсем нет/Not at all</t>
  </si>
  <si>
    <t>Избегания действий, которые напоминают вам о траматическом или болезненном событии. / Avoiding activities that remind you of the traumatic or hurtful event - Немного/A little</t>
  </si>
  <si>
    <t>Избегания действий, которые напоминают вам о траматическом или болезненном событии. / Avoiding activities that remind you of the traumatic or hurtful event - Довольно сильно/Quite a bit</t>
  </si>
  <si>
    <t>Избегания действий, которые напоминают вам о траматическом или болезненном событии. / Avoiding activities that remind you of the traumatic or hurtful event - Очень сильно/Extremely</t>
  </si>
  <si>
    <t>Невозможность вспомнить фрагменты наиболее болезненных или травматичных событий / Inability to remember parts of the most hurtful or traumatic events - Совсем нет/Not at all</t>
  </si>
  <si>
    <t>Невозможность вспомнить фрагменты наиболее болезненных или травматичных событий / Inability to remember parts of the most hurtful or traumatic events - Немного/A little</t>
  </si>
  <si>
    <t xml:space="preserve">Невозможность вспомнить фрагменты наиболее болезненных или травматичных событий / Inability to remember parts of the most hurtful or traumatic events - Довольно сильно/Quite a bit </t>
  </si>
  <si>
    <t xml:space="preserve">Невозможность вспомнить фрагменты наиболее болезненных или травматичных событий / Inability to remember parts of the most hurtful or traumatic events - Очень сильно/Extremely </t>
  </si>
  <si>
    <t>Пониженный интерес к повседневной деятельности / Less interest in daily activities - Совсем нет/Not at all</t>
  </si>
  <si>
    <t>Пониженный интерес к повседневной деятельности / Less interest in daily activities - Немного/A little</t>
  </si>
  <si>
    <t xml:space="preserve">Пониженный интерес к повседневной деятельности / Less interest in daily activities - Довольно сильно/Quite a bit </t>
  </si>
  <si>
    <t xml:space="preserve">Пониженный интерес к повседневной деятельности / Less interest in daily activities - Очень сильно/Extremely </t>
  </si>
  <si>
    <t>Чувство, что у вас нет будущего / Feeling as if you don’t have a future - Совсем нет/Not at all</t>
  </si>
  <si>
    <t>Чувство, что у вас нет будущего / Feeling as if you don’t have a future - Немного/A little</t>
  </si>
  <si>
    <t xml:space="preserve">Чувство, что у вас нет будущего / Feeling as if you don’t have a future - Довольно сильно/Quite a bit </t>
  </si>
  <si>
    <t xml:space="preserve">Чувство, что у вас нет будущего / Feeling as if you don’t have a future - Очень сильно/Extremely </t>
  </si>
  <si>
    <t>Избегание мыслей и чувств, которые ассоциируются с траматичными или болезненными собиытиями / Avoiding thoughts or feelings associated with the traumatic or hurtful events - Совсем нет/Not at all</t>
  </si>
  <si>
    <t>Избегание мыслей и чувств, которые ассоциируются с траматичными или болезненными собиытиями / Avoiding thoughts or feelings associated with the traumatic or hurtful events - Немного/A little</t>
  </si>
  <si>
    <t xml:space="preserve">Избегание мыслей и чувств, которые ассоциируются с траматичными или болезненными собиытиями / Avoiding thoughts or feelings associated with the traumatic or hurtful events - Довольно сильно/Quite a bit </t>
  </si>
  <si>
    <t xml:space="preserve">Избегание мыслей и чувств, которые ассоциируются с траматичными или болезненными собиытиями / Avoiding thoughts or feelings associated with the traumatic or hurtful events - Очень сильно/Extremely </t>
  </si>
  <si>
    <t>Внезапная эмоциональная или физическая реакция при напоминании об особенно болезненном или травматичном событии / Sudden emotional or physical reaction when reminded of the most hurtful or traumatic events - Совсем нет/Not at all</t>
  </si>
  <si>
    <t>Внезапная эмоциональная или физическая реакция при напоминании об особенно болезненном или травматичном событии / Sudden emotional or physical reaction when reminded of the most hurtful or traumatic events - Немного/A little</t>
  </si>
  <si>
    <t xml:space="preserve">Внезапная эмоциональная или физическая реакция при напоминании об особенно болезненном или травматичном событии / Sudden emotional or physical reaction when reminded of the most hurtful or traumatic events - Довольно сильно/Quite a bit </t>
  </si>
  <si>
    <t xml:space="preserve">Внезапная эмоциональная или физическая реакция при напоминании об особенно болезненном или травматичном событии / Sudden emotional or physical reaction when reminded of the most hurtful or traumatic events - Очень сильно/Extremely </t>
  </si>
  <si>
    <t>Ощущение, что мир очень опасен / Feeling that the world is a very dangerous place - Совсем нет/Not at all</t>
  </si>
  <si>
    <t>Ощущение, что мир очень опасен / Feeling that the world is a very dangerous place - Немного/A little</t>
  </si>
  <si>
    <t xml:space="preserve">Ощущение, что мир очень опасен / Feeling that the world is a very dangerous place - Довольно сильно/Quite a bit </t>
  </si>
  <si>
    <t xml:space="preserve">Ощущение, что мир очень опасен / Feeling that the world is a very dangerous place - Очень сильно/Extremely </t>
  </si>
  <si>
    <t>Ощущение, что вы плохой человек / Feeling that you are a bad person - Совсем нет/Not at all</t>
  </si>
  <si>
    <t>Ощущение, что вы плохой человек / Feeling that you are a bad person - Немного/A little</t>
  </si>
  <si>
    <t xml:space="preserve">Ощущение, что вы плохой человек / Feeling that you are a bad person - Довольно сильно/Quite a bit </t>
  </si>
  <si>
    <t xml:space="preserve">Ощущение, что вы плохой человек / Feeling that you are a bad person - Очень сильно/Extremely </t>
  </si>
  <si>
    <t>Обвинение себя в том, что произошло / Blaming yourself for the traumatic event - Совсем нет/Not at all</t>
  </si>
  <si>
    <t>Обвинение себя в том, что произошло / Blaming yourself for the traumatic event - Немного/A little</t>
  </si>
  <si>
    <t>Обвинение себя в том, что произошло / Blaming yourself for the traumatic event - Довольно сильно/Quite a bit</t>
  </si>
  <si>
    <t>Обвинение себя в том, что произошло / Blaming yourself for the traumatic event - Очень сильно/Extremely</t>
  </si>
  <si>
    <t>Сильное чувство страха, ужаса, злости, вины или стыда, когда думаете о травматическом событии / Strong feeling of fear, horror, anger, guilt or shame when thinking about the traumatic event - Совсем нет/Not at all</t>
  </si>
  <si>
    <t>Сильное чувство страха, ужаса, злости, вины или стыда, когда думаете о травматическом событии / Strong feeling of fear, horror, anger, guilt or shame when thinking about the traumatic event - Немного/A little</t>
  </si>
  <si>
    <t>Сильное чувство страха, ужаса, злости, вины или стыда, когда думаете о травматическом событии / Strong feeling of fear, horror, anger, guilt or shame when thinking about the traumatic event - Довольно сильно/Quite a bit</t>
  </si>
  <si>
    <t>Сильное чувство страха, ужаса, злости, вины или стыда, когда думаете о травматическом событии / Strong feeling of fear, horror, anger, guilt or shame when thinking about the traumatic event - Очень сильно/Extremely</t>
  </si>
  <si>
    <t>Сложности с чувствами любви и счастья / Difficulty feeling love or happiness - Совсем нет/Not at all</t>
  </si>
  <si>
    <t>Сложности с чувствами любви и счастья / Difficulty feeling love or happiness - Немного/A little</t>
  </si>
  <si>
    <t>Сложности с чувствами любви и счастья / Difficulty feeling love or happiness - Довольно сильно/Quite a bit</t>
  </si>
  <si>
    <t>Сложности с чувствами любви и счастья / Difficulty feeling love or happiness - Очень сильно/Extremely</t>
  </si>
  <si>
    <t>Совершение рискованных поступков, которые могут повредить вам или окружающим / Taking risks that may harm yourself or others - Совсем нет/Not at all</t>
  </si>
  <si>
    <t>Совершение рискованных поступков, которые могут повредить вам или окружающим / Taking risks that may harm yourself or others - Немного/A little</t>
  </si>
  <si>
    <t>Совершение рискованных поступков, которые могут повредить вам или окружающим / Taking risks that may harm yourself or others - Довольно сильно/Quite a bit</t>
  </si>
  <si>
    <t>Совершение рискованных поступков, которые могут повредить вам или окружающим / Taking risks that may harm yourself or others - Очень сильно/Extremely</t>
  </si>
  <si>
    <t>Ощущение, что травматическое событие повредило вас как личность / Feeling like you have been damaged as a person by the traumatic event - Совсем нет/Not at all</t>
  </si>
  <si>
    <t>Ощущение, что травматическое событие повредило вас как личность / Feeling like you have been damaged as a person by the traumatic event - Немного/A little</t>
  </si>
  <si>
    <t>Ощущение, что травматическое событие повредило вас как личность / Feeling like you have been damaged as a person by the traumatic event - Довольно сильно/Quite a bit</t>
  </si>
  <si>
    <t>Ощущение, что травматическое событие повредило вас как личность / Feeling like you have been damaged as a person by the traumatic event - Очень сильно/Extremely</t>
  </si>
  <si>
    <t>Ощущение, будто если что-то напоминает вам о травматическом событии, это похоже на сон, что это не случилось с вами и/или это не произошло в реальности / Feeling as if something reminds you of the trauma but it feels like a dream, that it is not happening to you, and/or that it is not real - Совсем нет/Not at all</t>
  </si>
  <si>
    <t>Ощущение, будто если что-то напоминает вам о травматическом событии, это похоже на сон, что это не случилось с вами и/или это не произошло в реальности / Feeling as if something reminds you of the trauma but it feels like a dream, that it is not happening to you, and/or that it is not real - Немного/A little</t>
  </si>
  <si>
    <t>Ощущение, будто если что-то напоминает вам о травматическом событии, это похоже на сон, что это не случилось с вами и/или это не произошло в реальности / Feeling as if something reminds you of the trauma but it feels like a dream, that it is not happening to you, and/or that it is not real - Довольно сильно/Quite a bit</t>
  </si>
  <si>
    <t>Ощущение, будто если что-то напоминает вам о травматическом событии, это похоже на сон, что это не случилось с вами и/или это не произошло в реальности / Feeling as if something reminds you of the trauma but it feels like a dream, that it is not happening to you, and/or that it is not real - Очень сильно/Extremely</t>
  </si>
  <si>
    <t>Ощущение, что люди и предметы вокруг вас не настоящие или не знакомые / Feeling people or objects around you are not real or strange - Совсем нет/Not at all</t>
  </si>
  <si>
    <t>Ощущение, что люди и предметы вокруг вас не настоящие или не знакомые / Feeling people or objects around you are not real or strange - Немного/A little</t>
  </si>
  <si>
    <t>Ощущение, что люди и предметы вокруг вас не настоящие или не знакомые / Feeling people or objects around you are not real or strange - Довольно сильно/Quite a bit</t>
  </si>
  <si>
    <t>Ощущение, что люди и предметы вокруг вас не настоящие или не знакомые / Feeling people or objects around you are not real or strange - Очень сильно/Extremely</t>
  </si>
  <si>
    <t>Совсем нет / Not at all</t>
  </si>
  <si>
    <t>Немного / A little</t>
  </si>
  <si>
    <t>Довольно сильно / Quite a bit</t>
  </si>
  <si>
    <t>Очень сильно / Extremely</t>
  </si>
  <si>
    <t>SC001</t>
  </si>
  <si>
    <t>Беларус</t>
  </si>
  <si>
    <t>Русский, Английский</t>
  </si>
  <si>
    <t>Санкт-Петербург</t>
  </si>
  <si>
    <t>Тбилиси</t>
  </si>
  <si>
    <t>It's more exciting to join the common panic party, rather than staying home</t>
  </si>
  <si>
    <t>Нарушение медицинской этики, введение в наркоз против моей воли, проведение операции против моей воли</t>
  </si>
  <si>
    <t>Очень сильно/Extremely</t>
  </si>
  <si>
    <t>Совсем нет/Not at all</t>
  </si>
  <si>
    <t>Довольно сильно/Quite a bit</t>
  </si>
  <si>
    <t>Немного/A little</t>
  </si>
  <si>
    <t xml:space="preserve">Довольно сильно/Quite a bit </t>
  </si>
  <si>
    <t>CF002</t>
  </si>
  <si>
    <t>еврейка</t>
  </si>
  <si>
    <t>русский, английский, немного иврит, немного немецкий</t>
  </si>
  <si>
    <t>Москва</t>
  </si>
  <si>
    <t>Армения, Ереван</t>
  </si>
  <si>
    <t>-</t>
  </si>
  <si>
    <t>Из-за того, что Россия ведёт захватническую войну</t>
  </si>
  <si>
    <t xml:space="preserve">Очень сильно/Extremely </t>
  </si>
  <si>
    <t>CT001</t>
  </si>
  <si>
    <t>Русский, английский (не очень хорошо знаю)</t>
  </si>
  <si>
    <t>Красноармейск, Московская область</t>
  </si>
  <si>
    <t>Тбилиси, Грузия</t>
  </si>
  <si>
    <t>Нет</t>
  </si>
  <si>
    <t>Риск политического преследования и мобилизации</t>
  </si>
  <si>
    <t>Донос на работе, мобилизация, угрозы в соц. сетях, деятельность, за которую могут посадить</t>
  </si>
  <si>
    <t>GU001</t>
  </si>
  <si>
    <t>Русский, английский</t>
  </si>
  <si>
    <t>Батуми, Грузия</t>
  </si>
  <si>
    <t>нет</t>
  </si>
  <si>
    <t>Воссоединиться с мужем, котрый уехал раньше из-за мобилизации</t>
  </si>
  <si>
    <t>FM002</t>
  </si>
  <si>
    <t xml:space="preserve">Русский, английский </t>
  </si>
  <si>
    <t>Ереван, Армения</t>
  </si>
  <si>
    <t>Опасения за свою жизнь, нежелание платить налоги на "СВО"</t>
  </si>
  <si>
    <t>Начало "СВО", начало мобилизации</t>
  </si>
  <si>
    <t>FM001</t>
  </si>
  <si>
    <t>Русский, English, Français</t>
  </si>
  <si>
    <t>1 ребенок 17 лет, 3 ребенка старше 18 лет</t>
  </si>
  <si>
    <t>Формально подлежу мобилизации, не хочу участвовать в войне Путина</t>
  </si>
  <si>
    <t>В Армении угрожающих ситуаций не было</t>
  </si>
  <si>
    <t>PM001</t>
  </si>
  <si>
    <t xml:space="preserve">Москва </t>
  </si>
  <si>
    <t>Тревога за мужа, усталось от постоянного напряжения из-за политической обстановки</t>
  </si>
  <si>
    <t>MF001</t>
  </si>
  <si>
    <t>Английский B1</t>
  </si>
  <si>
    <t>Московская область г. Балашиха</t>
  </si>
  <si>
    <t>Кобулети</t>
  </si>
  <si>
    <t>Моё наличие в России косвенно и напрямую помогает ведению войны</t>
  </si>
  <si>
    <t>MU001</t>
  </si>
  <si>
    <t xml:space="preserve">Русский, Английский, Французский </t>
  </si>
  <si>
    <t>Сочи</t>
  </si>
  <si>
    <t>Батуми</t>
  </si>
  <si>
    <t>Отсутствие безопасности для мужа и перспектив, что она появится в ближайшее время</t>
  </si>
  <si>
    <t>KU001</t>
  </si>
  <si>
    <t>Английский</t>
  </si>
  <si>
    <t>Мытищи, Московская обл</t>
  </si>
  <si>
    <t>Не согласна ни с внутренней, ни, особенно, с внешней политикой государства. Отчаялась, не верю, что что-то можно изменить, или хотя бы сменить президента</t>
  </si>
  <si>
    <t>OT001</t>
  </si>
  <si>
    <t>русский-немец</t>
  </si>
  <si>
    <t>Russian and English</t>
  </si>
  <si>
    <t>Ижевск, Удмуртия</t>
  </si>
  <si>
    <t>Опасения за свою финансовую и физическую безопасность, нежелание молчать</t>
  </si>
  <si>
    <t>PD001</t>
  </si>
  <si>
    <t>Русский, Английский.</t>
  </si>
  <si>
    <t>Тбилиси, Грузия.</t>
  </si>
  <si>
    <t>Из соображений безопасности, свободы слова и действия.</t>
  </si>
  <si>
    <t xml:space="preserve">К своему великому счастью, подобных ситуаций мне до сих пор не приходилось испытывать.  </t>
  </si>
  <si>
    <t>CI002</t>
  </si>
  <si>
    <t>Русский, итальянский</t>
  </si>
  <si>
    <t>Из-за глубокого отвращения к происходящему в ней</t>
  </si>
  <si>
    <t>YC001</t>
  </si>
  <si>
    <t>English</t>
  </si>
  <si>
    <t>Piatigorsk city</t>
  </si>
  <si>
    <t>Tbilisi</t>
  </si>
  <si>
    <t>No</t>
  </si>
  <si>
    <t>Не хочу быть частью фашистской системы, не хочу быть мобилизованным. Россия - страна террорист.</t>
  </si>
  <si>
    <t>Я люблю жить в дикой природе в палатке по несколько месяцев, однажды упал со скалы и вывихнул руку наизнанку, когда летел думал, что мне конец.</t>
  </si>
  <si>
    <t>FG001</t>
  </si>
  <si>
    <t>Человек</t>
  </si>
  <si>
    <t>English, Norsk, Русский, немного Espanol</t>
  </si>
  <si>
    <t>Курск</t>
  </si>
  <si>
    <t>Потому что 6 мая меня задержали и пытали русские спецслужбы, затем посадили в тюрьму за то что я запостил украинские новости в соц.сети, 3 месяца я провел в холодной сырой одиночно камере с крысами и тараканами, а когда вышел меня начало преследовать ФСБ.</t>
  </si>
  <si>
    <t>Тюремное заключение, Пытки спецслужб</t>
  </si>
  <si>
    <t>GR001</t>
  </si>
  <si>
    <t>Космополит, с точки зрения документов - Русский.</t>
  </si>
  <si>
    <t xml:space="preserve">Русский, плохой английский. </t>
  </si>
  <si>
    <t>Курск, Курская область.</t>
  </si>
  <si>
    <t>Я ненавижу политику этой страны, Кремль и Путина - практически всю свою жизнь, и могу объяснить почему. Давно хотела уехать, но останавливал финансовый вопрос. Однако, ко мне пришло ФСБ, из за того что я помогла сидевшему по политике парню с пропиской, и конфисковало мою технику с помощью которой я много лет выражала свои взгляды. И теперь мне, скорее всего, грозит тюремный срок. Так что оставаться там уже не представлялось возможным, и моя мама, взяв наши семейные накопления и брата, которому грозит мобилизация - уехала вместе со мной в Грузию.</t>
  </si>
  <si>
    <t xml:space="preserve">Ну, меня с начала МВД задержало, а потом ФСБ пришло и конфисковало вещи. НУ и мой бывший парень сидел, и его пытали. И я думала что он сядет лет на 10, но ему повезло. Однако, преследования в Курке были ни за что.  + В России я постоянно чувствовала что моей жизни угрожает опасность. По разным причинам. Я ЛГБТ, у меня - антиправительственные взгляды. А мой город - на границе с Украиной, и у нас после 23 февраля начался кошмар, похожий на сериал или фильм про нацистскую Германию. </t>
  </si>
  <si>
    <t>TB001</t>
  </si>
  <si>
    <t>Татарин</t>
  </si>
  <si>
    <t>Русский</t>
  </si>
  <si>
    <t>г. Санкт-Петербург</t>
  </si>
  <si>
    <t>Грузия, регион Аджария, село Квариати (пригород г. Батуми)</t>
  </si>
  <si>
    <t>Страх попасть на войну из-за мобилизации.</t>
  </si>
  <si>
    <t>VI001</t>
  </si>
  <si>
    <t>Русский, английский, французский</t>
  </si>
  <si>
    <t xml:space="preserve">Война, мобилизация, новые законы, «патриотическое воспитание» в школе </t>
  </si>
  <si>
    <t>ID MT002</t>
  </si>
  <si>
    <t>Еврейка</t>
  </si>
  <si>
    <t>Русский, английский, понимаю французский</t>
  </si>
  <si>
    <t>Я боялась, что в РОссии введут военное положение и закроют границы, и мои дети и я тоже окажемся заперты.</t>
  </si>
  <si>
    <t>TI001</t>
  </si>
  <si>
    <t>Татарка</t>
  </si>
  <si>
    <t>русский</t>
  </si>
  <si>
    <t>Тольятти, Самарская область</t>
  </si>
  <si>
    <t>Нет желания жить в России, не согласна с внешней и внутренней политикой государства</t>
  </si>
  <si>
    <t>У меня не было ситуаций, которые угрожали моей жизни. Скорее психологическое давление от окружающих, что я не согласна с политикой страны</t>
  </si>
  <si>
    <t>TK001</t>
  </si>
  <si>
    <t>русский, английский, иврит</t>
  </si>
  <si>
    <t>Не вижу перспектив в России, не доволен российскими законами, политикой</t>
  </si>
  <si>
    <t>PG001</t>
  </si>
  <si>
    <t>Русский (родной), английский</t>
  </si>
  <si>
    <t>Архангельск</t>
  </si>
  <si>
    <t>Ереван</t>
  </si>
  <si>
    <t>Задержали два раза в марте, и невозможно там было находиться - везде полиция, буквы зед на адмтнистративных зданиях. И сказать ничего нельзя, и молчать невыносимо</t>
  </si>
  <si>
    <t>Задержания полицейскими, обыски. Страх, что закроют границу. Страх потерять близких на войне. Ужас от того, что войну многие поддерживают среди моих знакомых.</t>
  </si>
  <si>
    <t>CV001</t>
  </si>
  <si>
    <t>Русский, английский (B1)</t>
  </si>
  <si>
    <t>Красноярск</t>
  </si>
  <si>
    <t>Было невыносимо оставаться в РФ. Нет чувства безопасности, возможность сесть в тюрьму за высказывание мнения. Внутреннее желание не находиться близко с поддерживающими войну людьми.</t>
  </si>
  <si>
    <t xml:space="preserve">Угрозы вызова полиции за антивоенную позицию (в рф)  Дополнительные вопросы при пересечении границы Армения - Грузия, потому что из IT сферы  Страх, что при визаране Грузия - Армения - Грузия не пустят обратно в страну, потому что есть прецеденты с антивоенными активистами  Новость о мобилизации в рф и помощь друзьям и членам семьи выехать из страны. </t>
  </si>
  <si>
    <t>CG001</t>
  </si>
  <si>
    <t>Краснодар</t>
  </si>
  <si>
    <t>1. Некомфортно находиться в обществе, поддерживающем войну. 2. Страх преследования за убеждения и образ жизни. 3. Опасность быть призванным в действующую армию для ведения боевых действий.</t>
  </si>
  <si>
    <t xml:space="preserve">Однажды поперхнулся чаем и чуть не задохнулся.  Однажды попал под напряжение 220 В.  </t>
  </si>
  <si>
    <t>RG001</t>
  </si>
  <si>
    <t>Из-за преступных действий, которые совершают власти России</t>
  </si>
  <si>
    <t xml:space="preserve">Нападение России на Украину. </t>
  </si>
  <si>
    <t>AO001</t>
  </si>
  <si>
    <t>Русский, английский, португальский</t>
  </si>
  <si>
    <t xml:space="preserve">Отсутствие ощущения безопасности  Отсутствие перспектив для меня и моих детей  Невозможность говорить то, что я думаю  Несогласие с политикой государства, как внутренней, так в внешней (агрессивное вторжение в Украину, политика изоляции)  Чувство причастности к войне  Тяжелое психологическое состояние на фоне новостей о войне (стыд, отвращение, ненависть, злость)  </t>
  </si>
  <si>
    <t>FO001</t>
  </si>
  <si>
    <t xml:space="preserve">Deutsch(b2) , serbian(b2) , Englisch(a2) </t>
  </si>
  <si>
    <t xml:space="preserve">Dmitrov (Moscow Region) </t>
  </si>
  <si>
    <t xml:space="preserve">Tbilisi </t>
  </si>
  <si>
    <t xml:space="preserve">В принципе не разделяю политику путина, плюс к этому я служил в спецподразделении и должен был в первых рядах ехать в Украину. Мои убеждения не позволяют стрелять в братский народ, тем более за то что бы старый узурпатор продолжал разворовывать мою страну. </t>
  </si>
  <si>
    <t xml:space="preserve">Все это относится к РФ и путинскому режиму. В Грузии у меня подобных проблем не возникало. </t>
  </si>
  <si>
    <t>uu001</t>
  </si>
  <si>
    <t xml:space="preserve">Русский </t>
  </si>
  <si>
    <t xml:space="preserve">Тольятти </t>
  </si>
  <si>
    <t xml:space="preserve">Грузия,  Тбилиси </t>
  </si>
  <si>
    <t>Не согласен с политикой государства причём очень давно. И не хочу, чтобы мой сын рос в этой стране. Отсутствие перспектив.</t>
  </si>
  <si>
    <t>Если бы мне ничего не угрожало, я бы не уехал. А ждать пока совершат неправоправные действия не вижу смысла.</t>
  </si>
  <si>
    <t>ID FP001</t>
  </si>
  <si>
    <t xml:space="preserve">Русский, Английский </t>
  </si>
  <si>
    <t xml:space="preserve">Безопасность, диверсификация бизнес-рисков  </t>
  </si>
  <si>
    <t>Боюсь исключительно разлуки с семьей</t>
  </si>
  <si>
    <t>FN001</t>
  </si>
  <si>
    <t>Политическое преследование, ограничение свободы слова, преследование ЛГБТ персон</t>
  </si>
  <si>
    <t>NI001</t>
  </si>
  <si>
    <t>English B1</t>
  </si>
  <si>
    <t xml:space="preserve">Санкт-Петербург </t>
  </si>
  <si>
    <t xml:space="preserve">1) Мне угрожал арест как гражданской активистке 2)  Я не считаю возможным находиться в одной стране с людьми, поддерживающими войну 3) Дальнейшая деятельность в области общественной работы, которой я занималась, была бы в России бессмысленной.  </t>
  </si>
  <si>
    <t>Похищение ребенка.</t>
  </si>
  <si>
    <t>EE001</t>
  </si>
  <si>
    <t>Смесь русской, еврейской, мордовской национальностей, но в целом не отождествляю себя с конкретной национальностью</t>
  </si>
  <si>
    <t>Непосредственный повод - мой партнер попадал под уголовное преследование за активную политическую позицию, а также был в опасности призыва в армию. Конкретно моими причинами были небезопасность, высочайший уровень стресса и тревожности, страх за себя и близких, нежелание чувствовать себя причастной к военным действиям, большой стресс при осознании и наблюдении того, как 90% моего мира и жизни разрушаются.</t>
  </si>
  <si>
    <t>Когда началась война, когда началась мобилизация - вообще нахождение внутри России и полная неизвестность, какой еще закон выйдет на следующий день и что теперь с нами можно будет делать законно - понимание, что это может быть абсолютно всё, что угодно. Авария. Угрозы физической расправы от родственников. Психическое давление от родственников. Невосприятие моего ответа "нет" со стороны мужского пола.</t>
  </si>
  <si>
    <t>OM001</t>
  </si>
  <si>
    <t>Fussian. A little English.</t>
  </si>
  <si>
    <t>Moscow</t>
  </si>
  <si>
    <t>I don't have children</t>
  </si>
  <si>
    <t>Я уехала с родителями. Мы все не поддерживаем войну. А так же после того как мои родители выходили на антивоенную акцию, к нам приходили люди из фсб с угрозами. Стало не безопасно находиться дома.</t>
  </si>
  <si>
    <t>Not</t>
  </si>
  <si>
    <t>MT001</t>
  </si>
  <si>
    <t>English (B2)</t>
  </si>
  <si>
    <t>Tbilisi, Georgia</t>
  </si>
  <si>
    <t xml:space="preserve">Стало страшно там оставаться.     за своих близких и за себя, за свое будущее. Происходящее стало похоже на хаос без законов. Первые месяцы остро переживалось начало войны. Потом я переживала больше уже за себя. Не хотелось быть взаперти. </t>
  </si>
  <si>
    <t xml:space="preserve">Когда объявили мобилизацию. Впервые в жизни я испытала ужас смерти своего близкого человека. Вместе с сестрой, мы сутки гнали на юг России, чтобы мой мужчина смог пересечь границу. Это были одни из самых страшных часов в жизни. </t>
  </si>
  <si>
    <t>LO001</t>
  </si>
  <si>
    <t>Русский, English</t>
  </si>
  <si>
    <t>несогласие с войной и проводимой политикой</t>
  </si>
  <si>
    <t>таких ситуаций не было</t>
  </si>
  <si>
    <t>DA001</t>
  </si>
  <si>
    <t>Татарин на половину русский</t>
  </si>
  <si>
    <t>Русский, очень плохо английский, татарский</t>
  </si>
  <si>
    <t>Началась мобилизация гражданского населения РФ. А умирать, становиться инвалидом или убивать ради Путина не хочу. И в целом не хочу участвовать в военных действиях.</t>
  </si>
  <si>
    <t>Участие в митингах в Москве, во время досмотра на постах ГАИ во время пути к границе России. Когда 21 сентября кто то пытался войти в мою квартиру хотя я никого не ждал, это оказалась подруга жены.</t>
  </si>
  <si>
    <t>LU001</t>
  </si>
  <si>
    <t>русский, английский</t>
  </si>
  <si>
    <t>Я не могу высказывать свое мнение о ситуации в стране, ко мне приходила полиция, я не вижу перспективы жить в России</t>
  </si>
  <si>
    <t>любой митинг</t>
  </si>
  <si>
    <t>TC001</t>
  </si>
  <si>
    <t xml:space="preserve">чтобы не быть мобилизованным и не идти воевать </t>
  </si>
  <si>
    <t xml:space="preserve">при пересечении границы был страх, что не выпустят из страны и направят на войну </t>
  </si>
  <si>
    <t>CD002</t>
  </si>
  <si>
    <t xml:space="preserve">1. Безопасность. Я протестовала против войны и помогала правозащитным организациям. Я продолжаю делать это в Грузии.   2. Экзистенциальные. Я была активистом в охране природы, война обесценила для меня эту активность. Вдобавок новые репрессивные законы в России мешают любым горизонтальным инициативам.   3. Личные. Морально тяжело было находиться в России, хотелось вдохнуть свежего воздуха. Я всегда знала, что не хочу жить за железным занавесом в условиях авторитарной диктатуры.   4. Это вызов. Мне было интересно узнать, чего я стою, если вырвать меня из привычной среды. </t>
  </si>
  <si>
    <t xml:space="preserve">Война и репрессии (в отношении других) сами по себе стали травмой. </t>
  </si>
  <si>
    <t>СМ001</t>
  </si>
  <si>
    <t xml:space="preserve">Английский, немецкий, русский, белорусский </t>
  </si>
  <si>
    <t xml:space="preserve">Тбилиси, Грузия </t>
  </si>
  <si>
    <t xml:space="preserve">Из-за сложившейся политической и экономической ситуации </t>
  </si>
  <si>
    <t xml:space="preserve">Когда началась война; когда началась мобилизация; когда упали ракеты в Польшу и Молдавию </t>
  </si>
  <si>
    <t xml:space="preserve">не согласие с проводимой политикой </t>
  </si>
  <si>
    <t xml:space="preserve">Formally Russian, but consider myself closer to Jewish  traditions and values </t>
  </si>
  <si>
    <t>English, French, some Hebrew , study German, Spanish , Ukrainian</t>
  </si>
  <si>
    <t>Moscow , Moscow region ( Korolev )</t>
  </si>
  <si>
    <t>Arinj, suburb of  Yerevan  Yetevan  Armenia</t>
  </si>
  <si>
    <t>1  2 cats :)</t>
  </si>
  <si>
    <t xml:space="preserve">Fear of closing country borders   Need to unlock distant  job services ( upwork) outside Russia   Expected mass mobilization , didn't want to go to war   I politically support Ukraine but have "family motherland"( property)  in Russia  Inability ( huge risks ) to protest openly in Russia and to openly choose and help opposite side of the conflict  Cannot work productively on any job while there's no stability in the country and a lot of stress </t>
  </si>
  <si>
    <t xml:space="preserve">While leaving Russia on may 9th, 2022,was detained   by Russian police in Vladikavkaz just for walking alone in the city . There were psychological threats , was fully undressed and searched for unallowed stuff . They suspected me in drug dealing   In yerevan several days after arrival ( I was making photos on volunteering projects and undeliberately caught military cars on my camera ). I had around $ 10k in cash taken from Russia and put it openly on the table .when all issues were resolved , one of the policemen has taken the money to count ( he shouldn't have done it ) and then like 'remembered' his mistake, returned the money, I recounted and found $1000 missing. Since then I searched the pockets of the policeman, have found nothing, had  to accept the loss. There were no cameras or independent witnesses ,so I cannot prove that was him who stole it </t>
  </si>
  <si>
    <t>PF001</t>
  </si>
  <si>
    <t>Я против войны и полити Российских властей</t>
  </si>
  <si>
    <t>Думаю, моя жизнь достаточно спокойна, особенно по сравнению с тем, что приходится пережить жителям Украины</t>
  </si>
  <si>
    <t>MC001</t>
  </si>
  <si>
    <t>русский, английский, учу немецкий</t>
  </si>
  <si>
    <t>Отсутствие перспектив во всех сферах моей деятельности, отсутствие поддержки людей, невозможность обсудить текущую ситуацию, страх с кем и о чем разговаривать, страх остаться в разваленной стране без возможности расти и нормально жить, плохая еда, экология, невозможность помочь пострадавшим в Украине, невозможность помочь стране, понижение уровня жизни, невозможность построить здоровую нормальную семью, страх, что мои дети будут расти с детьми убийц, страх, что все, чем я занималась станет ненужным, невозможность продолжать нормально жить</t>
  </si>
  <si>
    <t>1.захват крыма  2.война  3.закрытие границ</t>
  </si>
  <si>
    <t>UD002</t>
  </si>
  <si>
    <t>г. Ярославль, Ярославская область.</t>
  </si>
  <si>
    <t>Из опасений попасть под мобилизацию и политики государства в целом.</t>
  </si>
  <si>
    <t>Четверо суток простоял на границе в Казахстан, потом вынужден был ехать в Грузию через Россию. Было очень страшно, что не удастся попасть за границу в обоих случаях или что мобилизуют.</t>
  </si>
  <si>
    <t>KI001</t>
  </si>
  <si>
    <t>Нижний Новгород</t>
  </si>
  <si>
    <t>Боязнь того, что потом уезжать будет поздно. Боязнь углубления кризиса, развития репрессий и т.д. Отсутствие стабильности и уверенности в завтрашнем дне</t>
  </si>
  <si>
    <t>_</t>
  </si>
  <si>
    <t>MO001</t>
  </si>
  <si>
    <t>Русский, польский, английский</t>
  </si>
  <si>
    <t>Г. Бобров, Воронежская область</t>
  </si>
  <si>
    <t xml:space="preserve">Рустави, Грузия </t>
  </si>
  <si>
    <t>Потому что я 4 года своей жизни прожил в Украине, у меня там много друзей, мой отчим - Украинец.  Я полностью не поддерживаю политику России и не хочу воевать против своих друзей</t>
  </si>
  <si>
    <t>Стал свидетелем употребления наркотиков</t>
  </si>
  <si>
    <t>RU001</t>
  </si>
  <si>
    <t>Ленинградская область</t>
  </si>
  <si>
    <t>Грузия, Зестафони</t>
  </si>
  <si>
    <t>Несогласие с политикой государства, нежелание ассоциировать себя с государством-агрессором.</t>
  </si>
  <si>
    <t>Знаю, что свойство моей психики -- забывать плохое/страшное, если не подкрепляю, рассказывая кому-нибудь о случившемся. Скорее всего, ситуаций, серьёзно угрожающих моей жизни, кроме перечисленного выше, -- не было.</t>
  </si>
  <si>
    <t>CU002</t>
  </si>
  <si>
    <t>Череповец</t>
  </si>
  <si>
    <t xml:space="preserve">Мобилизация и разные взгляды на войну. Я антимилитарист и пацифист. </t>
  </si>
  <si>
    <t xml:space="preserve">Не было </t>
  </si>
  <si>
    <t>OD001</t>
  </si>
  <si>
    <t>Осетинка</t>
  </si>
  <si>
    <t xml:space="preserve">Русский, базовый английский </t>
  </si>
  <si>
    <t>Угроза мобилизации, тяжёлое эмоциональное состояние.</t>
  </si>
  <si>
    <t xml:space="preserve">Если рассматривать жизненные истории их было много, если война, то это всё один большой стресс </t>
  </si>
  <si>
    <t>RE001</t>
  </si>
  <si>
    <t>English, Russian</t>
  </si>
  <si>
    <t xml:space="preserve">Грузия, Тбилиси </t>
  </si>
  <si>
    <t>Не устраивает власть, люди, надоело жить в помойке, не устраивает отношение людей друг к другу, страх за собственную жизнь</t>
  </si>
  <si>
    <t>Когда я ехала в метро с ОМОН</t>
  </si>
  <si>
    <t>CF001</t>
  </si>
  <si>
    <t>Наполовину русский, наполовину македонец</t>
  </si>
  <si>
    <t>Русский, немного английский</t>
  </si>
  <si>
    <t>город Иваново</t>
  </si>
  <si>
    <t>После начала полномасштабного вторжения ждал изменений в РФ, примерно знал, когда будет мобилизация, но все покорно пошли на войну, а такие как я оказались просто девиантами уклонистами, получил 3 повестки, визиты полиции, неудачную попытку выезда и когда объявили о прекращении "частичной мобилизации" пошли слухи, что выпускают и сразу же улетел. С работой не сложилось, т.к. большинство пропутинские и в итоге я её лишился из-за моей миграции.</t>
  </si>
  <si>
    <t>Рейды полиции и сотрудников военкомата ко мне домой и по улицам. Я считаю это прямая угроза моей жизни, а запрет на выезд из страны так же нарушение моих гуманитарных прав.</t>
  </si>
  <si>
    <t>RM001</t>
  </si>
  <si>
    <t>украинка</t>
  </si>
  <si>
    <t>русский, английский, украинский (немного)</t>
  </si>
  <si>
    <t>Ульяновск</t>
  </si>
  <si>
    <t>Несогласие с политикой властей, невозможность говорить с детьми о происходящем</t>
  </si>
  <si>
    <t>KO002</t>
  </si>
  <si>
    <t>Поляк</t>
  </si>
  <si>
    <t>Русский, Английский, Полський</t>
  </si>
  <si>
    <t>Невозможность жить, работать внутри режима, личная безопасность, отсутствие перспектив, свобода.</t>
  </si>
  <si>
    <t>Cu 001</t>
  </si>
  <si>
    <t xml:space="preserve">Отец латыш, мать русская </t>
  </si>
  <si>
    <t xml:space="preserve">Ереван, Армения </t>
  </si>
  <si>
    <t>Не готов быть агрессором против кого-либо. Не готов отдавать свою жизнь по чей либо прихоти. Опасность, что могут принудительно заставить делать то, что я считаю неприемлемым.</t>
  </si>
  <si>
    <t xml:space="preserve">Не было такого </t>
  </si>
  <si>
    <t>XO001</t>
  </si>
  <si>
    <t>Хочется жить.</t>
  </si>
  <si>
    <t>CN001</t>
  </si>
  <si>
    <t>Russian, English</t>
  </si>
  <si>
    <t>Тверь, Тверская область</t>
  </si>
  <si>
    <t>Уголовное преследование</t>
  </si>
  <si>
    <t xml:space="preserve">Взлом двери при обыске (ещё в России), ночные поездки автостопом с незнакомыми водителями </t>
  </si>
  <si>
    <t>CR001</t>
  </si>
  <si>
    <t>Москва, Московская область</t>
  </si>
  <si>
    <t>Армения, Гегаркуникская область, село в пригороде Севана</t>
  </si>
  <si>
    <t>Я не могу находиться в стране, которую считаю фашистской (в оценочном, а не политологическом смысле). Я не вижу возможности что-то изменить, а молча стоять с этим рядом не считаю возможным</t>
  </si>
  <si>
    <t>Я не хотела уезжать из России, поскольку там был мой дом и моя работа. Но я решила, что я уеду, если будут закрывать границы, поскольку не хочу возвращаться в советский концлагерь ни при каких обстоятельствах. Я испытала страх когда 4 марта я узнала, что наш рейс отменен, и поняла, что не могу выехать на машине, поскольку пропустила момент, когда сухопутные границы закрыли. Потом был пятичасовой допрос ФСБ на границе. Я никогда не соглашусь пройти это снова.</t>
  </si>
  <si>
    <t>CI001</t>
  </si>
  <si>
    <t>Русская/Армянка</t>
  </si>
  <si>
    <t>Русский, Чешский (В1), Английский (А2)</t>
  </si>
  <si>
    <t>Санкт-Петербург/Ленинградская область, Васильево</t>
  </si>
  <si>
    <t>Цахкадзор, Армения</t>
  </si>
  <si>
    <t>Начало войны, ужесточения режима, оппозиционные взгляды, боязнь "закрытия" страны, не желание общаться с "патриотами"</t>
  </si>
  <si>
    <t>не было</t>
  </si>
  <si>
    <t>CD001</t>
  </si>
  <si>
    <t>город Краснодар</t>
  </si>
  <si>
    <t>город Батуми</t>
  </si>
  <si>
    <t>Я решил уехать из России потому что там уже просто не  возможно находиться. Коррупция и беспредел. Чиновнику, укравшему миллионы долларов из бюджета (деньги налогоплательщиков), дают один год домашнего ареста в своих шикарных апартаментах и через несколько месяцев амнистируют за хорошее поведение, а бедолагу за репост "STOP WAR" дают до пяти лет колонии/тюрьмы. А ещё это ни кому не нужная война, с братским народом и мобилизация по принуждению туда.</t>
  </si>
  <si>
    <t>KP001</t>
  </si>
  <si>
    <t>Объявление мобилизации</t>
  </si>
  <si>
    <t>XQ001</t>
  </si>
  <si>
    <t>русский, английский, македонский, албанский, сербский</t>
  </si>
  <si>
    <t>Один фактор — peer pressure друзей, которые уехали раньше. Депрессивное состояние не позволило ощутить мобилизацию как реальную угрозу жизни, решение об отъезде (чтобы ее избежать) было итогом рационального анализа ситуации. Отъезд прошел как в тумане, возможно, вследствие некой апатии. Но главный фактор — я понял, что активный протест, который бы привел к решительному сопротивлению режиму (столкновения, баррикады, революция) сейчас невозможен. Я ждал и хотел принять в этом участие. Но его видимо придется значительное время ждать. А по знакомым вижу, что очень многие все еще стараются live your life, все еще думают, что их это е очень касается. Возможно, поддался настроению "ну и идите на фиг, я за вас выхожу на протесты с 2010 года, давайте теперь вы за меня выйдете" — грубо говоря, подождать начала "революции" за рубежом. Но что я знаю точно: как только начнутся столкновения, я первым же самолетом прилечу в Москву. Не только чтобы драться с омоном, но и задокументировать это событие на камеру, для истории.</t>
  </si>
  <si>
    <t>EG001</t>
  </si>
  <si>
    <t>Не признаю этничности.</t>
  </si>
  <si>
    <t xml:space="preserve">Тбилиси </t>
  </si>
  <si>
    <t xml:space="preserve">Война, репрессивные законодательство против ЛГБТ </t>
  </si>
  <si>
    <t>Шантаж и угрозы со стороны близкого друга, с которым эмигрировали вместе.  Домогательства к друзьям со стороны работодателя</t>
  </si>
  <si>
    <t xml:space="preserve">ID001 </t>
  </si>
  <si>
    <t>Французский</t>
  </si>
  <si>
    <t>Страшно и скучно жить</t>
  </si>
  <si>
    <t>Задержание старшей дочери в полиции в течение 12 часов после митинга</t>
  </si>
  <si>
    <t>UN001</t>
  </si>
  <si>
    <t>Московская область, г. Жуковский</t>
  </si>
  <si>
    <t>Гюмри, Армения</t>
  </si>
  <si>
    <t>1) Развязана прямая военная агрессия в отношении Украины; 2) отсутствие реального целеполагания высшего руководства страны в отношении улучшения благополучия граждан и инфраструктуры; 3) нежелание вести адекватный диалог с мировым сообществом; 4) мое желание получить опыт работы зарубежом у лидеров индустрии.</t>
  </si>
  <si>
    <t>Было страшно в первые месяцы после вторжения войск в Украину, страшно за украинцев, страшно за то, через что им приходится проходить.  Было страшно в момент прохождения границы и во время ожидания вылета самолета. Страх того, что мне запретят выезд.</t>
  </si>
  <si>
    <t>BO001</t>
  </si>
  <si>
    <t>Армянка</t>
  </si>
  <si>
    <t>Русский, армянский, английский</t>
  </si>
  <si>
    <t xml:space="preserve">Сфера IT в Армении лучше развита, а я двигаюсь именно по этому направлению. И просто хотела переехать в Армению, потому что счастливее здесь себя чувствую. </t>
  </si>
  <si>
    <t>UD001</t>
  </si>
  <si>
    <t>предпочитаю не идентифицировать себя этнически, но иногда говорю наполовину в шутку, что я грек (я правда на 1/8 грек). Мне никогда не нравилось ассоциировать себя с конкретной национальностью, даже в сертификате о женитьбе у меня напротив национальности стоит прочерк:)))</t>
  </si>
  <si>
    <t>Русский, Английский, Немецкий</t>
  </si>
  <si>
    <t>—потому что нам было физически противно и невыносимо оставаться в России  —потому что мы боялись закрытия границ, мобилизации и полицейского преследования за наши взгляды  —чтобы иметь возможность открыто высказывать свои взгляды  —потому что мы не могли себе представить, как можно растить детей в сегодняшей России (детей пока нет, но планируются)  —чтобы работать в международных проектах и иметь возможность быть гражданами мира, а не жить в стране, которая все больше изолирована от цивилизованного мира  —потому что мы так или иначе собирались уезжать из России, поскольку нам там и до войны не нравилось</t>
  </si>
  <si>
    <t xml:space="preserve">13 сентября восточные границы Армении были атакованы Азербайджаном, и мы опасались, что это может перерасти в полномасштабную войну на территории Армении. Такие опасения до сих пор имеются. </t>
  </si>
  <si>
    <t>Baseline characteristic</t>
  </si>
  <si>
    <t>Fiull sample</t>
  </si>
  <si>
    <t>n</t>
  </si>
  <si>
    <t>%</t>
  </si>
  <si>
    <t xml:space="preserve">     Georgia</t>
  </si>
  <si>
    <t xml:space="preserve">    Armenia</t>
  </si>
  <si>
    <t>Note. N = 69. The mode of participants were on 25-34 years old (percentage frequency of the mode = 39%).</t>
  </si>
  <si>
    <t>Daily stressors</t>
  </si>
  <si>
    <t>←Agree</t>
  </si>
  <si>
    <t>Agree</t>
  </si>
  <si>
    <t>Disagree</t>
  </si>
  <si>
    <t>Event endorsement was not mutually exclusive</t>
  </si>
  <si>
    <t>DA002</t>
  </si>
  <si>
    <t>HTQ</t>
  </si>
  <si>
    <t>Trauma events</t>
  </si>
  <si>
    <t>mean:</t>
  </si>
  <si>
    <t>Standard deviation:</t>
  </si>
  <si>
    <t>LO002</t>
  </si>
  <si>
    <t>PTSD</t>
  </si>
  <si>
    <t>∑/25</t>
  </si>
  <si>
    <t>meam:</t>
  </si>
  <si>
    <t>At least</t>
  </si>
  <si>
    <t>Max</t>
  </si>
  <si>
    <t xml:space="preserve">Symptoms of Anxiety </t>
  </si>
  <si>
    <t>Anxiety</t>
  </si>
  <si>
    <t>Depression</t>
  </si>
  <si>
    <t>Тревожность:</t>
  </si>
  <si>
    <t>Symptoms of Depression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</si>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</sst>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333333"/>
      <name val="Arial"/>
      <charset val="1"/>
    </font>
    <font>
      <sz val="11"/>
      <color rgb="FF333333"/>
      <name val="Arial"/>
      <family val="2"/>
      <charset val="204"/>
    </font>
    <font>
      <sz val="10"/>
      <name val="Arial"/>
      <family val="2"/>
    </font>
    <font>
      <sz val="9"/>
      <color rgb="FF000000"/>
      <name val="Tahoma"/>
      <charset val="1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AEAE8"/>
        <bgColor rgb="FFF2F2F2"/>
      </patternFill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EAE8"/>
      </patternFill>
    </fill>
    <fill>
      <patternFill patternType="solid">
        <fgColor rgb="FF00A933"/>
        <bgColor rgb="FF008000"/>
      </patternFill>
    </fill>
    <fill>
      <patternFill patternType="solid">
        <fgColor rgb="FF81D41A"/>
        <bgColor rgb="FFA6A6A6"/>
      </patternFill>
    </fill>
  </fills>
  <borders count="2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8">
    <xf numFmtId="0" fontId="0" fillId="0" borderId="0"/>
    <xf numFmtId="9" fontId="8" fillId="0" borderId="0" applyBorder="0" applyProtection="0"/>
    <xf numFmtId="0" fontId="1" fillId="0" borderId="0" applyBorder="0" applyProtection="0">
      <alignment horizontal="left"/>
    </xf>
    <xf numFmtId="0" fontId="8" fillId="0" borderId="0" applyBorder="0" applyProtection="0"/>
    <xf numFmtId="0" fontId="8" fillId="0" borderId="0" applyBorder="0" applyProtection="0">
      <alignment horizontal="left"/>
    </xf>
    <xf numFmtId="0" fontId="8" fillId="0" borderId="0" applyBorder="0" applyProtection="0"/>
    <xf numFmtId="0" fontId="1" fillId="0" borderId="0" applyBorder="0" applyProtection="0"/>
    <xf numFmtId="0" fontId="8" fillId="0" borderId="0" applyBorder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4" borderId="0" xfId="0" applyFill="1"/>
    <xf numFmtId="0" fontId="0" fillId="0" borderId="2" xfId="0" applyBorder="1"/>
    <xf numFmtId="0" fontId="0" fillId="0" borderId="3" xfId="0" applyBorder="1"/>
    <xf numFmtId="10" fontId="0" fillId="0" borderId="0" xfId="0" applyNumberFormat="1"/>
    <xf numFmtId="0" fontId="0" fillId="0" borderId="4" xfId="0" applyBorder="1"/>
    <xf numFmtId="10" fontId="0" fillId="0" borderId="4" xfId="0" applyNumberFormat="1" applyBorder="1"/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/>
    </xf>
    <xf numFmtId="9" fontId="0" fillId="0" borderId="0" xfId="0" applyNumberFormat="1"/>
    <xf numFmtId="9" fontId="0" fillId="4" borderId="0" xfId="0" applyNumberFormat="1" applyFill="1"/>
    <xf numFmtId="0" fontId="1" fillId="4" borderId="0" xfId="0" applyFont="1" applyFill="1"/>
    <xf numFmtId="0" fontId="0" fillId="0" borderId="0" xfId="0" applyAlignment="1">
      <alignment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/>
    <xf numFmtId="0" fontId="0" fillId="0" borderId="9" xfId="0" applyBorder="1" applyAlignment="1">
      <alignment vertical="top"/>
    </xf>
    <xf numFmtId="9" fontId="0" fillId="0" borderId="0" xfId="0" applyNumberFormat="1" applyAlignment="1">
      <alignment vertical="top"/>
    </xf>
    <xf numFmtId="0" fontId="0" fillId="0" borderId="10" xfId="0" applyBorder="1"/>
    <xf numFmtId="164" fontId="0" fillId="0" borderId="11" xfId="0" applyNumberFormat="1" applyBorder="1"/>
    <xf numFmtId="164" fontId="0" fillId="0" borderId="0" xfId="0" applyNumberFormat="1"/>
    <xf numFmtId="0" fontId="0" fillId="0" borderId="12" xfId="0" applyBorder="1" applyAlignment="1">
      <alignment vertical="top"/>
    </xf>
    <xf numFmtId="9" fontId="0" fillId="0" borderId="13" xfId="0" applyNumberFormat="1" applyBorder="1" applyAlignment="1">
      <alignment vertical="top"/>
    </xf>
    <xf numFmtId="0" fontId="0" fillId="0" borderId="14" xfId="0" applyBorder="1"/>
    <xf numFmtId="0" fontId="0" fillId="0" borderId="0" xfId="0" applyAlignment="1">
      <alignment horizontal="left"/>
    </xf>
    <xf numFmtId="0" fontId="6" fillId="0" borderId="0" xfId="0" applyFont="1" applyAlignment="1">
      <alignment vertical="top"/>
    </xf>
    <xf numFmtId="0" fontId="6" fillId="0" borderId="0" xfId="0" applyFont="1" applyAlignment="1">
      <alignment wrapText="1"/>
    </xf>
    <xf numFmtId="9" fontId="6" fillId="0" borderId="0" xfId="1" applyFont="1" applyBorder="1" applyProtection="1"/>
    <xf numFmtId="0" fontId="0" fillId="0" borderId="15" xfId="0" applyBorder="1"/>
    <xf numFmtId="0" fontId="0" fillId="0" borderId="16" xfId="0" applyBorder="1"/>
    <xf numFmtId="9" fontId="0" fillId="0" borderId="17" xfId="0" applyNumberFormat="1" applyBorder="1"/>
    <xf numFmtId="9" fontId="0" fillId="4" borderId="17" xfId="0" applyNumberFormat="1" applyFill="1" applyBorder="1"/>
    <xf numFmtId="0" fontId="0" fillId="5" borderId="0" xfId="0" applyFill="1"/>
    <xf numFmtId="164" fontId="0" fillId="0" borderId="4" xfId="0" applyNumberFormat="1" applyBorder="1"/>
    <xf numFmtId="0" fontId="6" fillId="6" borderId="0" xfId="0" applyFont="1" applyFill="1"/>
    <xf numFmtId="0" fontId="6" fillId="7" borderId="0" xfId="0" applyFont="1" applyFill="1" applyAlignment="1">
      <alignment wrapText="1"/>
    </xf>
    <xf numFmtId="0" fontId="6" fillId="6" borderId="0" xfId="0" applyFont="1" applyFill="1" applyAlignment="1">
      <alignment vertical="top" wrapText="1"/>
    </xf>
    <xf numFmtId="0" fontId="0" fillId="0" borderId="10" xfId="0" applyBorder="1" applyAlignment="1">
      <alignment wrapText="1"/>
    </xf>
    <xf numFmtId="0" fontId="6" fillId="7" borderId="0" xfId="0" applyFont="1" applyFill="1" applyAlignment="1">
      <alignment vertical="top" wrapText="1"/>
    </xf>
    <xf numFmtId="0" fontId="0" fillId="6" borderId="0" xfId="0" applyFill="1"/>
    <xf numFmtId="0" fontId="7" fillId="7" borderId="15" xfId="0" applyFont="1" applyFill="1" applyBorder="1" applyAlignment="1">
      <alignment vertical="top" wrapText="1"/>
    </xf>
    <xf numFmtId="0" fontId="0" fillId="4" borderId="16" xfId="0" applyFill="1" applyBorder="1"/>
    <xf numFmtId="0" fontId="7" fillId="4" borderId="16" xfId="0" applyFont="1" applyFill="1" applyBorder="1" applyAlignment="1">
      <alignment vertical="top" wrapText="1"/>
    </xf>
    <xf numFmtId="0" fontId="7" fillId="7" borderId="16" xfId="0" applyFont="1" applyFill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9" fontId="7" fillId="7" borderId="17" xfId="0" applyNumberFormat="1" applyFont="1" applyFill="1" applyBorder="1" applyAlignment="1">
      <alignment vertical="top" wrapText="1"/>
    </xf>
    <xf numFmtId="9" fontId="0" fillId="5" borderId="0" xfId="0" applyNumberFormat="1" applyFill="1"/>
    <xf numFmtId="0" fontId="0" fillId="5" borderId="10" xfId="0" applyFill="1" applyBorder="1"/>
    <xf numFmtId="0" fontId="0" fillId="0" borderId="2" xfId="0" applyBorder="1" applyAlignment="1">
      <alignment wrapText="1"/>
    </xf>
    <xf numFmtId="164" fontId="0" fillId="0" borderId="0" xfId="0" applyNumberFormat="1" applyBorder="1"/>
    <xf numFmtId="0" fontId="0" fillId="0" borderId="18" xfId="0" applyBorder="1" applyAlignment="1">
      <alignment vertical="top" wrapText="1"/>
    </xf>
    <xf numFmtId="0" fontId="0" fillId="0" borderId="0" xfId="0" applyBorder="1"/>
    <xf numFmtId="0" fontId="0" fillId="0" borderId="19" xfId="0" applyBorder="1"/>
    <xf numFmtId="0" fontId="0" fillId="0" borderId="3" xfId="0" applyBorder="1" applyAlignment="1"/>
  </cellXfs>
  <cellStyles count="8">
    <cellStyle name="Normal" xfId="0" builtinId="0"/>
    <cellStyle name="Percent" xfId="1" builtinId="5"/>
    <cellStyle name="Заглавие сводной таблицы" xfId="2" xr:uid="{00000000-0005-0000-0000-000006000000}"/>
    <cellStyle name="Значение сводной таблицы" xfId="3" xr:uid="{00000000-0005-0000-0000-000007000000}"/>
    <cellStyle name="Категория сводной таблицы" xfId="4" xr:uid="{00000000-0005-0000-0000-000008000000}"/>
    <cellStyle name="Поле сводной таблицы" xfId="5" xr:uid="{00000000-0005-0000-0000-000009000000}"/>
    <cellStyle name="Результат сводной таблицы" xfId="6" xr:uid="{00000000-0005-0000-0000-00000A000000}"/>
    <cellStyle name="Угол сводной таблицы" xfId="7" xr:uid="{00000000-0005-0000-0000-00000B000000}"/>
  </cellStyles>
  <dxfs count="5"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EA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81D41A"/>
      <rgbColor rgb="FFFFCC00"/>
      <rgbColor rgb="FFFF9900"/>
      <rgbColor rgb="FFFF6600"/>
      <rgbColor rgb="FF666699"/>
      <rgbColor rgb="FFA6A6A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M69"/>
  <sheetViews>
    <sheetView zoomScale="75" zoomScaleNormal="75" workbookViewId="0">
      <pane xSplit="1" ySplit="2" topLeftCell="AR4" activePane="bottomRight" state="frozen"/>
      <selection pane="bottomRight" activeCell="BC8" sqref="BC8"/>
      <selection pane="bottomLeft" activeCell="A24" sqref="A24"/>
      <selection pane="topRight" activeCell="FG1" sqref="FG1"/>
    </sheetView>
  </sheetViews>
  <sheetFormatPr defaultColWidth="8.5703125" defaultRowHeight="14.25" outlineLevelCol="2"/>
  <cols>
    <col min="1" max="1" width="22.28515625" customWidth="1"/>
    <col min="2" max="2" width="32.28515625" customWidth="1" outlineLevel="1"/>
    <col min="3" max="3" width="8.7109375" customWidth="1" outlineLevel="2"/>
    <col min="4" max="4" width="21.7109375" customWidth="1" outlineLevel="1"/>
    <col min="5" max="5" width="8.7109375" customWidth="1" outlineLevel="2"/>
    <col min="6" max="6" width="13.28515625" customWidth="1" outlineLevel="1"/>
    <col min="7" max="7" width="8.85546875" customWidth="1" outlineLevel="2"/>
    <col min="8" max="8" width="17.7109375" customWidth="1" outlineLevel="1"/>
    <col min="9" max="10" width="8.85546875" customWidth="1" outlineLevel="1"/>
    <col min="11" max="11" width="11.85546875" customWidth="1" outlineLevel="1"/>
    <col min="12" max="17" width="8.85546875" customWidth="1" outlineLevel="1"/>
    <col min="18" max="18" width="21.140625" customWidth="1" outlineLevel="1"/>
    <col min="19" max="19" width="8.85546875" customWidth="1" outlineLevel="1"/>
    <col min="20" max="20" width="54.85546875" customWidth="1" outlineLevel="1"/>
    <col min="21" max="21" width="47.28515625" customWidth="1" outlineLevel="1"/>
    <col min="22" max="22" width="54.42578125" customWidth="1" outlineLevel="1"/>
    <col min="23" max="23" width="26" customWidth="1" outlineLevel="1"/>
    <col min="24" max="24" width="24.28515625" customWidth="1" outlineLevel="2"/>
    <col min="25" max="25" width="19.140625" customWidth="1" outlineLevel="2"/>
    <col min="26" max="26" width="33.42578125" customWidth="1" outlineLevel="2"/>
    <col min="27" max="27" width="41.28515625" customWidth="1" outlineLevel="2"/>
    <col min="28" max="28" width="27.7109375" customWidth="1" outlineLevel="2"/>
    <col min="29" max="29" width="8.85546875" customWidth="1" outlineLevel="2"/>
    <col min="30" max="30" width="9.140625" customWidth="1" outlineLevel="1"/>
    <col min="31" max="31" width="8.85546875" customWidth="1" outlineLevel="1"/>
    <col min="32" max="32" width="37.7109375" customWidth="1" outlineLevel="1"/>
    <col min="33" max="33" width="13.85546875" customWidth="1" outlineLevel="1"/>
    <col min="34" max="34" width="8.85546875" customWidth="1" outlineLevel="1"/>
    <col min="35" max="35" width="22.28515625" customWidth="1" outlineLevel="1"/>
    <col min="36" max="47" width="8.85546875" customWidth="1" outlineLevel="1"/>
    <col min="48" max="48" width="16" customWidth="1"/>
    <col min="49" max="51" width="8.85546875" customWidth="1" outlineLevel="2"/>
    <col min="52" max="52" width="8.85546875" customWidth="1" outlineLevel="1"/>
    <col min="53" max="55" width="8.85546875" customWidth="1" outlineLevel="2"/>
    <col min="56" max="56" width="8.85546875" customWidth="1" outlineLevel="1"/>
    <col min="57" max="59" width="8.85546875" customWidth="1" outlineLevel="2"/>
    <col min="60" max="60" width="8.85546875" customWidth="1" outlineLevel="1"/>
    <col min="61" max="63" width="8.85546875" customWidth="1" outlineLevel="2"/>
    <col min="64" max="64" width="8.85546875" customWidth="1" outlineLevel="1"/>
    <col min="65" max="67" width="8.85546875" customWidth="1" outlineLevel="2"/>
    <col min="68" max="68" width="8.85546875" customWidth="1" outlineLevel="1"/>
    <col min="69" max="71" width="8.85546875" customWidth="1" outlineLevel="2"/>
    <col min="72" max="72" width="8.85546875" customWidth="1" outlineLevel="1"/>
    <col min="73" max="75" width="8.85546875" customWidth="1" outlineLevel="2"/>
    <col min="76" max="76" width="8.85546875" customWidth="1" outlineLevel="1"/>
    <col min="77" max="79" width="8.85546875" customWidth="1" outlineLevel="2"/>
    <col min="80" max="80" width="8.85546875" customWidth="1" outlineLevel="1"/>
    <col min="81" max="83" width="8.85546875" customWidth="1" outlineLevel="2"/>
    <col min="84" max="84" width="8.85546875" customWidth="1" outlineLevel="1"/>
    <col min="85" max="87" width="8.85546875" customWidth="1" outlineLevel="2"/>
    <col min="88" max="88" width="8.85546875" customWidth="1" outlineLevel="1"/>
    <col min="89" max="91" width="8.85546875" customWidth="1" outlineLevel="2"/>
    <col min="92" max="171" width="8.85546875" customWidth="1" outlineLevel="1"/>
    <col min="172" max="172" width="8.85546875" customWidth="1"/>
    <col min="173" max="204" width="8.85546875" customWidth="1" outlineLevel="1"/>
    <col min="205" max="205" width="8.85546875" customWidth="1" outlineLevel="2"/>
    <col min="207" max="207" width="26.140625" customWidth="1"/>
    <col min="208" max="208" width="24.85546875" customWidth="1" outlineLevel="2"/>
    <col min="209" max="209" width="28.85546875" customWidth="1" outlineLevel="2"/>
    <col min="210" max="210" width="28" customWidth="1" outlineLevel="2"/>
    <col min="211" max="211" width="21.140625" customWidth="1" outlineLevel="1"/>
    <col min="212" max="214" width="8.85546875" customWidth="1" outlineLevel="2"/>
    <col min="215" max="215" width="8.85546875" customWidth="1" outlineLevel="1"/>
    <col min="216" max="218" width="8.85546875" customWidth="1" outlineLevel="2"/>
    <col min="219" max="219" width="8.85546875" customWidth="1" outlineLevel="1"/>
    <col min="220" max="222" width="8.85546875" customWidth="1" outlineLevel="2"/>
    <col min="223" max="223" width="8.85546875" customWidth="1" outlineLevel="1"/>
    <col min="224" max="226" width="8.85546875" customWidth="1" outlineLevel="2"/>
    <col min="227" max="227" width="8.85546875" customWidth="1" outlineLevel="1"/>
    <col min="228" max="230" width="8.85546875" customWidth="1" outlineLevel="2"/>
    <col min="231" max="231" width="8.85546875" customWidth="1" outlineLevel="1"/>
    <col min="232" max="234" width="8.85546875" customWidth="1" outlineLevel="2"/>
    <col min="235" max="235" width="8.85546875" customWidth="1" outlineLevel="1"/>
    <col min="236" max="238" width="8.85546875" customWidth="1" outlineLevel="2"/>
    <col min="239" max="239" width="8.85546875" customWidth="1" outlineLevel="1"/>
    <col min="240" max="242" width="8.85546875" customWidth="1" outlineLevel="2"/>
    <col min="243" max="243" width="8.85546875" customWidth="1" outlineLevel="1"/>
    <col min="244" max="246" width="8.85546875" customWidth="1" outlineLevel="2"/>
    <col min="247" max="247" width="8.85546875" customWidth="1" outlineLevel="1"/>
    <col min="248" max="250" width="8.85546875" customWidth="1" outlineLevel="2"/>
    <col min="251" max="251" width="8.85546875" customWidth="1" outlineLevel="1"/>
    <col min="252" max="254" width="8.85546875" customWidth="1" outlineLevel="2"/>
    <col min="255" max="255" width="8.85546875" customWidth="1" outlineLevel="1"/>
    <col min="256" max="258" width="8.85546875" customWidth="1" outlineLevel="2"/>
    <col min="259" max="306" width="8.85546875" customWidth="1" outlineLevel="1"/>
    <col min="307" max="307" width="8.85546875" customWidth="1"/>
    <col min="308" max="310" width="8.85546875" customWidth="1" outlineLevel="2"/>
    <col min="311" max="311" width="8.85546875" customWidth="1" outlineLevel="1"/>
    <col min="312" max="314" width="8.85546875" customWidth="1" outlineLevel="2"/>
    <col min="315" max="399" width="8.85546875" customWidth="1" outlineLevel="1"/>
    <col min="400" max="402" width="8.85546875" customWidth="1" outlineLevel="2"/>
  </cols>
  <sheetData>
    <row r="1" spans="1:403" s="1" customFormat="1" ht="96" customHeight="1">
      <c r="A1" s="1" t="s">
        <v>0</v>
      </c>
      <c r="B1" s="1" t="s">
        <v>1</v>
      </c>
      <c r="D1" s="1" t="s">
        <v>2</v>
      </c>
      <c r="F1" s="1" t="s">
        <v>3</v>
      </c>
      <c r="H1" s="2" t="s">
        <v>4</v>
      </c>
      <c r="I1" s="3"/>
      <c r="J1" s="3"/>
      <c r="K1" s="2" t="s">
        <v>5</v>
      </c>
      <c r="L1" s="3"/>
      <c r="M1" s="3"/>
      <c r="N1" s="3"/>
      <c r="O1" s="3"/>
      <c r="P1" s="3"/>
      <c r="Q1" s="3"/>
      <c r="R1" s="2" t="s">
        <v>6</v>
      </c>
      <c r="S1" s="3"/>
      <c r="T1" s="1" t="s">
        <v>7</v>
      </c>
      <c r="U1" s="2" t="s">
        <v>8</v>
      </c>
      <c r="V1" s="2" t="s">
        <v>9</v>
      </c>
      <c r="W1" s="2" t="s">
        <v>10</v>
      </c>
      <c r="AD1" s="2" t="s">
        <v>11</v>
      </c>
      <c r="AE1" s="3"/>
      <c r="AF1" s="2" t="s">
        <v>12</v>
      </c>
      <c r="AG1" s="2" t="s">
        <v>13</v>
      </c>
      <c r="AH1" s="3"/>
      <c r="AI1" s="1" t="s">
        <v>14</v>
      </c>
      <c r="AJ1" s="2" t="s">
        <v>15</v>
      </c>
      <c r="AK1" s="3"/>
      <c r="AL1" s="3"/>
      <c r="AM1" s="3"/>
      <c r="AN1" s="3"/>
      <c r="AO1" s="3"/>
      <c r="AP1" s="3"/>
      <c r="AQ1" s="3"/>
      <c r="AR1" s="2" t="s">
        <v>16</v>
      </c>
      <c r="AS1" s="3"/>
      <c r="AT1" s="3"/>
      <c r="AU1" s="1" t="s">
        <v>17</v>
      </c>
      <c r="AV1" s="1" t="s">
        <v>18</v>
      </c>
      <c r="AW1" s="3"/>
      <c r="AX1" s="3"/>
      <c r="AY1" s="3"/>
      <c r="AZ1" s="1" t="s">
        <v>19</v>
      </c>
      <c r="BA1" s="3"/>
      <c r="BB1" s="3"/>
      <c r="BC1" s="3"/>
      <c r="BD1" s="1" t="s">
        <v>20</v>
      </c>
      <c r="BE1" s="3"/>
      <c r="BF1" s="3"/>
      <c r="BG1" s="3"/>
      <c r="BH1" s="1" t="s">
        <v>21</v>
      </c>
      <c r="BI1" s="3"/>
      <c r="BJ1" s="3"/>
      <c r="BK1" s="3"/>
      <c r="BL1" s="1" t="s">
        <v>22</v>
      </c>
      <c r="BM1" s="3"/>
      <c r="BN1" s="3"/>
      <c r="BO1" s="3"/>
      <c r="BP1" s="1" t="s">
        <v>23</v>
      </c>
      <c r="BQ1" s="3"/>
      <c r="BR1" s="3"/>
      <c r="BS1" s="3"/>
      <c r="BT1" s="1" t="s">
        <v>24</v>
      </c>
      <c r="BU1" s="3"/>
      <c r="BV1" s="3"/>
      <c r="BW1" s="3"/>
      <c r="BX1" s="1" t="s">
        <v>25</v>
      </c>
      <c r="BY1" s="3"/>
      <c r="BZ1" s="3"/>
      <c r="CA1" s="3"/>
      <c r="CB1" s="1" t="s">
        <v>26</v>
      </c>
      <c r="CC1" s="3"/>
      <c r="CD1" s="3"/>
      <c r="CE1" s="3"/>
      <c r="CF1" s="1" t="s">
        <v>27</v>
      </c>
      <c r="CG1" s="3"/>
      <c r="CH1" s="3"/>
      <c r="CI1" s="3"/>
      <c r="CJ1" s="1" t="s">
        <v>28</v>
      </c>
      <c r="CK1" s="3"/>
      <c r="CL1" s="3"/>
      <c r="CM1" s="3"/>
      <c r="CN1" s="1" t="s">
        <v>29</v>
      </c>
      <c r="CR1" s="1" t="s">
        <v>30</v>
      </c>
      <c r="CV1" s="1" t="s">
        <v>31</v>
      </c>
      <c r="CZ1" s="1" t="s">
        <v>32</v>
      </c>
      <c r="DD1" s="1" t="s">
        <v>33</v>
      </c>
      <c r="DH1" s="1" t="s">
        <v>34</v>
      </c>
      <c r="DL1" s="1" t="s">
        <v>35</v>
      </c>
      <c r="DP1" s="1" t="s">
        <v>36</v>
      </c>
      <c r="DT1" s="1" t="s">
        <v>37</v>
      </c>
      <c r="DX1" s="1" t="s">
        <v>38</v>
      </c>
      <c r="EB1" s="1" t="s">
        <v>39</v>
      </c>
      <c r="EF1" s="1" t="s">
        <v>40</v>
      </c>
      <c r="EJ1" s="1" t="s">
        <v>41</v>
      </c>
      <c r="EN1" s="1" t="s">
        <v>42</v>
      </c>
      <c r="ER1" s="1" t="s">
        <v>43</v>
      </c>
      <c r="EV1" s="1" t="s">
        <v>44</v>
      </c>
      <c r="EZ1" s="1" t="s">
        <v>45</v>
      </c>
      <c r="FD1" s="1" t="s">
        <v>46</v>
      </c>
      <c r="FH1" s="3" t="s">
        <v>47</v>
      </c>
      <c r="FI1" s="3"/>
      <c r="FJ1" s="3"/>
      <c r="FK1" s="3"/>
      <c r="FL1" s="3" t="s">
        <v>48</v>
      </c>
      <c r="FM1" s="3"/>
      <c r="FN1" s="3"/>
      <c r="FO1" s="3"/>
      <c r="FP1" s="1" t="s">
        <v>49</v>
      </c>
      <c r="FQ1" s="3"/>
      <c r="FR1" s="1" t="s">
        <v>50</v>
      </c>
      <c r="FS1" s="3"/>
      <c r="FT1" s="1" t="s">
        <v>51</v>
      </c>
      <c r="FU1" s="3"/>
      <c r="FV1" s="1" t="s">
        <v>52</v>
      </c>
      <c r="FW1" s="3"/>
      <c r="FX1" s="1" t="s">
        <v>53</v>
      </c>
      <c r="FY1" s="3"/>
      <c r="FZ1" s="1" t="s">
        <v>54</v>
      </c>
      <c r="GA1" s="3"/>
      <c r="GB1" s="1" t="s">
        <v>55</v>
      </c>
      <c r="GC1" s="3"/>
      <c r="GD1" s="1" t="s">
        <v>56</v>
      </c>
      <c r="GE1" s="3"/>
      <c r="GF1" s="1" t="s">
        <v>57</v>
      </c>
      <c r="GG1" s="3"/>
      <c r="GH1" s="1" t="s">
        <v>58</v>
      </c>
      <c r="GI1" s="3"/>
      <c r="GJ1" s="1" t="s">
        <v>59</v>
      </c>
      <c r="GK1" s="3"/>
      <c r="GL1" s="1" t="s">
        <v>60</v>
      </c>
      <c r="GM1" s="3"/>
      <c r="GN1" s="1" t="s">
        <v>61</v>
      </c>
      <c r="GO1" s="3"/>
      <c r="GP1" s="1" t="s">
        <v>62</v>
      </c>
      <c r="GQ1" s="3"/>
      <c r="GR1" s="1" t="s">
        <v>63</v>
      </c>
      <c r="GS1" s="3"/>
      <c r="GT1" s="1" t="s">
        <v>64</v>
      </c>
      <c r="GU1" s="3"/>
      <c r="GV1" s="1" t="s">
        <v>65</v>
      </c>
      <c r="GW1" s="3"/>
      <c r="GX1" s="1" t="s">
        <v>66</v>
      </c>
      <c r="GY1" s="4" t="s">
        <v>67</v>
      </c>
      <c r="GZ1" s="3"/>
      <c r="HA1" s="3"/>
      <c r="HB1" s="3"/>
      <c r="IF1" s="3"/>
      <c r="IG1" s="3"/>
      <c r="IH1" s="3"/>
      <c r="IJ1" s="3"/>
      <c r="IK1" s="3"/>
      <c r="IL1" s="3"/>
      <c r="IN1" s="3"/>
      <c r="IO1" s="3"/>
      <c r="IP1" s="3"/>
      <c r="IQ1" s="4" t="s">
        <v>68</v>
      </c>
      <c r="IR1" s="3"/>
      <c r="IS1" s="3"/>
      <c r="IT1" s="3"/>
      <c r="IV1" s="3"/>
      <c r="IW1" s="3"/>
      <c r="IX1" s="3"/>
      <c r="IZ1" s="3"/>
      <c r="JA1" s="3"/>
      <c r="JB1" s="3"/>
      <c r="JD1" s="3"/>
      <c r="JE1" s="3"/>
      <c r="JF1" s="3"/>
      <c r="JH1" s="3"/>
      <c r="JI1" s="3"/>
      <c r="JJ1" s="3"/>
      <c r="JL1" s="3"/>
      <c r="JM1" s="3"/>
      <c r="JN1" s="3"/>
      <c r="JP1" s="3"/>
      <c r="JQ1" s="3"/>
      <c r="JR1" s="3"/>
      <c r="JS1" s="4" t="s">
        <v>68</v>
      </c>
      <c r="JT1" s="3"/>
      <c r="JU1" s="3"/>
      <c r="JV1" s="3"/>
      <c r="JX1" s="3"/>
      <c r="JY1" s="3"/>
      <c r="JZ1" s="3"/>
      <c r="KB1" s="3"/>
      <c r="KC1" s="3"/>
      <c r="KD1" s="3"/>
      <c r="KF1" s="3"/>
      <c r="KG1" s="3"/>
      <c r="KH1" s="3"/>
      <c r="KJ1" s="3"/>
      <c r="KK1" s="3"/>
      <c r="KL1" s="3"/>
      <c r="KN1" s="3"/>
      <c r="KO1" s="3"/>
      <c r="KP1" s="3"/>
      <c r="KR1" s="3"/>
      <c r="KS1" s="3"/>
      <c r="KT1" s="3"/>
      <c r="KU1" s="1" t="s">
        <v>69</v>
      </c>
      <c r="KV1" s="3"/>
      <c r="KW1" s="3"/>
      <c r="KX1" s="3"/>
      <c r="KY1" s="1" t="s">
        <v>70</v>
      </c>
      <c r="KZ1" s="3"/>
      <c r="LA1" s="3"/>
      <c r="LB1" s="3"/>
      <c r="LC1" s="1" t="s">
        <v>71</v>
      </c>
      <c r="LD1" s="3"/>
      <c r="LE1" s="3"/>
      <c r="LF1" s="3"/>
      <c r="LG1" s="1" t="s">
        <v>72</v>
      </c>
      <c r="LH1" s="3"/>
      <c r="LI1" s="3"/>
      <c r="LJ1" s="3"/>
      <c r="LK1" s="1" t="s">
        <v>73</v>
      </c>
      <c r="LL1" s="3"/>
      <c r="LM1" s="3"/>
      <c r="LN1" s="3"/>
      <c r="LO1" s="1" t="s">
        <v>74</v>
      </c>
      <c r="LP1" s="3"/>
      <c r="LQ1" s="3"/>
      <c r="LR1" s="3"/>
      <c r="LS1" s="1" t="s">
        <v>75</v>
      </c>
      <c r="LT1" s="3"/>
      <c r="LU1" s="3"/>
      <c r="LV1" s="3"/>
      <c r="LW1" s="1" t="s">
        <v>76</v>
      </c>
      <c r="LX1" s="3"/>
      <c r="LY1" s="3"/>
      <c r="LZ1" s="3"/>
      <c r="MA1" s="1" t="s">
        <v>77</v>
      </c>
      <c r="MB1" s="3"/>
      <c r="MC1" s="3"/>
      <c r="MD1" s="3"/>
      <c r="ME1" s="1" t="s">
        <v>78</v>
      </c>
      <c r="MF1" s="3"/>
      <c r="MG1" s="3"/>
      <c r="MH1" s="3"/>
      <c r="MI1" s="1" t="s">
        <v>79</v>
      </c>
      <c r="MJ1" s="3"/>
      <c r="MK1" s="3"/>
      <c r="ML1" s="3"/>
      <c r="MM1" s="1" t="s">
        <v>80</v>
      </c>
      <c r="MN1" s="3"/>
      <c r="MO1" s="3"/>
      <c r="MP1" s="3"/>
      <c r="MQ1" s="1" t="s">
        <v>81</v>
      </c>
      <c r="MR1" s="3"/>
      <c r="MS1" s="3"/>
      <c r="MT1" s="3"/>
      <c r="MU1" s="1" t="s">
        <v>82</v>
      </c>
      <c r="MV1" s="3"/>
      <c r="MW1" s="3"/>
      <c r="MX1" s="3"/>
      <c r="MY1" s="1" t="s">
        <v>83</v>
      </c>
      <c r="MZ1" s="3"/>
      <c r="NA1" s="3"/>
      <c r="NB1" s="3"/>
      <c r="NC1" s="1" t="s">
        <v>84</v>
      </c>
      <c r="ND1" s="3"/>
      <c r="NE1" s="3"/>
      <c r="NF1" s="3"/>
      <c r="NG1" s="1" t="s">
        <v>85</v>
      </c>
      <c r="NH1" s="3"/>
      <c r="NI1" s="3"/>
      <c r="NJ1" s="3"/>
      <c r="NK1" s="1" t="s">
        <v>86</v>
      </c>
      <c r="NL1" s="3"/>
      <c r="NM1" s="3"/>
      <c r="NN1" s="3"/>
      <c r="NO1" s="1" t="s">
        <v>87</v>
      </c>
      <c r="NP1" s="3"/>
      <c r="NQ1" s="3"/>
      <c r="NR1" s="3"/>
      <c r="NS1" s="1" t="s">
        <v>88</v>
      </c>
      <c r="NT1" s="3"/>
      <c r="NU1" s="3"/>
      <c r="NV1" s="3"/>
      <c r="NW1" s="1" t="s">
        <v>89</v>
      </c>
      <c r="NX1" s="3"/>
      <c r="NY1" s="3"/>
      <c r="NZ1" s="3"/>
      <c r="OA1" s="1" t="s">
        <v>90</v>
      </c>
      <c r="OB1" s="3"/>
      <c r="OC1" s="3"/>
      <c r="OD1" s="3"/>
      <c r="OE1" s="1" t="s">
        <v>91</v>
      </c>
      <c r="OF1" s="3"/>
      <c r="OG1" s="3"/>
      <c r="OH1" s="3"/>
      <c r="OI1" s="1" t="s">
        <v>92</v>
      </c>
      <c r="OJ1" s="3"/>
      <c r="OK1" s="3"/>
      <c r="OL1" s="3"/>
    </row>
    <row r="2" spans="1:403" ht="99.75" customHeight="1">
      <c r="A2" s="1" t="s">
        <v>93</v>
      </c>
      <c r="B2" s="1" t="s">
        <v>94</v>
      </c>
      <c r="C2" s="1" t="s">
        <v>95</v>
      </c>
      <c r="D2" s="1" t="s">
        <v>94</v>
      </c>
      <c r="E2" s="1" t="s">
        <v>95</v>
      </c>
      <c r="F2" s="1" t="s">
        <v>94</v>
      </c>
      <c r="G2" s="1" t="s">
        <v>95</v>
      </c>
      <c r="H2" s="5" t="s">
        <v>96</v>
      </c>
      <c r="I2" s="1" t="s">
        <v>97</v>
      </c>
      <c r="J2" s="1" t="s">
        <v>98</v>
      </c>
      <c r="K2" s="1" t="s">
        <v>99</v>
      </c>
      <c r="L2" s="1" t="s">
        <v>100</v>
      </c>
      <c r="M2" s="5" t="s">
        <v>101</v>
      </c>
      <c r="N2" s="1" t="s">
        <v>102</v>
      </c>
      <c r="O2" s="1" t="s">
        <v>103</v>
      </c>
      <c r="P2" s="1" t="s">
        <v>104</v>
      </c>
      <c r="Q2" s="1" t="s">
        <v>105</v>
      </c>
      <c r="R2" s="1" t="s">
        <v>106</v>
      </c>
      <c r="S2" s="1" t="s">
        <v>107</v>
      </c>
      <c r="T2" s="1" t="s">
        <v>93</v>
      </c>
      <c r="U2" s="1" t="s">
        <v>93</v>
      </c>
      <c r="V2" s="1" t="s">
        <v>93</v>
      </c>
      <c r="W2" s="1" t="s">
        <v>108</v>
      </c>
      <c r="X2" s="1" t="s">
        <v>109</v>
      </c>
      <c r="Y2" s="1" t="s">
        <v>110</v>
      </c>
      <c r="Z2" s="1" t="s">
        <v>111</v>
      </c>
      <c r="AA2" s="1" t="s">
        <v>112</v>
      </c>
      <c r="AB2" s="1" t="s">
        <v>113</v>
      </c>
      <c r="AC2" s="1" t="s">
        <v>114</v>
      </c>
      <c r="AD2" s="1" t="s">
        <v>94</v>
      </c>
      <c r="AE2" s="1" t="s">
        <v>95</v>
      </c>
      <c r="AF2" s="1" t="s">
        <v>93</v>
      </c>
      <c r="AG2" s="1" t="s">
        <v>94</v>
      </c>
      <c r="AH2" s="1" t="s">
        <v>95</v>
      </c>
      <c r="AI2" s="1" t="s">
        <v>93</v>
      </c>
      <c r="AJ2" s="1" t="s">
        <v>115</v>
      </c>
      <c r="AK2" s="1" t="s">
        <v>116</v>
      </c>
      <c r="AL2" s="1" t="s">
        <v>117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R2" s="1" t="s">
        <v>123</v>
      </c>
      <c r="AS2" s="1" t="s">
        <v>124</v>
      </c>
      <c r="AT2" s="1" t="s">
        <v>125</v>
      </c>
      <c r="AU2" s="1" t="s">
        <v>93</v>
      </c>
      <c r="AV2" s="1" t="s">
        <v>126</v>
      </c>
      <c r="AW2" s="1" t="s">
        <v>127</v>
      </c>
      <c r="AX2" s="1" t="s">
        <v>128</v>
      </c>
      <c r="AY2" s="1" t="s">
        <v>129</v>
      </c>
      <c r="AZ2" s="1" t="s">
        <v>126</v>
      </c>
      <c r="BA2" s="1" t="s">
        <v>127</v>
      </c>
      <c r="BB2" s="1" t="s">
        <v>128</v>
      </c>
      <c r="BC2" s="1" t="s">
        <v>129</v>
      </c>
      <c r="BD2" s="1" t="s">
        <v>126</v>
      </c>
      <c r="BE2" s="1" t="s">
        <v>127</v>
      </c>
      <c r="BF2" s="1" t="s">
        <v>128</v>
      </c>
      <c r="BG2" s="1" t="s">
        <v>129</v>
      </c>
      <c r="BH2" s="1" t="s">
        <v>126</v>
      </c>
      <c r="BI2" s="1" t="s">
        <v>127</v>
      </c>
      <c r="BJ2" s="1" t="s">
        <v>128</v>
      </c>
      <c r="BK2" s="1" t="s">
        <v>129</v>
      </c>
      <c r="BL2" s="1" t="s">
        <v>126</v>
      </c>
      <c r="BM2" s="1" t="s">
        <v>127</v>
      </c>
      <c r="BN2" s="1" t="s">
        <v>128</v>
      </c>
      <c r="BO2" s="1" t="s">
        <v>129</v>
      </c>
      <c r="BP2" s="1" t="s">
        <v>126</v>
      </c>
      <c r="BQ2" s="1" t="s">
        <v>127</v>
      </c>
      <c r="BR2" s="1" t="s">
        <v>128</v>
      </c>
      <c r="BS2" s="1" t="s">
        <v>129</v>
      </c>
      <c r="BT2" s="1" t="s">
        <v>126</v>
      </c>
      <c r="BU2" s="1" t="s">
        <v>127</v>
      </c>
      <c r="BV2" s="1" t="s">
        <v>128</v>
      </c>
      <c r="BW2" s="1" t="s">
        <v>129</v>
      </c>
      <c r="BX2" s="1" t="s">
        <v>126</v>
      </c>
      <c r="BY2" s="1" t="s">
        <v>127</v>
      </c>
      <c r="BZ2" s="1" t="s">
        <v>128</v>
      </c>
      <c r="CA2" s="1" t="s">
        <v>129</v>
      </c>
      <c r="CB2" s="1" t="s">
        <v>126</v>
      </c>
      <c r="CC2" s="1" t="s">
        <v>127</v>
      </c>
      <c r="CD2" s="1" t="s">
        <v>128</v>
      </c>
      <c r="CE2" s="1" t="s">
        <v>129</v>
      </c>
      <c r="CF2" s="1" t="s">
        <v>126</v>
      </c>
      <c r="CG2" s="1" t="s">
        <v>127</v>
      </c>
      <c r="CH2" s="1" t="s">
        <v>128</v>
      </c>
      <c r="CI2" s="1" t="s">
        <v>129</v>
      </c>
      <c r="CJ2" s="1" t="s">
        <v>126</v>
      </c>
      <c r="CK2" s="1" t="s">
        <v>127</v>
      </c>
      <c r="CL2" s="1" t="s">
        <v>128</v>
      </c>
      <c r="CM2" s="1" t="s">
        <v>129</v>
      </c>
      <c r="CN2" s="1" t="s">
        <v>126</v>
      </c>
      <c r="CO2" s="1" t="s">
        <v>127</v>
      </c>
      <c r="CP2" s="1" t="s">
        <v>128</v>
      </c>
      <c r="CQ2" s="1" t="s">
        <v>129</v>
      </c>
      <c r="CR2" s="1" t="s">
        <v>126</v>
      </c>
      <c r="CS2" s="1" t="s">
        <v>127</v>
      </c>
      <c r="CT2" s="1" t="s">
        <v>128</v>
      </c>
      <c r="CU2" s="1" t="s">
        <v>129</v>
      </c>
      <c r="CV2" s="1" t="s">
        <v>126</v>
      </c>
      <c r="CW2" s="1" t="s">
        <v>127</v>
      </c>
      <c r="CX2" s="1" t="s">
        <v>128</v>
      </c>
      <c r="CY2" s="1" t="s">
        <v>129</v>
      </c>
      <c r="CZ2" s="1" t="s">
        <v>126</v>
      </c>
      <c r="DA2" s="1" t="s">
        <v>127</v>
      </c>
      <c r="DB2" s="1" t="s">
        <v>128</v>
      </c>
      <c r="DC2" s="1" t="s">
        <v>129</v>
      </c>
      <c r="DD2" s="1" t="s">
        <v>126</v>
      </c>
      <c r="DE2" s="1" t="s">
        <v>127</v>
      </c>
      <c r="DF2" s="1" t="s">
        <v>128</v>
      </c>
      <c r="DG2" s="1" t="s">
        <v>129</v>
      </c>
      <c r="DH2" s="1" t="s">
        <v>126</v>
      </c>
      <c r="DI2" s="1" t="s">
        <v>127</v>
      </c>
      <c r="DJ2" s="1" t="s">
        <v>128</v>
      </c>
      <c r="DK2" s="1" t="s">
        <v>129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126</v>
      </c>
      <c r="DQ2" s="1" t="s">
        <v>127</v>
      </c>
      <c r="DR2" s="1" t="s">
        <v>128</v>
      </c>
      <c r="DS2" s="1" t="s">
        <v>129</v>
      </c>
      <c r="DT2" s="1" t="s">
        <v>126</v>
      </c>
      <c r="DU2" s="1" t="s">
        <v>127</v>
      </c>
      <c r="DV2" s="1" t="s">
        <v>128</v>
      </c>
      <c r="DW2" s="1" t="s">
        <v>129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126</v>
      </c>
      <c r="EC2" s="1" t="s">
        <v>127</v>
      </c>
      <c r="ED2" s="1" t="s">
        <v>128</v>
      </c>
      <c r="EE2" s="1" t="s">
        <v>129</v>
      </c>
      <c r="EF2" s="1" t="s">
        <v>126</v>
      </c>
      <c r="EG2" s="1" t="s">
        <v>127</v>
      </c>
      <c r="EH2" s="1" t="s">
        <v>128</v>
      </c>
      <c r="EI2" s="1" t="s">
        <v>129</v>
      </c>
      <c r="EJ2" s="1" t="s">
        <v>126</v>
      </c>
      <c r="EK2" s="1" t="s">
        <v>127</v>
      </c>
      <c r="EL2" s="1" t="s">
        <v>128</v>
      </c>
      <c r="EM2" s="1" t="s">
        <v>129</v>
      </c>
      <c r="EN2" s="1" t="s">
        <v>126</v>
      </c>
      <c r="EO2" s="1" t="s">
        <v>127</v>
      </c>
      <c r="EP2" s="1" t="s">
        <v>128</v>
      </c>
      <c r="EQ2" s="1" t="s">
        <v>129</v>
      </c>
      <c r="ER2" s="1" t="s">
        <v>126</v>
      </c>
      <c r="ES2" s="1" t="s">
        <v>127</v>
      </c>
      <c r="ET2" s="1" t="s">
        <v>128</v>
      </c>
      <c r="EU2" s="1" t="s">
        <v>129</v>
      </c>
      <c r="EV2" s="1" t="s">
        <v>126</v>
      </c>
      <c r="EW2" s="1" t="s">
        <v>127</v>
      </c>
      <c r="EX2" s="1" t="s">
        <v>128</v>
      </c>
      <c r="EY2" s="1" t="s">
        <v>129</v>
      </c>
      <c r="EZ2" s="1" t="s">
        <v>126</v>
      </c>
      <c r="FA2" s="1" t="s">
        <v>127</v>
      </c>
      <c r="FB2" s="1" t="s">
        <v>128</v>
      </c>
      <c r="FC2" s="1" t="s">
        <v>129</v>
      </c>
      <c r="FD2" s="1" t="s">
        <v>126</v>
      </c>
      <c r="FE2" s="1" t="s">
        <v>127</v>
      </c>
      <c r="FF2" s="1" t="s">
        <v>128</v>
      </c>
      <c r="FG2" s="1" t="s">
        <v>129</v>
      </c>
      <c r="FH2" s="1" t="s">
        <v>126</v>
      </c>
      <c r="FI2" s="1" t="s">
        <v>127</v>
      </c>
      <c r="FJ2" s="1" t="s">
        <v>128</v>
      </c>
      <c r="FK2" s="1" t="s">
        <v>129</v>
      </c>
      <c r="FL2" s="1" t="s">
        <v>126</v>
      </c>
      <c r="FM2" s="1" t="s">
        <v>127</v>
      </c>
      <c r="FN2" s="1" t="s">
        <v>128</v>
      </c>
      <c r="FO2" s="1" t="s">
        <v>129</v>
      </c>
      <c r="FP2" s="1" t="s">
        <v>94</v>
      </c>
      <c r="FQ2" s="1" t="s">
        <v>95</v>
      </c>
      <c r="FR2" s="1" t="s">
        <v>94</v>
      </c>
      <c r="FS2" s="1" t="s">
        <v>95</v>
      </c>
      <c r="FT2" s="1" t="s">
        <v>94</v>
      </c>
      <c r="FU2" s="1" t="s">
        <v>95</v>
      </c>
      <c r="FV2" s="1" t="s">
        <v>94</v>
      </c>
      <c r="FW2" s="1" t="s">
        <v>95</v>
      </c>
      <c r="FX2" s="1" t="s">
        <v>94</v>
      </c>
      <c r="FY2" s="1" t="s">
        <v>95</v>
      </c>
      <c r="FZ2" s="1" t="s">
        <v>94</v>
      </c>
      <c r="GA2" s="1" t="s">
        <v>95</v>
      </c>
      <c r="GB2" s="1" t="s">
        <v>94</v>
      </c>
      <c r="GC2" s="1" t="s">
        <v>95</v>
      </c>
      <c r="GD2" s="1" t="s">
        <v>94</v>
      </c>
      <c r="GE2" s="1" t="s">
        <v>95</v>
      </c>
      <c r="GF2" s="1" t="s">
        <v>94</v>
      </c>
      <c r="GG2" s="1" t="s">
        <v>95</v>
      </c>
      <c r="GH2" s="1" t="s">
        <v>94</v>
      </c>
      <c r="GI2" s="1" t="s">
        <v>95</v>
      </c>
      <c r="GJ2" s="1" t="s">
        <v>94</v>
      </c>
      <c r="GK2" s="1" t="s">
        <v>95</v>
      </c>
      <c r="GL2" s="1" t="s">
        <v>94</v>
      </c>
      <c r="GM2" s="1" t="s">
        <v>95</v>
      </c>
      <c r="GN2" s="1" t="s">
        <v>94</v>
      </c>
      <c r="GO2" s="1" t="s">
        <v>95</v>
      </c>
      <c r="GP2" s="1" t="s">
        <v>94</v>
      </c>
      <c r="GQ2" s="1" t="s">
        <v>95</v>
      </c>
      <c r="GR2" s="1" t="s">
        <v>94</v>
      </c>
      <c r="GS2" s="1" t="s">
        <v>95</v>
      </c>
      <c r="GT2" s="1" t="s">
        <v>94</v>
      </c>
      <c r="GU2" s="1" t="s">
        <v>95</v>
      </c>
      <c r="GV2" s="1" t="s">
        <v>94</v>
      </c>
      <c r="GW2" s="1" t="s">
        <v>95</v>
      </c>
      <c r="GX2" s="1" t="s">
        <v>93</v>
      </c>
      <c r="GY2" s="1" t="s">
        <v>130</v>
      </c>
      <c r="GZ2" s="3" t="s">
        <v>131</v>
      </c>
      <c r="HA2" s="3" t="s">
        <v>132</v>
      </c>
      <c r="HB2" s="3" t="s">
        <v>133</v>
      </c>
      <c r="HC2" s="1" t="s">
        <v>134</v>
      </c>
      <c r="HD2" s="3" t="s">
        <v>135</v>
      </c>
      <c r="HE2" s="3" t="s">
        <v>136</v>
      </c>
      <c r="HF2" s="3" t="s">
        <v>137</v>
      </c>
      <c r="HG2" s="5" t="s">
        <v>138</v>
      </c>
      <c r="HH2" s="3" t="s">
        <v>139</v>
      </c>
      <c r="HI2" s="3" t="s">
        <v>140</v>
      </c>
      <c r="HJ2" s="3" t="s">
        <v>141</v>
      </c>
      <c r="HK2" s="1" t="s">
        <v>142</v>
      </c>
      <c r="HL2" s="3" t="s">
        <v>143</v>
      </c>
      <c r="HM2" s="3" t="s">
        <v>144</v>
      </c>
      <c r="HN2" s="3" t="s">
        <v>145</v>
      </c>
      <c r="HO2" s="1" t="s">
        <v>146</v>
      </c>
      <c r="HP2" s="3" t="s">
        <v>147</v>
      </c>
      <c r="HQ2" s="3" t="s">
        <v>148</v>
      </c>
      <c r="HR2" s="3" t="s">
        <v>149</v>
      </c>
      <c r="HS2" s="1" t="s">
        <v>150</v>
      </c>
      <c r="HT2" s="3" t="s">
        <v>151</v>
      </c>
      <c r="HU2" s="3" t="s">
        <v>152</v>
      </c>
      <c r="HV2" s="3" t="s">
        <v>153</v>
      </c>
      <c r="HW2" s="1" t="s">
        <v>154</v>
      </c>
      <c r="HX2" s="3" t="s">
        <v>155</v>
      </c>
      <c r="HY2" s="3" t="s">
        <v>156</v>
      </c>
      <c r="HZ2" s="3" t="s">
        <v>157</v>
      </c>
      <c r="IA2" s="1" t="s">
        <v>158</v>
      </c>
      <c r="IB2" s="3" t="s">
        <v>159</v>
      </c>
      <c r="IC2" s="3" t="s">
        <v>160</v>
      </c>
      <c r="ID2" s="3" t="s">
        <v>161</v>
      </c>
      <c r="IE2" s="1" t="s">
        <v>162</v>
      </c>
      <c r="IF2" s="3" t="s">
        <v>163</v>
      </c>
      <c r="IG2" s="3" t="s">
        <v>164</v>
      </c>
      <c r="IH2" s="3" t="s">
        <v>165</v>
      </c>
      <c r="II2" s="1" t="s">
        <v>166</v>
      </c>
      <c r="IJ2" s="1" t="s">
        <v>167</v>
      </c>
      <c r="IK2" s="1" t="s">
        <v>168</v>
      </c>
      <c r="IL2" s="1" t="s">
        <v>169</v>
      </c>
      <c r="IM2" s="1" t="s">
        <v>170</v>
      </c>
      <c r="IN2" s="1" t="s">
        <v>171</v>
      </c>
      <c r="IO2" s="1" t="s">
        <v>172</v>
      </c>
      <c r="IP2" s="1" t="s">
        <v>173</v>
      </c>
      <c r="IQ2" s="1" t="s">
        <v>174</v>
      </c>
      <c r="IR2" s="1" t="s">
        <v>175</v>
      </c>
      <c r="IS2" s="1" t="s">
        <v>176</v>
      </c>
      <c r="IT2" s="1" t="s">
        <v>177</v>
      </c>
      <c r="IU2" s="1" t="s">
        <v>178</v>
      </c>
      <c r="IV2" s="1" t="s">
        <v>179</v>
      </c>
      <c r="IW2" s="1" t="s">
        <v>180</v>
      </c>
      <c r="IX2" s="1" t="s">
        <v>181</v>
      </c>
      <c r="IY2" s="1" t="s">
        <v>182</v>
      </c>
      <c r="IZ2" s="1" t="s">
        <v>183</v>
      </c>
      <c r="JA2" s="1" t="s">
        <v>184</v>
      </c>
      <c r="JB2" s="1" t="s">
        <v>185</v>
      </c>
      <c r="JC2" s="1" t="s">
        <v>186</v>
      </c>
      <c r="JD2" s="1" t="s">
        <v>187</v>
      </c>
      <c r="JE2" s="1" t="s">
        <v>188</v>
      </c>
      <c r="JF2" s="1" t="s">
        <v>189</v>
      </c>
      <c r="JG2" s="1" t="s">
        <v>190</v>
      </c>
      <c r="JH2" s="1" t="s">
        <v>191</v>
      </c>
      <c r="JI2" s="1" t="s">
        <v>192</v>
      </c>
      <c r="JJ2" s="1" t="s">
        <v>193</v>
      </c>
      <c r="JK2" s="1" t="s">
        <v>194</v>
      </c>
      <c r="JL2" s="1" t="s">
        <v>195</v>
      </c>
      <c r="JM2" s="1" t="s">
        <v>196</v>
      </c>
      <c r="JN2" s="1" t="s">
        <v>197</v>
      </c>
      <c r="JO2" s="1" t="s">
        <v>198</v>
      </c>
      <c r="JP2" s="1" t="s">
        <v>199</v>
      </c>
      <c r="JQ2" s="1" t="s">
        <v>200</v>
      </c>
      <c r="JR2" s="1" t="s">
        <v>201</v>
      </c>
      <c r="JS2" s="1" t="s">
        <v>202</v>
      </c>
      <c r="JT2" s="1" t="s">
        <v>203</v>
      </c>
      <c r="JU2" s="1" t="s">
        <v>204</v>
      </c>
      <c r="JV2" s="1" t="s">
        <v>205</v>
      </c>
      <c r="JW2" s="1" t="s">
        <v>206</v>
      </c>
      <c r="JX2" s="1" t="s">
        <v>207</v>
      </c>
      <c r="JY2" s="1" t="s">
        <v>208</v>
      </c>
      <c r="JZ2" s="1" t="s">
        <v>209</v>
      </c>
      <c r="KA2" s="1" t="s">
        <v>210</v>
      </c>
      <c r="KB2" s="1" t="s">
        <v>211</v>
      </c>
      <c r="KC2" s="1" t="s">
        <v>212</v>
      </c>
      <c r="KD2" s="1" t="s">
        <v>213</v>
      </c>
      <c r="KE2" s="1" t="s">
        <v>214</v>
      </c>
      <c r="KF2" s="1" t="s">
        <v>215</v>
      </c>
      <c r="KG2" s="1" t="s">
        <v>216</v>
      </c>
      <c r="KH2" s="1" t="s">
        <v>217</v>
      </c>
      <c r="KI2" s="1" t="s">
        <v>218</v>
      </c>
      <c r="KJ2" s="1" t="s">
        <v>219</v>
      </c>
      <c r="KK2" s="1" t="s">
        <v>220</v>
      </c>
      <c r="KL2" s="1" t="s">
        <v>221</v>
      </c>
      <c r="KM2" s="1" t="s">
        <v>222</v>
      </c>
      <c r="KN2" s="1" t="s">
        <v>223</v>
      </c>
      <c r="KO2" s="1" t="s">
        <v>224</v>
      </c>
      <c r="KP2" s="1" t="s">
        <v>225</v>
      </c>
      <c r="KQ2" s="1" t="s">
        <v>226</v>
      </c>
      <c r="KR2" s="1" t="s">
        <v>227</v>
      </c>
      <c r="KS2" s="1" t="s">
        <v>228</v>
      </c>
      <c r="KT2" s="1" t="s">
        <v>229</v>
      </c>
      <c r="KU2" s="1" t="s">
        <v>230</v>
      </c>
      <c r="KV2" s="1" t="s">
        <v>231</v>
      </c>
      <c r="KW2" s="1" t="s">
        <v>232</v>
      </c>
      <c r="KX2" s="1" t="s">
        <v>233</v>
      </c>
      <c r="KY2" s="1" t="s">
        <v>230</v>
      </c>
      <c r="KZ2" s="1" t="s">
        <v>231</v>
      </c>
      <c r="LA2" s="1" t="s">
        <v>232</v>
      </c>
      <c r="LB2" s="1" t="s">
        <v>233</v>
      </c>
      <c r="LC2" s="1" t="s">
        <v>230</v>
      </c>
      <c r="LD2" s="1" t="s">
        <v>231</v>
      </c>
      <c r="LE2" s="1" t="s">
        <v>232</v>
      </c>
      <c r="LF2" s="1" t="s">
        <v>233</v>
      </c>
      <c r="LG2" s="1" t="s">
        <v>230</v>
      </c>
      <c r="LH2" s="1" t="s">
        <v>231</v>
      </c>
      <c r="LI2" s="1" t="s">
        <v>232</v>
      </c>
      <c r="LJ2" s="1" t="s">
        <v>233</v>
      </c>
      <c r="LK2" s="1" t="s">
        <v>230</v>
      </c>
      <c r="LL2" s="1" t="s">
        <v>231</v>
      </c>
      <c r="LM2" s="1" t="s">
        <v>232</v>
      </c>
      <c r="LN2" s="1" t="s">
        <v>233</v>
      </c>
      <c r="LO2" s="1" t="s">
        <v>230</v>
      </c>
      <c r="LP2" s="1" t="s">
        <v>231</v>
      </c>
      <c r="LQ2" s="1" t="s">
        <v>232</v>
      </c>
      <c r="LR2" s="1" t="s">
        <v>233</v>
      </c>
      <c r="LS2" s="1" t="s">
        <v>230</v>
      </c>
      <c r="LT2" s="1" t="s">
        <v>231</v>
      </c>
      <c r="LU2" s="1" t="s">
        <v>232</v>
      </c>
      <c r="LV2" s="1" t="s">
        <v>233</v>
      </c>
      <c r="LW2" s="1" t="s">
        <v>230</v>
      </c>
      <c r="LX2" s="1" t="s">
        <v>231</v>
      </c>
      <c r="LY2" s="1" t="s">
        <v>232</v>
      </c>
      <c r="LZ2" s="1" t="s">
        <v>233</v>
      </c>
      <c r="MA2" s="1" t="s">
        <v>230</v>
      </c>
      <c r="MB2" s="1" t="s">
        <v>231</v>
      </c>
      <c r="MC2" s="1" t="s">
        <v>232</v>
      </c>
      <c r="MD2" s="1" t="s">
        <v>233</v>
      </c>
      <c r="ME2" s="1" t="s">
        <v>230</v>
      </c>
      <c r="MF2" s="1" t="s">
        <v>231</v>
      </c>
      <c r="MG2" s="1" t="s">
        <v>232</v>
      </c>
      <c r="MH2" s="1" t="s">
        <v>233</v>
      </c>
      <c r="MI2" s="1" t="s">
        <v>230</v>
      </c>
      <c r="MJ2" s="1" t="s">
        <v>231</v>
      </c>
      <c r="MK2" s="1" t="s">
        <v>232</v>
      </c>
      <c r="ML2" s="1" t="s">
        <v>233</v>
      </c>
      <c r="MM2" s="1" t="s">
        <v>230</v>
      </c>
      <c r="MN2" s="1" t="s">
        <v>231</v>
      </c>
      <c r="MO2" s="1" t="s">
        <v>232</v>
      </c>
      <c r="MP2" s="1" t="s">
        <v>233</v>
      </c>
      <c r="MQ2" s="1" t="s">
        <v>230</v>
      </c>
      <c r="MR2" s="1" t="s">
        <v>231</v>
      </c>
      <c r="MS2" s="1" t="s">
        <v>232</v>
      </c>
      <c r="MT2" s="1" t="s">
        <v>233</v>
      </c>
      <c r="MU2" s="1" t="s">
        <v>230</v>
      </c>
      <c r="MV2" s="1" t="s">
        <v>231</v>
      </c>
      <c r="MW2" s="1" t="s">
        <v>232</v>
      </c>
      <c r="MX2" s="1" t="s">
        <v>233</v>
      </c>
      <c r="MY2" s="1" t="s">
        <v>230</v>
      </c>
      <c r="MZ2" s="1" t="s">
        <v>231</v>
      </c>
      <c r="NA2" s="1" t="s">
        <v>232</v>
      </c>
      <c r="NB2" s="1" t="s">
        <v>233</v>
      </c>
      <c r="NC2" s="1" t="s">
        <v>230</v>
      </c>
      <c r="ND2" s="1" t="s">
        <v>231</v>
      </c>
      <c r="NE2" s="1" t="s">
        <v>232</v>
      </c>
      <c r="NF2" s="1" t="s">
        <v>233</v>
      </c>
      <c r="NG2" s="1" t="s">
        <v>230</v>
      </c>
      <c r="NH2" s="1" t="s">
        <v>231</v>
      </c>
      <c r="NI2" s="1" t="s">
        <v>232</v>
      </c>
      <c r="NJ2" s="1" t="s">
        <v>233</v>
      </c>
      <c r="NK2" s="1" t="s">
        <v>230</v>
      </c>
      <c r="NL2" s="1" t="s">
        <v>231</v>
      </c>
      <c r="NM2" s="1" t="s">
        <v>232</v>
      </c>
      <c r="NN2" s="1" t="s">
        <v>233</v>
      </c>
      <c r="NO2" s="1" t="s">
        <v>230</v>
      </c>
      <c r="NP2" s="1" t="s">
        <v>231</v>
      </c>
      <c r="NQ2" s="1" t="s">
        <v>232</v>
      </c>
      <c r="NR2" s="1" t="s">
        <v>233</v>
      </c>
      <c r="NS2" s="1" t="s">
        <v>230</v>
      </c>
      <c r="NT2" s="1" t="s">
        <v>231</v>
      </c>
      <c r="NU2" s="1" t="s">
        <v>232</v>
      </c>
      <c r="NV2" s="1" t="s">
        <v>233</v>
      </c>
      <c r="NW2" s="1" t="s">
        <v>230</v>
      </c>
      <c r="NX2" s="1" t="s">
        <v>231</v>
      </c>
      <c r="NY2" s="1" t="s">
        <v>232</v>
      </c>
      <c r="NZ2" s="1" t="s">
        <v>233</v>
      </c>
      <c r="OA2" s="1" t="s">
        <v>230</v>
      </c>
      <c r="OB2" s="1" t="s">
        <v>231</v>
      </c>
      <c r="OC2" s="1" t="s">
        <v>232</v>
      </c>
      <c r="OD2" s="1" t="s">
        <v>233</v>
      </c>
      <c r="OE2" s="1" t="s">
        <v>230</v>
      </c>
      <c r="OF2" s="1" t="s">
        <v>231</v>
      </c>
      <c r="OG2" s="1" t="s">
        <v>232</v>
      </c>
      <c r="OH2" s="1" t="s">
        <v>233</v>
      </c>
      <c r="OI2" s="1" t="s">
        <v>230</v>
      </c>
      <c r="OJ2" s="1" t="s">
        <v>231</v>
      </c>
      <c r="OK2" s="1" t="s">
        <v>232</v>
      </c>
      <c r="OL2" s="1" t="s">
        <v>233</v>
      </c>
      <c r="OM2" s="1"/>
    </row>
    <row r="3" spans="1:403">
      <c r="A3" t="s">
        <v>234</v>
      </c>
      <c r="B3" t="s">
        <v>94</v>
      </c>
      <c r="D3" t="s">
        <v>94</v>
      </c>
      <c r="F3" t="s">
        <v>94</v>
      </c>
      <c r="I3" t="s">
        <v>97</v>
      </c>
      <c r="M3" t="s">
        <v>101</v>
      </c>
      <c r="S3" t="s">
        <v>235</v>
      </c>
      <c r="T3" t="s">
        <v>236</v>
      </c>
      <c r="U3" t="s">
        <v>237</v>
      </c>
      <c r="V3" t="s">
        <v>238</v>
      </c>
      <c r="AB3" t="s">
        <v>113</v>
      </c>
      <c r="AE3" t="s">
        <v>95</v>
      </c>
      <c r="AF3">
        <v>0</v>
      </c>
      <c r="AH3" t="s">
        <v>95</v>
      </c>
      <c r="AI3">
        <v>0</v>
      </c>
      <c r="AL3" t="s">
        <v>117</v>
      </c>
      <c r="AT3" t="s">
        <v>125</v>
      </c>
      <c r="AU3" t="s">
        <v>239</v>
      </c>
      <c r="AX3" t="s">
        <v>128</v>
      </c>
      <c r="BA3" t="s">
        <v>127</v>
      </c>
      <c r="BD3" t="s">
        <v>126</v>
      </c>
      <c r="BK3" t="s">
        <v>129</v>
      </c>
      <c r="BO3" t="s">
        <v>129</v>
      </c>
      <c r="BS3" t="s">
        <v>129</v>
      </c>
      <c r="BW3" t="s">
        <v>129</v>
      </c>
      <c r="BX3" t="s">
        <v>126</v>
      </c>
      <c r="CE3" t="s">
        <v>129</v>
      </c>
      <c r="CF3" t="s">
        <v>126</v>
      </c>
      <c r="CL3" t="s">
        <v>128</v>
      </c>
      <c r="CQ3" t="s">
        <v>129</v>
      </c>
      <c r="CU3" t="s">
        <v>129</v>
      </c>
      <c r="CY3" t="s">
        <v>129</v>
      </c>
      <c r="DC3" t="s">
        <v>129</v>
      </c>
      <c r="DG3" t="s">
        <v>129</v>
      </c>
      <c r="DK3" t="s">
        <v>129</v>
      </c>
      <c r="DL3" t="s">
        <v>126</v>
      </c>
      <c r="DS3" t="s">
        <v>129</v>
      </c>
      <c r="DW3" t="s">
        <v>129</v>
      </c>
      <c r="EA3" t="s">
        <v>129</v>
      </c>
      <c r="EE3" t="s">
        <v>129</v>
      </c>
      <c r="EI3" t="s">
        <v>129</v>
      </c>
      <c r="EM3" t="s">
        <v>129</v>
      </c>
      <c r="EO3" t="s">
        <v>127</v>
      </c>
      <c r="ET3" t="s">
        <v>128</v>
      </c>
      <c r="EY3" t="s">
        <v>129</v>
      </c>
      <c r="FA3" t="s">
        <v>127</v>
      </c>
      <c r="FF3" t="s">
        <v>128</v>
      </c>
      <c r="FK3" t="s">
        <v>129</v>
      </c>
      <c r="FN3" t="s">
        <v>128</v>
      </c>
      <c r="FQ3" t="s">
        <v>95</v>
      </c>
      <c r="FS3" t="s">
        <v>95</v>
      </c>
      <c r="FU3" t="s">
        <v>95</v>
      </c>
      <c r="FW3" t="s">
        <v>95</v>
      </c>
      <c r="FY3" t="s">
        <v>95</v>
      </c>
      <c r="GA3" t="s">
        <v>95</v>
      </c>
      <c r="GC3" t="s">
        <v>95</v>
      </c>
      <c r="GE3" t="s">
        <v>95</v>
      </c>
      <c r="GG3" t="s">
        <v>95</v>
      </c>
      <c r="GI3" t="s">
        <v>95</v>
      </c>
      <c r="GK3" t="s">
        <v>95</v>
      </c>
      <c r="GM3" t="s">
        <v>95</v>
      </c>
      <c r="GO3" t="s">
        <v>95</v>
      </c>
      <c r="GQ3" t="s">
        <v>95</v>
      </c>
      <c r="GS3" t="s">
        <v>95</v>
      </c>
      <c r="GU3" t="s">
        <v>95</v>
      </c>
      <c r="GW3" t="s">
        <v>95</v>
      </c>
      <c r="GX3" t="s">
        <v>240</v>
      </c>
      <c r="HB3" t="s">
        <v>241</v>
      </c>
      <c r="HC3" t="s">
        <v>242</v>
      </c>
      <c r="HG3" t="s">
        <v>242</v>
      </c>
      <c r="HK3" t="s">
        <v>242</v>
      </c>
      <c r="HO3" t="s">
        <v>242</v>
      </c>
      <c r="HU3" t="s">
        <v>243</v>
      </c>
      <c r="HW3" t="s">
        <v>242</v>
      </c>
      <c r="IA3" t="s">
        <v>242</v>
      </c>
      <c r="IE3" t="s">
        <v>242</v>
      </c>
      <c r="IK3" t="s">
        <v>243</v>
      </c>
      <c r="IP3" t="s">
        <v>241</v>
      </c>
      <c r="IQ3" t="s">
        <v>242</v>
      </c>
      <c r="IV3" t="s">
        <v>244</v>
      </c>
      <c r="IY3" t="s">
        <v>242</v>
      </c>
      <c r="JC3" t="s">
        <v>242</v>
      </c>
      <c r="JI3" t="s">
        <v>245</v>
      </c>
      <c r="JL3" t="s">
        <v>244</v>
      </c>
      <c r="JO3" t="s">
        <v>242</v>
      </c>
      <c r="JS3" t="s">
        <v>242</v>
      </c>
      <c r="JY3" t="s">
        <v>243</v>
      </c>
      <c r="KA3" t="s">
        <v>242</v>
      </c>
      <c r="KF3" t="s">
        <v>244</v>
      </c>
      <c r="KJ3" t="s">
        <v>244</v>
      </c>
      <c r="KM3" t="s">
        <v>242</v>
      </c>
      <c r="KQ3" t="s">
        <v>242</v>
      </c>
      <c r="KU3" t="s">
        <v>230</v>
      </c>
      <c r="KY3" t="s">
        <v>230</v>
      </c>
      <c r="LC3" t="s">
        <v>230</v>
      </c>
      <c r="LG3" t="s">
        <v>230</v>
      </c>
      <c r="LK3" t="s">
        <v>230</v>
      </c>
      <c r="LO3" t="s">
        <v>230</v>
      </c>
      <c r="LS3" t="s">
        <v>230</v>
      </c>
      <c r="LW3" t="s">
        <v>230</v>
      </c>
      <c r="MA3" t="s">
        <v>230</v>
      </c>
      <c r="ME3" t="s">
        <v>230</v>
      </c>
      <c r="MI3" t="s">
        <v>230</v>
      </c>
      <c r="MM3" t="s">
        <v>230</v>
      </c>
      <c r="MQ3" t="s">
        <v>230</v>
      </c>
      <c r="MV3" t="s">
        <v>231</v>
      </c>
      <c r="MZ3" t="s">
        <v>231</v>
      </c>
      <c r="NC3" t="s">
        <v>230</v>
      </c>
      <c r="NG3" t="s">
        <v>230</v>
      </c>
      <c r="NK3" t="s">
        <v>230</v>
      </c>
      <c r="NO3" t="s">
        <v>230</v>
      </c>
      <c r="NS3" t="s">
        <v>230</v>
      </c>
      <c r="NX3" t="s">
        <v>231</v>
      </c>
      <c r="OA3" t="s">
        <v>230</v>
      </c>
      <c r="OE3" t="s">
        <v>230</v>
      </c>
      <c r="OJ3" t="s">
        <v>231</v>
      </c>
    </row>
    <row r="4" spans="1:403">
      <c r="A4" t="s">
        <v>246</v>
      </c>
      <c r="B4" t="s">
        <v>94</v>
      </c>
      <c r="D4" t="s">
        <v>94</v>
      </c>
      <c r="F4" t="s">
        <v>94</v>
      </c>
      <c r="H4" t="s">
        <v>96</v>
      </c>
      <c r="N4" t="s">
        <v>102</v>
      </c>
      <c r="S4" t="s">
        <v>247</v>
      </c>
      <c r="T4" t="s">
        <v>248</v>
      </c>
      <c r="U4" t="s">
        <v>249</v>
      </c>
      <c r="V4" t="s">
        <v>250</v>
      </c>
      <c r="W4" t="s">
        <v>108</v>
      </c>
      <c r="AD4" t="s">
        <v>94</v>
      </c>
      <c r="AF4">
        <v>1</v>
      </c>
      <c r="AH4" t="s">
        <v>95</v>
      </c>
      <c r="AI4" t="s">
        <v>251</v>
      </c>
      <c r="AL4" t="s">
        <v>117</v>
      </c>
      <c r="AR4" t="s">
        <v>123</v>
      </c>
      <c r="AU4" t="s">
        <v>252</v>
      </c>
      <c r="AX4" t="s">
        <v>128</v>
      </c>
      <c r="BA4" t="s">
        <v>127</v>
      </c>
      <c r="BG4" t="s">
        <v>129</v>
      </c>
      <c r="BK4" t="s">
        <v>129</v>
      </c>
      <c r="BN4" t="s">
        <v>128</v>
      </c>
      <c r="BS4" t="s">
        <v>129</v>
      </c>
      <c r="BV4" t="s">
        <v>128</v>
      </c>
      <c r="BY4" t="s">
        <v>127</v>
      </c>
      <c r="CD4" t="s">
        <v>128</v>
      </c>
      <c r="CI4" t="s">
        <v>129</v>
      </c>
      <c r="CL4" t="s">
        <v>128</v>
      </c>
      <c r="CO4" t="s">
        <v>127</v>
      </c>
      <c r="CS4" t="s">
        <v>127</v>
      </c>
      <c r="CX4" t="s">
        <v>128</v>
      </c>
      <c r="DB4" t="s">
        <v>128</v>
      </c>
      <c r="DE4" t="s">
        <v>127</v>
      </c>
      <c r="DH4" t="s">
        <v>126</v>
      </c>
      <c r="DL4" t="s">
        <v>126</v>
      </c>
      <c r="DQ4" t="s">
        <v>127</v>
      </c>
      <c r="DU4" t="s">
        <v>127</v>
      </c>
      <c r="EA4" t="s">
        <v>129</v>
      </c>
      <c r="EC4" t="s">
        <v>127</v>
      </c>
      <c r="EI4" t="s">
        <v>129</v>
      </c>
      <c r="EL4" t="s">
        <v>128</v>
      </c>
      <c r="EQ4" t="s">
        <v>129</v>
      </c>
      <c r="ET4" t="s">
        <v>128</v>
      </c>
      <c r="EW4" t="s">
        <v>127</v>
      </c>
      <c r="FB4" t="s">
        <v>128</v>
      </c>
      <c r="FF4" t="s">
        <v>128</v>
      </c>
      <c r="FH4" t="s">
        <v>126</v>
      </c>
      <c r="FN4" t="s">
        <v>128</v>
      </c>
      <c r="FQ4" t="s">
        <v>95</v>
      </c>
      <c r="FS4" t="s">
        <v>95</v>
      </c>
      <c r="FU4" t="s">
        <v>95</v>
      </c>
      <c r="FW4" t="s">
        <v>95</v>
      </c>
      <c r="FY4" t="s">
        <v>95</v>
      </c>
      <c r="GA4" t="s">
        <v>95</v>
      </c>
      <c r="GB4" t="s">
        <v>94</v>
      </c>
      <c r="GD4" t="s">
        <v>94</v>
      </c>
      <c r="GF4" t="s">
        <v>94</v>
      </c>
      <c r="GI4" t="s">
        <v>95</v>
      </c>
      <c r="GJ4" t="s">
        <v>94</v>
      </c>
      <c r="GL4" t="s">
        <v>94</v>
      </c>
      <c r="GN4" t="s">
        <v>94</v>
      </c>
      <c r="GQ4" t="s">
        <v>95</v>
      </c>
      <c r="GS4" t="s">
        <v>95</v>
      </c>
      <c r="GU4" t="s">
        <v>95</v>
      </c>
      <c r="GW4" t="s">
        <v>95</v>
      </c>
      <c r="GZ4" t="s">
        <v>244</v>
      </c>
      <c r="HC4" t="s">
        <v>242</v>
      </c>
      <c r="HG4" t="s">
        <v>242</v>
      </c>
      <c r="HK4" t="s">
        <v>242</v>
      </c>
      <c r="HO4" t="s">
        <v>242</v>
      </c>
      <c r="HT4" t="s">
        <v>244</v>
      </c>
      <c r="HW4" t="s">
        <v>242</v>
      </c>
      <c r="IC4" t="s">
        <v>243</v>
      </c>
      <c r="IE4" t="s">
        <v>242</v>
      </c>
      <c r="II4" t="s">
        <v>242</v>
      </c>
      <c r="IM4" t="s">
        <v>242</v>
      </c>
      <c r="IQ4" t="s">
        <v>242</v>
      </c>
      <c r="IW4" t="s">
        <v>245</v>
      </c>
      <c r="IY4" t="s">
        <v>242</v>
      </c>
      <c r="JD4" t="s">
        <v>244</v>
      </c>
      <c r="JG4" t="s">
        <v>242</v>
      </c>
      <c r="JL4" t="s">
        <v>244</v>
      </c>
      <c r="JR4" t="s">
        <v>253</v>
      </c>
      <c r="JT4" t="s">
        <v>244</v>
      </c>
      <c r="JY4" t="s">
        <v>243</v>
      </c>
      <c r="KB4" t="s">
        <v>244</v>
      </c>
      <c r="KE4" t="s">
        <v>242</v>
      </c>
      <c r="KK4" t="s">
        <v>243</v>
      </c>
      <c r="KM4" t="s">
        <v>242</v>
      </c>
      <c r="KQ4" t="s">
        <v>242</v>
      </c>
      <c r="KU4" t="s">
        <v>230</v>
      </c>
      <c r="KY4" t="s">
        <v>230</v>
      </c>
      <c r="LD4" t="s">
        <v>231</v>
      </c>
      <c r="LG4" t="s">
        <v>230</v>
      </c>
      <c r="LK4" t="s">
        <v>230</v>
      </c>
      <c r="LO4" t="s">
        <v>230</v>
      </c>
      <c r="LT4" t="s">
        <v>231</v>
      </c>
      <c r="LW4" t="s">
        <v>230</v>
      </c>
      <c r="MA4" t="s">
        <v>230</v>
      </c>
      <c r="MF4" t="s">
        <v>231</v>
      </c>
      <c r="MK4" t="s">
        <v>232</v>
      </c>
      <c r="MO4" t="s">
        <v>232</v>
      </c>
      <c r="MQ4" t="s">
        <v>230</v>
      </c>
      <c r="MW4" t="s">
        <v>232</v>
      </c>
      <c r="MY4" t="s">
        <v>230</v>
      </c>
      <c r="NE4" t="s">
        <v>232</v>
      </c>
      <c r="NG4" t="s">
        <v>230</v>
      </c>
      <c r="NM4" t="s">
        <v>232</v>
      </c>
      <c r="NO4" t="s">
        <v>230</v>
      </c>
      <c r="NS4" t="s">
        <v>230</v>
      </c>
      <c r="NW4" t="s">
        <v>230</v>
      </c>
      <c r="OA4" t="s">
        <v>230</v>
      </c>
      <c r="OH4" t="s">
        <v>233</v>
      </c>
      <c r="OL4" t="s">
        <v>233</v>
      </c>
    </row>
    <row r="5" spans="1:403">
      <c r="A5" t="s">
        <v>254</v>
      </c>
      <c r="B5" t="s">
        <v>94</v>
      </c>
      <c r="D5" t="s">
        <v>94</v>
      </c>
      <c r="F5" t="s">
        <v>94</v>
      </c>
      <c r="I5" t="s">
        <v>97</v>
      </c>
      <c r="M5" t="s">
        <v>101</v>
      </c>
      <c r="R5" t="s">
        <v>106</v>
      </c>
      <c r="T5" t="s">
        <v>255</v>
      </c>
      <c r="U5" t="s">
        <v>256</v>
      </c>
      <c r="V5" t="s">
        <v>257</v>
      </c>
      <c r="AB5" t="s">
        <v>113</v>
      </c>
      <c r="AE5" t="s">
        <v>95</v>
      </c>
      <c r="AF5" t="s">
        <v>258</v>
      </c>
      <c r="AH5" t="s">
        <v>95</v>
      </c>
      <c r="AI5" t="s">
        <v>258</v>
      </c>
      <c r="AL5" t="s">
        <v>117</v>
      </c>
      <c r="AR5" t="s">
        <v>123</v>
      </c>
      <c r="AU5" t="s">
        <v>259</v>
      </c>
      <c r="AY5" t="s">
        <v>129</v>
      </c>
      <c r="BB5" t="s">
        <v>128</v>
      </c>
      <c r="BF5" t="s">
        <v>128</v>
      </c>
      <c r="BJ5" t="s">
        <v>128</v>
      </c>
      <c r="BN5" t="s">
        <v>128</v>
      </c>
      <c r="BS5" t="s">
        <v>129</v>
      </c>
      <c r="BV5" t="s">
        <v>128</v>
      </c>
      <c r="CA5" t="s">
        <v>129</v>
      </c>
      <c r="CD5" t="s">
        <v>128</v>
      </c>
      <c r="CH5" t="s">
        <v>128</v>
      </c>
      <c r="CM5" t="s">
        <v>129</v>
      </c>
      <c r="CQ5" t="s">
        <v>129</v>
      </c>
      <c r="CT5" t="s">
        <v>128</v>
      </c>
      <c r="CX5" t="s">
        <v>128</v>
      </c>
      <c r="DB5" t="s">
        <v>128</v>
      </c>
      <c r="DG5" t="s">
        <v>129</v>
      </c>
      <c r="DK5" t="s">
        <v>129</v>
      </c>
      <c r="DN5" t="s">
        <v>128</v>
      </c>
      <c r="DP5" t="s">
        <v>126</v>
      </c>
      <c r="DT5" t="s">
        <v>126</v>
      </c>
      <c r="EA5" t="s">
        <v>129</v>
      </c>
      <c r="ED5" t="s">
        <v>128</v>
      </c>
      <c r="EH5" t="s">
        <v>128</v>
      </c>
      <c r="EM5" t="s">
        <v>129</v>
      </c>
      <c r="EP5" t="s">
        <v>128</v>
      </c>
      <c r="ES5" t="s">
        <v>127</v>
      </c>
      <c r="EV5" t="s">
        <v>126</v>
      </c>
      <c r="FC5" t="s">
        <v>129</v>
      </c>
      <c r="FF5" t="s">
        <v>128</v>
      </c>
      <c r="FJ5" t="s">
        <v>128</v>
      </c>
      <c r="FM5" t="s">
        <v>127</v>
      </c>
      <c r="FQ5" t="s">
        <v>95</v>
      </c>
      <c r="FS5" t="s">
        <v>95</v>
      </c>
      <c r="FU5" t="s">
        <v>95</v>
      </c>
      <c r="FW5" t="s">
        <v>95</v>
      </c>
      <c r="FY5" t="s">
        <v>95</v>
      </c>
      <c r="GA5" t="s">
        <v>95</v>
      </c>
      <c r="GC5" t="s">
        <v>95</v>
      </c>
      <c r="GD5" t="s">
        <v>94</v>
      </c>
      <c r="GG5" t="s">
        <v>95</v>
      </c>
      <c r="GH5" t="s">
        <v>94</v>
      </c>
      <c r="GK5" t="s">
        <v>95</v>
      </c>
      <c r="GL5" t="s">
        <v>94</v>
      </c>
      <c r="GN5" t="s">
        <v>94</v>
      </c>
      <c r="GQ5" t="s">
        <v>95</v>
      </c>
      <c r="GS5" t="s">
        <v>95</v>
      </c>
      <c r="GU5" t="s">
        <v>95</v>
      </c>
      <c r="GW5" t="s">
        <v>95</v>
      </c>
      <c r="GX5" t="s">
        <v>260</v>
      </c>
      <c r="GY5" t="s">
        <v>242</v>
      </c>
      <c r="HC5" t="s">
        <v>242</v>
      </c>
      <c r="HH5" t="s">
        <v>244</v>
      </c>
      <c r="HK5" t="s">
        <v>242</v>
      </c>
      <c r="HO5" t="s">
        <v>242</v>
      </c>
      <c r="HS5" t="s">
        <v>242</v>
      </c>
      <c r="HX5" t="s">
        <v>244</v>
      </c>
      <c r="IA5" t="s">
        <v>242</v>
      </c>
      <c r="IE5" t="s">
        <v>242</v>
      </c>
      <c r="II5" t="s">
        <v>242</v>
      </c>
      <c r="IM5" t="s">
        <v>242</v>
      </c>
      <c r="IQ5" t="s">
        <v>242</v>
      </c>
      <c r="IU5" t="s">
        <v>242</v>
      </c>
      <c r="IZ5" t="s">
        <v>244</v>
      </c>
      <c r="JC5" t="s">
        <v>242</v>
      </c>
      <c r="JG5" t="s">
        <v>242</v>
      </c>
      <c r="JK5" t="s">
        <v>242</v>
      </c>
      <c r="JP5" t="s">
        <v>244</v>
      </c>
      <c r="JT5" t="s">
        <v>244</v>
      </c>
      <c r="JW5" t="s">
        <v>242</v>
      </c>
      <c r="KA5" t="s">
        <v>242</v>
      </c>
      <c r="KE5" t="s">
        <v>242</v>
      </c>
      <c r="KI5" t="s">
        <v>242</v>
      </c>
      <c r="KM5" t="s">
        <v>242</v>
      </c>
      <c r="KQ5" t="s">
        <v>242</v>
      </c>
      <c r="KU5" t="s">
        <v>230</v>
      </c>
      <c r="KY5" t="s">
        <v>230</v>
      </c>
      <c r="LC5" t="s">
        <v>230</v>
      </c>
      <c r="LG5" t="s">
        <v>230</v>
      </c>
      <c r="LK5" t="s">
        <v>230</v>
      </c>
      <c r="LO5" t="s">
        <v>230</v>
      </c>
      <c r="LS5" t="s">
        <v>230</v>
      </c>
      <c r="LW5" t="s">
        <v>230</v>
      </c>
      <c r="MA5" t="s">
        <v>230</v>
      </c>
      <c r="ME5" t="s">
        <v>230</v>
      </c>
      <c r="MI5" t="s">
        <v>230</v>
      </c>
      <c r="MM5" t="s">
        <v>230</v>
      </c>
      <c r="MQ5" t="s">
        <v>230</v>
      </c>
      <c r="MU5" t="s">
        <v>230</v>
      </c>
      <c r="MY5" t="s">
        <v>230</v>
      </c>
      <c r="NC5" t="s">
        <v>230</v>
      </c>
      <c r="NH5" t="s">
        <v>231</v>
      </c>
      <c r="NK5" t="s">
        <v>230</v>
      </c>
      <c r="NP5" t="s">
        <v>231</v>
      </c>
      <c r="NS5" t="s">
        <v>230</v>
      </c>
      <c r="NW5" t="s">
        <v>230</v>
      </c>
      <c r="OB5" t="s">
        <v>231</v>
      </c>
      <c r="OF5" t="s">
        <v>231</v>
      </c>
      <c r="OJ5" t="s">
        <v>231</v>
      </c>
    </row>
    <row r="6" spans="1:403">
      <c r="A6" t="s">
        <v>261</v>
      </c>
      <c r="B6" t="s">
        <v>94</v>
      </c>
      <c r="D6" t="s">
        <v>94</v>
      </c>
      <c r="F6" t="s">
        <v>94</v>
      </c>
      <c r="H6" t="s">
        <v>96</v>
      </c>
      <c r="N6" t="s">
        <v>102</v>
      </c>
      <c r="R6" t="s">
        <v>106</v>
      </c>
      <c r="T6" t="s">
        <v>262</v>
      </c>
      <c r="U6" t="s">
        <v>249</v>
      </c>
      <c r="V6" t="s">
        <v>263</v>
      </c>
      <c r="W6" t="s">
        <v>108</v>
      </c>
      <c r="AD6" t="s">
        <v>94</v>
      </c>
      <c r="AF6">
        <v>1</v>
      </c>
      <c r="AH6" t="s">
        <v>95</v>
      </c>
      <c r="AI6" t="s">
        <v>264</v>
      </c>
      <c r="AN6" t="s">
        <v>119</v>
      </c>
      <c r="AS6" t="s">
        <v>124</v>
      </c>
      <c r="AU6" t="s">
        <v>265</v>
      </c>
      <c r="AY6" t="s">
        <v>129</v>
      </c>
      <c r="BA6" t="s">
        <v>127</v>
      </c>
      <c r="BF6" t="s">
        <v>128</v>
      </c>
      <c r="BK6" t="s">
        <v>129</v>
      </c>
      <c r="BO6" t="s">
        <v>129</v>
      </c>
      <c r="BQ6" t="s">
        <v>127</v>
      </c>
      <c r="BW6" t="s">
        <v>129</v>
      </c>
      <c r="CA6" t="s">
        <v>129</v>
      </c>
      <c r="CE6" t="s">
        <v>129</v>
      </c>
      <c r="CI6" t="s">
        <v>129</v>
      </c>
      <c r="CK6" t="s">
        <v>127</v>
      </c>
      <c r="CP6" t="s">
        <v>128</v>
      </c>
      <c r="CU6" t="s">
        <v>129</v>
      </c>
      <c r="CY6" t="s">
        <v>129</v>
      </c>
      <c r="DC6" t="s">
        <v>129</v>
      </c>
      <c r="DD6" t="s">
        <v>126</v>
      </c>
      <c r="DK6" t="s">
        <v>129</v>
      </c>
      <c r="DN6" t="s">
        <v>128</v>
      </c>
      <c r="DR6" t="s">
        <v>128</v>
      </c>
      <c r="DW6" t="s">
        <v>129</v>
      </c>
      <c r="EA6" t="s">
        <v>129</v>
      </c>
      <c r="EE6" t="s">
        <v>129</v>
      </c>
      <c r="EI6" t="s">
        <v>129</v>
      </c>
      <c r="EM6" t="s">
        <v>129</v>
      </c>
      <c r="EQ6" t="s">
        <v>129</v>
      </c>
      <c r="EU6" t="s">
        <v>129</v>
      </c>
      <c r="EW6" t="s">
        <v>127</v>
      </c>
      <c r="FC6" t="s">
        <v>129</v>
      </c>
      <c r="FG6" t="s">
        <v>129</v>
      </c>
      <c r="FH6" t="s">
        <v>126</v>
      </c>
      <c r="FM6" t="s">
        <v>127</v>
      </c>
      <c r="FQ6" t="s">
        <v>95</v>
      </c>
      <c r="FS6" t="s">
        <v>95</v>
      </c>
      <c r="FU6" t="s">
        <v>95</v>
      </c>
      <c r="FW6" t="s">
        <v>95</v>
      </c>
      <c r="FY6" t="s">
        <v>95</v>
      </c>
      <c r="GA6" t="s">
        <v>95</v>
      </c>
      <c r="GB6" t="s">
        <v>94</v>
      </c>
      <c r="GE6" t="s">
        <v>95</v>
      </c>
      <c r="GG6" t="s">
        <v>95</v>
      </c>
      <c r="GI6" t="s">
        <v>95</v>
      </c>
      <c r="GK6" t="s">
        <v>95</v>
      </c>
      <c r="GM6" t="s">
        <v>95</v>
      </c>
      <c r="GO6" t="s">
        <v>95</v>
      </c>
      <c r="GQ6" t="s">
        <v>95</v>
      </c>
      <c r="GS6" t="s">
        <v>95</v>
      </c>
      <c r="GU6" t="s">
        <v>95</v>
      </c>
      <c r="GW6" t="s">
        <v>95</v>
      </c>
      <c r="GX6" t="s">
        <v>251</v>
      </c>
      <c r="GY6" t="s">
        <v>242</v>
      </c>
      <c r="HC6" t="s">
        <v>242</v>
      </c>
      <c r="HG6" t="s">
        <v>242</v>
      </c>
      <c r="HK6" t="s">
        <v>242</v>
      </c>
      <c r="HO6" t="s">
        <v>242</v>
      </c>
      <c r="HS6" t="s">
        <v>242</v>
      </c>
      <c r="HW6" t="s">
        <v>242</v>
      </c>
      <c r="IA6" t="s">
        <v>242</v>
      </c>
      <c r="IE6" t="s">
        <v>242</v>
      </c>
      <c r="II6" t="s">
        <v>242</v>
      </c>
      <c r="IO6" t="s">
        <v>243</v>
      </c>
      <c r="IQ6" t="s">
        <v>242</v>
      </c>
      <c r="IV6" t="s">
        <v>244</v>
      </c>
      <c r="IZ6" t="s">
        <v>244</v>
      </c>
      <c r="JC6" t="s">
        <v>242</v>
      </c>
      <c r="JG6" t="s">
        <v>242</v>
      </c>
      <c r="JK6" t="s">
        <v>242</v>
      </c>
      <c r="JO6" t="s">
        <v>242</v>
      </c>
      <c r="JS6" t="s">
        <v>242</v>
      </c>
      <c r="JX6" t="s">
        <v>244</v>
      </c>
      <c r="KA6" t="s">
        <v>242</v>
      </c>
      <c r="KE6" t="s">
        <v>242</v>
      </c>
      <c r="KJ6" t="s">
        <v>244</v>
      </c>
      <c r="KM6" t="s">
        <v>242</v>
      </c>
      <c r="KQ6" t="s">
        <v>242</v>
      </c>
      <c r="KU6" t="s">
        <v>230</v>
      </c>
      <c r="KZ6" t="s">
        <v>231</v>
      </c>
      <c r="LC6" t="s">
        <v>230</v>
      </c>
      <c r="LH6" t="s">
        <v>231</v>
      </c>
      <c r="LL6" t="s">
        <v>231</v>
      </c>
      <c r="LP6" t="s">
        <v>231</v>
      </c>
      <c r="LS6" t="s">
        <v>230</v>
      </c>
      <c r="LX6" t="s">
        <v>231</v>
      </c>
      <c r="MA6" t="s">
        <v>230</v>
      </c>
      <c r="ME6" t="s">
        <v>230</v>
      </c>
      <c r="MJ6" t="s">
        <v>231</v>
      </c>
      <c r="MM6" t="s">
        <v>230</v>
      </c>
      <c r="MQ6" t="s">
        <v>230</v>
      </c>
      <c r="MV6" t="s">
        <v>231</v>
      </c>
      <c r="MY6" t="s">
        <v>230</v>
      </c>
      <c r="NC6" t="s">
        <v>230</v>
      </c>
      <c r="NH6" t="s">
        <v>231</v>
      </c>
      <c r="NK6" t="s">
        <v>230</v>
      </c>
      <c r="NO6" t="s">
        <v>230</v>
      </c>
      <c r="NS6" t="s">
        <v>230</v>
      </c>
      <c r="NW6" t="s">
        <v>230</v>
      </c>
      <c r="OC6" t="s">
        <v>232</v>
      </c>
      <c r="OE6" t="s">
        <v>230</v>
      </c>
      <c r="OK6" t="s">
        <v>232</v>
      </c>
    </row>
    <row r="7" spans="1:403">
      <c r="A7" t="s">
        <v>266</v>
      </c>
      <c r="B7" t="s">
        <v>94</v>
      </c>
      <c r="D7" t="s">
        <v>94</v>
      </c>
      <c r="F7" t="s">
        <v>94</v>
      </c>
      <c r="I7" t="s">
        <v>97</v>
      </c>
      <c r="N7" t="s">
        <v>102</v>
      </c>
      <c r="R7" t="s">
        <v>106</v>
      </c>
      <c r="T7" t="s">
        <v>267</v>
      </c>
      <c r="U7" t="s">
        <v>249</v>
      </c>
      <c r="V7" t="s">
        <v>268</v>
      </c>
      <c r="W7" t="s">
        <v>108</v>
      </c>
      <c r="AE7" t="s">
        <v>95</v>
      </c>
      <c r="AF7">
        <v>0</v>
      </c>
      <c r="AH7" t="s">
        <v>95</v>
      </c>
      <c r="AI7">
        <v>0</v>
      </c>
      <c r="AL7" t="s">
        <v>117</v>
      </c>
      <c r="AT7" t="s">
        <v>125</v>
      </c>
      <c r="AU7" t="s">
        <v>269</v>
      </c>
      <c r="AW7" t="s">
        <v>127</v>
      </c>
      <c r="BB7" t="s">
        <v>128</v>
      </c>
      <c r="BF7" t="s">
        <v>128</v>
      </c>
      <c r="BI7" t="s">
        <v>127</v>
      </c>
      <c r="BL7" t="s">
        <v>126</v>
      </c>
      <c r="BS7" t="s">
        <v>129</v>
      </c>
      <c r="BW7" t="s">
        <v>129</v>
      </c>
      <c r="BZ7" t="s">
        <v>128</v>
      </c>
      <c r="CD7" t="s">
        <v>128</v>
      </c>
      <c r="CH7" t="s">
        <v>128</v>
      </c>
      <c r="CM7" t="s">
        <v>129</v>
      </c>
      <c r="CO7" t="s">
        <v>127</v>
      </c>
      <c r="CS7" t="s">
        <v>127</v>
      </c>
      <c r="CX7" t="s">
        <v>128</v>
      </c>
      <c r="DB7" t="s">
        <v>128</v>
      </c>
      <c r="DE7" t="s">
        <v>127</v>
      </c>
      <c r="DH7" t="s">
        <v>126</v>
      </c>
      <c r="DM7" t="s">
        <v>127</v>
      </c>
      <c r="DR7" t="s">
        <v>128</v>
      </c>
      <c r="DV7" t="s">
        <v>128</v>
      </c>
      <c r="DZ7" t="s">
        <v>128</v>
      </c>
      <c r="EC7" t="s">
        <v>127</v>
      </c>
      <c r="EI7" t="s">
        <v>129</v>
      </c>
      <c r="EM7" t="s">
        <v>129</v>
      </c>
      <c r="EP7" t="s">
        <v>128</v>
      </c>
      <c r="ET7" t="s">
        <v>128</v>
      </c>
      <c r="EX7" t="s">
        <v>128</v>
      </c>
      <c r="FB7" t="s">
        <v>128</v>
      </c>
      <c r="FF7" t="s">
        <v>128</v>
      </c>
      <c r="FH7" t="s">
        <v>126</v>
      </c>
      <c r="FM7" t="s">
        <v>127</v>
      </c>
      <c r="FQ7" t="s">
        <v>95</v>
      </c>
      <c r="FS7" t="s">
        <v>95</v>
      </c>
      <c r="FU7" t="s">
        <v>95</v>
      </c>
      <c r="FW7" t="s">
        <v>95</v>
      </c>
      <c r="FY7" t="s">
        <v>95</v>
      </c>
      <c r="GA7" t="s">
        <v>95</v>
      </c>
      <c r="GC7" t="s">
        <v>95</v>
      </c>
      <c r="GD7" t="s">
        <v>94</v>
      </c>
      <c r="GG7" t="s">
        <v>95</v>
      </c>
      <c r="GH7" t="s">
        <v>94</v>
      </c>
      <c r="GJ7" t="s">
        <v>94</v>
      </c>
      <c r="GL7" t="s">
        <v>94</v>
      </c>
      <c r="GN7" t="s">
        <v>94</v>
      </c>
      <c r="GQ7" t="s">
        <v>95</v>
      </c>
      <c r="GS7" t="s">
        <v>95</v>
      </c>
      <c r="GU7" t="s">
        <v>95</v>
      </c>
      <c r="GW7" t="s">
        <v>95</v>
      </c>
      <c r="GX7" t="s">
        <v>270</v>
      </c>
      <c r="HA7" t="s">
        <v>243</v>
      </c>
      <c r="HE7" t="s">
        <v>243</v>
      </c>
      <c r="HH7" t="s">
        <v>244</v>
      </c>
      <c r="HM7" t="s">
        <v>243</v>
      </c>
      <c r="HP7" t="s">
        <v>244</v>
      </c>
      <c r="HT7" t="s">
        <v>244</v>
      </c>
      <c r="HX7" t="s">
        <v>244</v>
      </c>
      <c r="IC7" t="s">
        <v>243</v>
      </c>
      <c r="IH7" t="s">
        <v>241</v>
      </c>
      <c r="IJ7" t="s">
        <v>244</v>
      </c>
      <c r="IP7" t="s">
        <v>241</v>
      </c>
      <c r="IQ7" t="s">
        <v>242</v>
      </c>
      <c r="IV7" t="s">
        <v>244</v>
      </c>
      <c r="IZ7" t="s">
        <v>244</v>
      </c>
      <c r="JD7" t="s">
        <v>244</v>
      </c>
      <c r="JI7" t="s">
        <v>245</v>
      </c>
      <c r="JN7" t="s">
        <v>253</v>
      </c>
      <c r="JP7" t="s">
        <v>244</v>
      </c>
      <c r="JU7" t="s">
        <v>243</v>
      </c>
      <c r="JY7" t="s">
        <v>243</v>
      </c>
      <c r="KC7" t="s">
        <v>243</v>
      </c>
      <c r="KE7" t="s">
        <v>242</v>
      </c>
      <c r="KJ7" t="s">
        <v>244</v>
      </c>
      <c r="KM7" t="s">
        <v>242</v>
      </c>
      <c r="KQ7" t="s">
        <v>242</v>
      </c>
      <c r="KW7" t="s">
        <v>232</v>
      </c>
      <c r="LA7" t="s">
        <v>232</v>
      </c>
      <c r="LD7" t="s">
        <v>231</v>
      </c>
      <c r="LI7" t="s">
        <v>232</v>
      </c>
      <c r="LN7" t="s">
        <v>233</v>
      </c>
      <c r="LP7" t="s">
        <v>231</v>
      </c>
      <c r="LU7" t="s">
        <v>232</v>
      </c>
      <c r="LW7" t="s">
        <v>230</v>
      </c>
      <c r="MB7" t="s">
        <v>231</v>
      </c>
      <c r="MH7" t="s">
        <v>233</v>
      </c>
      <c r="MJ7" t="s">
        <v>231</v>
      </c>
      <c r="MO7" t="s">
        <v>232</v>
      </c>
      <c r="MS7" t="s">
        <v>232</v>
      </c>
      <c r="MW7" t="s">
        <v>232</v>
      </c>
      <c r="MY7" t="s">
        <v>230</v>
      </c>
      <c r="NE7" t="s">
        <v>232</v>
      </c>
      <c r="NH7" t="s">
        <v>231</v>
      </c>
      <c r="NM7" t="s">
        <v>232</v>
      </c>
      <c r="NQ7" t="s">
        <v>232</v>
      </c>
      <c r="NU7" t="s">
        <v>232</v>
      </c>
      <c r="NY7" t="s">
        <v>232</v>
      </c>
      <c r="OB7" t="s">
        <v>231</v>
      </c>
      <c r="OF7" t="s">
        <v>231</v>
      </c>
      <c r="OI7" t="s">
        <v>230</v>
      </c>
    </row>
    <row r="8" spans="1:403">
      <c r="A8" t="s">
        <v>271</v>
      </c>
      <c r="B8" t="s">
        <v>94</v>
      </c>
      <c r="D8" t="s">
        <v>94</v>
      </c>
      <c r="F8" t="s">
        <v>94</v>
      </c>
      <c r="I8" t="s">
        <v>97</v>
      </c>
      <c r="O8" t="s">
        <v>103</v>
      </c>
      <c r="R8" t="s">
        <v>106</v>
      </c>
      <c r="T8" t="s">
        <v>272</v>
      </c>
      <c r="U8" t="s">
        <v>249</v>
      </c>
      <c r="V8" t="s">
        <v>268</v>
      </c>
      <c r="W8" t="s">
        <v>108</v>
      </c>
      <c r="AD8" t="s">
        <v>94</v>
      </c>
      <c r="AF8" t="s">
        <v>273</v>
      </c>
      <c r="AH8" t="s">
        <v>95</v>
      </c>
      <c r="AI8" t="s">
        <v>258</v>
      </c>
      <c r="AN8" t="s">
        <v>119</v>
      </c>
      <c r="AS8" t="s">
        <v>124</v>
      </c>
      <c r="AU8" t="s">
        <v>274</v>
      </c>
      <c r="AX8" t="s">
        <v>128</v>
      </c>
      <c r="BC8" t="s">
        <v>129</v>
      </c>
      <c r="BG8" t="s">
        <v>129</v>
      </c>
      <c r="BK8" t="s">
        <v>129</v>
      </c>
      <c r="BN8" t="s">
        <v>128</v>
      </c>
      <c r="BR8" t="s">
        <v>128</v>
      </c>
      <c r="BV8" t="s">
        <v>128</v>
      </c>
      <c r="BZ8" t="s">
        <v>128</v>
      </c>
      <c r="CD8" t="s">
        <v>128</v>
      </c>
      <c r="CH8" t="s">
        <v>128</v>
      </c>
      <c r="CL8" t="s">
        <v>128</v>
      </c>
      <c r="CQ8" t="s">
        <v>129</v>
      </c>
      <c r="CU8" t="s">
        <v>129</v>
      </c>
      <c r="CX8" t="s">
        <v>128</v>
      </c>
      <c r="DC8" t="s">
        <v>129</v>
      </c>
      <c r="DF8" t="s">
        <v>128</v>
      </c>
      <c r="DJ8" t="s">
        <v>128</v>
      </c>
      <c r="DN8" t="s">
        <v>128</v>
      </c>
      <c r="DQ8" t="s">
        <v>127</v>
      </c>
      <c r="DV8" t="s">
        <v>128</v>
      </c>
      <c r="EA8" t="s">
        <v>129</v>
      </c>
      <c r="ED8" t="s">
        <v>128</v>
      </c>
      <c r="EI8" t="s">
        <v>129</v>
      </c>
      <c r="EM8" t="s">
        <v>129</v>
      </c>
      <c r="EQ8" t="s">
        <v>129</v>
      </c>
      <c r="ES8" t="s">
        <v>127</v>
      </c>
      <c r="EX8" t="s">
        <v>128</v>
      </c>
      <c r="FC8" t="s">
        <v>129</v>
      </c>
      <c r="FG8" t="s">
        <v>129</v>
      </c>
      <c r="FI8" t="s">
        <v>127</v>
      </c>
      <c r="FN8" t="s">
        <v>128</v>
      </c>
      <c r="FQ8" t="s">
        <v>95</v>
      </c>
      <c r="FS8" t="s">
        <v>95</v>
      </c>
      <c r="FU8" t="s">
        <v>95</v>
      </c>
      <c r="FW8" t="s">
        <v>95</v>
      </c>
      <c r="FY8" t="s">
        <v>95</v>
      </c>
      <c r="GA8" t="s">
        <v>95</v>
      </c>
      <c r="GC8" t="s">
        <v>95</v>
      </c>
      <c r="GE8" t="s">
        <v>95</v>
      </c>
      <c r="GG8" t="s">
        <v>95</v>
      </c>
      <c r="GI8" t="s">
        <v>95</v>
      </c>
      <c r="GK8" t="s">
        <v>95</v>
      </c>
      <c r="GM8" t="s">
        <v>95</v>
      </c>
      <c r="GO8" t="s">
        <v>95</v>
      </c>
      <c r="GQ8" t="s">
        <v>95</v>
      </c>
      <c r="GS8" t="s">
        <v>95</v>
      </c>
      <c r="GU8" t="s">
        <v>95</v>
      </c>
      <c r="GW8" t="s">
        <v>95</v>
      </c>
      <c r="GX8" t="s">
        <v>275</v>
      </c>
      <c r="GY8" t="s">
        <v>242</v>
      </c>
      <c r="HC8" t="s">
        <v>242</v>
      </c>
      <c r="HG8" t="s">
        <v>242</v>
      </c>
      <c r="HL8" t="s">
        <v>244</v>
      </c>
      <c r="HO8" t="s">
        <v>242</v>
      </c>
      <c r="HS8" t="s">
        <v>242</v>
      </c>
      <c r="HW8" t="s">
        <v>242</v>
      </c>
      <c r="IA8" t="s">
        <v>242</v>
      </c>
      <c r="IE8" t="s">
        <v>242</v>
      </c>
      <c r="II8" t="s">
        <v>242</v>
      </c>
      <c r="IM8" t="s">
        <v>242</v>
      </c>
      <c r="IQ8" t="s">
        <v>242</v>
      </c>
      <c r="IU8" t="s">
        <v>242</v>
      </c>
      <c r="IZ8" t="s">
        <v>244</v>
      </c>
      <c r="JD8" t="s">
        <v>244</v>
      </c>
      <c r="JG8" t="s">
        <v>242</v>
      </c>
      <c r="JK8" t="s">
        <v>242</v>
      </c>
      <c r="JO8" t="s">
        <v>242</v>
      </c>
      <c r="JS8" t="s">
        <v>242</v>
      </c>
      <c r="JW8" t="s">
        <v>242</v>
      </c>
      <c r="KA8" t="s">
        <v>242</v>
      </c>
      <c r="KF8" t="s">
        <v>244</v>
      </c>
      <c r="KI8" t="s">
        <v>242</v>
      </c>
      <c r="KM8" t="s">
        <v>242</v>
      </c>
      <c r="KQ8" t="s">
        <v>242</v>
      </c>
      <c r="KV8" t="s">
        <v>231</v>
      </c>
      <c r="KY8" t="s">
        <v>230</v>
      </c>
      <c r="LC8" t="s">
        <v>230</v>
      </c>
      <c r="LH8" t="s">
        <v>231</v>
      </c>
      <c r="LK8" t="s">
        <v>230</v>
      </c>
      <c r="LO8" t="s">
        <v>230</v>
      </c>
      <c r="LS8" t="s">
        <v>230</v>
      </c>
      <c r="LW8" t="s">
        <v>230</v>
      </c>
      <c r="MA8" t="s">
        <v>230</v>
      </c>
      <c r="MF8" t="s">
        <v>231</v>
      </c>
      <c r="MJ8" t="s">
        <v>231</v>
      </c>
      <c r="MN8" t="s">
        <v>231</v>
      </c>
      <c r="MQ8" t="s">
        <v>230</v>
      </c>
      <c r="MV8" t="s">
        <v>231</v>
      </c>
      <c r="MY8" t="s">
        <v>230</v>
      </c>
      <c r="ND8" t="s">
        <v>231</v>
      </c>
      <c r="NH8" t="s">
        <v>231</v>
      </c>
      <c r="NL8" t="s">
        <v>231</v>
      </c>
      <c r="NO8" t="s">
        <v>230</v>
      </c>
      <c r="NT8" t="s">
        <v>231</v>
      </c>
      <c r="NW8" t="s">
        <v>230</v>
      </c>
      <c r="OA8" t="s">
        <v>230</v>
      </c>
      <c r="OE8" t="s">
        <v>230</v>
      </c>
      <c r="OI8" t="s">
        <v>230</v>
      </c>
    </row>
    <row r="9" spans="1:403">
      <c r="A9" t="s">
        <v>276</v>
      </c>
      <c r="B9" t="s">
        <v>94</v>
      </c>
      <c r="D9" t="s">
        <v>94</v>
      </c>
      <c r="F9" t="s">
        <v>94</v>
      </c>
      <c r="H9" t="s">
        <v>96</v>
      </c>
      <c r="P9" t="s">
        <v>104</v>
      </c>
      <c r="R9" t="s">
        <v>106</v>
      </c>
      <c r="T9" t="s">
        <v>267</v>
      </c>
      <c r="U9" t="s">
        <v>277</v>
      </c>
      <c r="V9" t="s">
        <v>268</v>
      </c>
      <c r="W9" t="s">
        <v>108</v>
      </c>
      <c r="AD9" t="s">
        <v>94</v>
      </c>
      <c r="AF9">
        <v>1</v>
      </c>
      <c r="AH9" t="s">
        <v>95</v>
      </c>
      <c r="AN9" t="s">
        <v>119</v>
      </c>
      <c r="AS9" t="s">
        <v>124</v>
      </c>
      <c r="AU9" t="s">
        <v>278</v>
      </c>
      <c r="AX9" t="s">
        <v>128</v>
      </c>
      <c r="BA9" t="s">
        <v>127</v>
      </c>
      <c r="BE9" t="s">
        <v>127</v>
      </c>
      <c r="BJ9" t="s">
        <v>128</v>
      </c>
      <c r="BN9" t="s">
        <v>128</v>
      </c>
      <c r="BR9" t="s">
        <v>128</v>
      </c>
      <c r="BU9" t="s">
        <v>127</v>
      </c>
      <c r="BY9" t="s">
        <v>127</v>
      </c>
      <c r="CC9" t="s">
        <v>127</v>
      </c>
      <c r="CH9" t="s">
        <v>128</v>
      </c>
      <c r="CL9" t="s">
        <v>128</v>
      </c>
      <c r="CP9" t="s">
        <v>128</v>
      </c>
      <c r="CT9" t="s">
        <v>128</v>
      </c>
      <c r="CX9" t="s">
        <v>128</v>
      </c>
      <c r="DB9" t="s">
        <v>128</v>
      </c>
      <c r="DD9" t="s">
        <v>126</v>
      </c>
      <c r="DJ9" t="s">
        <v>128</v>
      </c>
      <c r="DM9" t="s">
        <v>127</v>
      </c>
      <c r="DQ9" t="s">
        <v>127</v>
      </c>
      <c r="DU9" t="s">
        <v>127</v>
      </c>
      <c r="DZ9" t="s">
        <v>128</v>
      </c>
      <c r="ED9" t="s">
        <v>128</v>
      </c>
      <c r="EI9" t="s">
        <v>129</v>
      </c>
      <c r="EM9" t="s">
        <v>129</v>
      </c>
      <c r="EP9" t="s">
        <v>128</v>
      </c>
      <c r="ES9" t="s">
        <v>127</v>
      </c>
      <c r="EW9" t="s">
        <v>127</v>
      </c>
      <c r="FB9" t="s">
        <v>128</v>
      </c>
      <c r="FG9" t="s">
        <v>129</v>
      </c>
      <c r="FH9" t="s">
        <v>126</v>
      </c>
      <c r="FN9" t="s">
        <v>128</v>
      </c>
      <c r="FQ9" t="s">
        <v>95</v>
      </c>
      <c r="FS9" t="s">
        <v>95</v>
      </c>
      <c r="FU9" t="s">
        <v>95</v>
      </c>
      <c r="FW9" t="s">
        <v>95</v>
      </c>
      <c r="FY9" t="s">
        <v>95</v>
      </c>
      <c r="GA9" t="s">
        <v>95</v>
      </c>
      <c r="GC9" t="s">
        <v>95</v>
      </c>
      <c r="GE9" t="s">
        <v>95</v>
      </c>
      <c r="GG9" t="s">
        <v>95</v>
      </c>
      <c r="GI9" t="s">
        <v>95</v>
      </c>
      <c r="GK9" t="s">
        <v>95</v>
      </c>
      <c r="GM9" t="s">
        <v>95</v>
      </c>
      <c r="GO9" t="s">
        <v>95</v>
      </c>
      <c r="GQ9" t="s">
        <v>95</v>
      </c>
      <c r="GS9" t="s">
        <v>95</v>
      </c>
      <c r="GU9" t="s">
        <v>95</v>
      </c>
      <c r="GW9" t="s">
        <v>95</v>
      </c>
      <c r="GY9" t="s">
        <v>242</v>
      </c>
      <c r="HC9" t="s">
        <v>242</v>
      </c>
      <c r="HH9" t="s">
        <v>244</v>
      </c>
      <c r="HL9" t="s">
        <v>244</v>
      </c>
      <c r="HO9" t="s">
        <v>242</v>
      </c>
      <c r="HS9" t="s">
        <v>242</v>
      </c>
      <c r="HX9" t="s">
        <v>244</v>
      </c>
      <c r="IA9" t="s">
        <v>242</v>
      </c>
      <c r="IE9" t="s">
        <v>242</v>
      </c>
      <c r="II9" t="s">
        <v>242</v>
      </c>
      <c r="IM9" t="s">
        <v>242</v>
      </c>
      <c r="IQ9" t="s">
        <v>242</v>
      </c>
      <c r="IU9" t="s">
        <v>242</v>
      </c>
      <c r="IZ9" t="s">
        <v>244</v>
      </c>
      <c r="JD9" t="s">
        <v>244</v>
      </c>
      <c r="JG9" t="s">
        <v>242</v>
      </c>
      <c r="JL9" t="s">
        <v>244</v>
      </c>
      <c r="JP9" t="s">
        <v>244</v>
      </c>
      <c r="JS9" t="s">
        <v>242</v>
      </c>
      <c r="JW9" t="s">
        <v>242</v>
      </c>
      <c r="KA9" t="s">
        <v>242</v>
      </c>
      <c r="KE9" t="s">
        <v>242</v>
      </c>
      <c r="KI9" t="s">
        <v>242</v>
      </c>
      <c r="KM9" t="s">
        <v>242</v>
      </c>
      <c r="KQ9" t="s">
        <v>242</v>
      </c>
      <c r="KU9" t="s">
        <v>230</v>
      </c>
      <c r="KY9" t="s">
        <v>230</v>
      </c>
      <c r="LC9" t="s">
        <v>230</v>
      </c>
      <c r="LG9" t="s">
        <v>230</v>
      </c>
      <c r="LK9" t="s">
        <v>230</v>
      </c>
      <c r="LO9" t="s">
        <v>230</v>
      </c>
      <c r="LS9" t="s">
        <v>230</v>
      </c>
      <c r="LX9" t="s">
        <v>231</v>
      </c>
      <c r="MA9" t="s">
        <v>230</v>
      </c>
      <c r="MF9" t="s">
        <v>231</v>
      </c>
      <c r="MJ9" t="s">
        <v>231</v>
      </c>
      <c r="MM9" t="s">
        <v>230</v>
      </c>
      <c r="MQ9" t="s">
        <v>230</v>
      </c>
      <c r="MV9" t="s">
        <v>231</v>
      </c>
      <c r="MY9" t="s">
        <v>230</v>
      </c>
      <c r="NC9" t="s">
        <v>230</v>
      </c>
      <c r="NH9" t="s">
        <v>231</v>
      </c>
      <c r="NL9" t="s">
        <v>231</v>
      </c>
      <c r="NP9" t="s">
        <v>231</v>
      </c>
      <c r="NT9" t="s">
        <v>231</v>
      </c>
      <c r="NX9" t="s">
        <v>231</v>
      </c>
      <c r="OA9" t="s">
        <v>230</v>
      </c>
      <c r="OF9" t="s">
        <v>231</v>
      </c>
      <c r="OK9" t="s">
        <v>232</v>
      </c>
    </row>
    <row r="10" spans="1:403">
      <c r="A10" t="s">
        <v>279</v>
      </c>
      <c r="B10" t="s">
        <v>94</v>
      </c>
      <c r="D10" t="s">
        <v>94</v>
      </c>
      <c r="F10" t="s">
        <v>94</v>
      </c>
      <c r="I10" t="s">
        <v>97</v>
      </c>
      <c r="M10" t="s">
        <v>101</v>
      </c>
      <c r="R10" t="s">
        <v>106</v>
      </c>
      <c r="T10" t="s">
        <v>280</v>
      </c>
      <c r="U10" t="s">
        <v>281</v>
      </c>
      <c r="V10" t="s">
        <v>282</v>
      </c>
      <c r="AA10" t="s">
        <v>112</v>
      </c>
      <c r="AD10" t="s">
        <v>94</v>
      </c>
      <c r="AF10">
        <v>1</v>
      </c>
      <c r="AH10" t="s">
        <v>95</v>
      </c>
      <c r="AI10">
        <v>0</v>
      </c>
      <c r="AN10" t="s">
        <v>119</v>
      </c>
      <c r="AT10" t="s">
        <v>125</v>
      </c>
      <c r="AU10" t="s">
        <v>283</v>
      </c>
      <c r="AX10" t="s">
        <v>128</v>
      </c>
      <c r="BC10" t="s">
        <v>129</v>
      </c>
      <c r="BG10" t="s">
        <v>129</v>
      </c>
      <c r="BJ10" t="s">
        <v>128</v>
      </c>
      <c r="BN10" t="s">
        <v>128</v>
      </c>
      <c r="BR10" t="s">
        <v>128</v>
      </c>
      <c r="BW10" t="s">
        <v>129</v>
      </c>
      <c r="BZ10" t="s">
        <v>128</v>
      </c>
      <c r="CE10" t="s">
        <v>129</v>
      </c>
      <c r="CI10" t="s">
        <v>129</v>
      </c>
      <c r="CL10" t="s">
        <v>128</v>
      </c>
      <c r="CO10" t="s">
        <v>127</v>
      </c>
      <c r="CS10" t="s">
        <v>127</v>
      </c>
      <c r="CX10" t="s">
        <v>128</v>
      </c>
      <c r="DB10" t="s">
        <v>128</v>
      </c>
      <c r="DD10" t="s">
        <v>126</v>
      </c>
      <c r="DI10" t="s">
        <v>127</v>
      </c>
      <c r="DM10" t="s">
        <v>127</v>
      </c>
      <c r="DR10" t="s">
        <v>128</v>
      </c>
      <c r="DV10" t="s">
        <v>128</v>
      </c>
      <c r="EA10" t="s">
        <v>129</v>
      </c>
      <c r="EE10" t="s">
        <v>129</v>
      </c>
      <c r="EI10" t="s">
        <v>129</v>
      </c>
      <c r="EL10" t="s">
        <v>128</v>
      </c>
      <c r="EQ10" t="s">
        <v>129</v>
      </c>
      <c r="EU10" t="s">
        <v>129</v>
      </c>
      <c r="EW10" t="s">
        <v>127</v>
      </c>
      <c r="FB10" t="s">
        <v>128</v>
      </c>
      <c r="FG10" t="s">
        <v>129</v>
      </c>
      <c r="FH10" t="s">
        <v>126</v>
      </c>
      <c r="FL10" t="s">
        <v>126</v>
      </c>
      <c r="FQ10" t="s">
        <v>95</v>
      </c>
      <c r="FS10" t="s">
        <v>95</v>
      </c>
      <c r="FU10" t="s">
        <v>95</v>
      </c>
      <c r="FW10" t="s">
        <v>95</v>
      </c>
      <c r="FY10" t="s">
        <v>95</v>
      </c>
      <c r="GA10" t="s">
        <v>95</v>
      </c>
      <c r="GC10" t="s">
        <v>95</v>
      </c>
      <c r="GE10" t="s">
        <v>95</v>
      </c>
      <c r="GG10" t="s">
        <v>95</v>
      </c>
      <c r="GI10" t="s">
        <v>95</v>
      </c>
      <c r="GJ10" t="s">
        <v>94</v>
      </c>
      <c r="GM10" t="s">
        <v>95</v>
      </c>
      <c r="GO10" t="s">
        <v>95</v>
      </c>
      <c r="GQ10" t="s">
        <v>95</v>
      </c>
      <c r="GS10" t="s">
        <v>95</v>
      </c>
      <c r="GU10" t="s">
        <v>95</v>
      </c>
      <c r="GW10" t="s">
        <v>95</v>
      </c>
      <c r="GZ10" t="s">
        <v>244</v>
      </c>
      <c r="HD10" t="s">
        <v>244</v>
      </c>
      <c r="HG10" t="s">
        <v>242</v>
      </c>
      <c r="HM10" t="s">
        <v>243</v>
      </c>
      <c r="HR10" t="s">
        <v>241</v>
      </c>
      <c r="HS10" t="s">
        <v>242</v>
      </c>
      <c r="HY10" t="s">
        <v>243</v>
      </c>
      <c r="IC10" t="s">
        <v>243</v>
      </c>
      <c r="IE10" t="s">
        <v>242</v>
      </c>
      <c r="IJ10" t="s">
        <v>244</v>
      </c>
      <c r="IP10" t="s">
        <v>241</v>
      </c>
      <c r="IQ10" t="s">
        <v>242</v>
      </c>
      <c r="IV10" t="s">
        <v>244</v>
      </c>
      <c r="IZ10" t="s">
        <v>244</v>
      </c>
      <c r="JD10" t="s">
        <v>244</v>
      </c>
      <c r="JG10" t="s">
        <v>242</v>
      </c>
      <c r="JK10" t="s">
        <v>242</v>
      </c>
      <c r="JP10" t="s">
        <v>244</v>
      </c>
      <c r="JT10" t="s">
        <v>244</v>
      </c>
      <c r="JY10" t="s">
        <v>243</v>
      </c>
      <c r="KB10" t="s">
        <v>244</v>
      </c>
      <c r="KE10" t="s">
        <v>242</v>
      </c>
      <c r="KI10" t="s">
        <v>242</v>
      </c>
      <c r="KO10" t="s">
        <v>243</v>
      </c>
      <c r="KR10" t="s">
        <v>244</v>
      </c>
      <c r="KV10" t="s">
        <v>231</v>
      </c>
      <c r="KY10" t="s">
        <v>230</v>
      </c>
      <c r="LC10" t="s">
        <v>230</v>
      </c>
      <c r="LG10" t="s">
        <v>230</v>
      </c>
      <c r="LK10" t="s">
        <v>230</v>
      </c>
      <c r="LP10" t="s">
        <v>231</v>
      </c>
      <c r="LT10" t="s">
        <v>231</v>
      </c>
      <c r="LY10" t="s">
        <v>232</v>
      </c>
      <c r="MA10" t="s">
        <v>230</v>
      </c>
      <c r="ME10" t="s">
        <v>230</v>
      </c>
      <c r="MK10" t="s">
        <v>232</v>
      </c>
      <c r="MN10" t="s">
        <v>231</v>
      </c>
      <c r="MQ10" t="s">
        <v>230</v>
      </c>
      <c r="MU10" t="s">
        <v>230</v>
      </c>
      <c r="MZ10" t="s">
        <v>231</v>
      </c>
      <c r="NE10" t="s">
        <v>232</v>
      </c>
      <c r="NH10" t="s">
        <v>231</v>
      </c>
      <c r="NL10" t="s">
        <v>231</v>
      </c>
      <c r="NO10" t="s">
        <v>230</v>
      </c>
      <c r="NT10" t="s">
        <v>231</v>
      </c>
      <c r="NX10" t="s">
        <v>231</v>
      </c>
      <c r="OA10" t="s">
        <v>230</v>
      </c>
      <c r="OF10" t="s">
        <v>231</v>
      </c>
      <c r="OI10" t="s">
        <v>230</v>
      </c>
    </row>
    <row r="11" spans="1:403">
      <c r="A11" t="s">
        <v>284</v>
      </c>
      <c r="B11" t="s">
        <v>94</v>
      </c>
      <c r="D11" t="s">
        <v>94</v>
      </c>
      <c r="F11" t="s">
        <v>94</v>
      </c>
      <c r="H11" t="s">
        <v>96</v>
      </c>
      <c r="M11" t="s">
        <v>101</v>
      </c>
      <c r="R11" t="s">
        <v>106</v>
      </c>
      <c r="T11" t="s">
        <v>285</v>
      </c>
      <c r="U11" t="s">
        <v>286</v>
      </c>
      <c r="V11" t="s">
        <v>287</v>
      </c>
      <c r="W11" t="s">
        <v>108</v>
      </c>
      <c r="AE11" t="s">
        <v>95</v>
      </c>
      <c r="AF11" t="s">
        <v>258</v>
      </c>
      <c r="AH11" t="s">
        <v>95</v>
      </c>
      <c r="AI11" t="s">
        <v>258</v>
      </c>
      <c r="AO11" t="s">
        <v>120</v>
      </c>
      <c r="AS11" t="s">
        <v>124</v>
      </c>
      <c r="AU11" t="s">
        <v>288</v>
      </c>
      <c r="AX11" t="s">
        <v>128</v>
      </c>
      <c r="BB11" t="s">
        <v>128</v>
      </c>
      <c r="BE11" t="s">
        <v>127</v>
      </c>
      <c r="BJ11" t="s">
        <v>128</v>
      </c>
      <c r="BN11" t="s">
        <v>128</v>
      </c>
      <c r="BR11" t="s">
        <v>128</v>
      </c>
      <c r="BW11" t="s">
        <v>129</v>
      </c>
      <c r="BZ11" t="s">
        <v>128</v>
      </c>
      <c r="CD11" t="s">
        <v>128</v>
      </c>
      <c r="CG11" t="s">
        <v>127</v>
      </c>
      <c r="CL11" t="s">
        <v>128</v>
      </c>
      <c r="CQ11" t="s">
        <v>129</v>
      </c>
      <c r="CU11" t="s">
        <v>129</v>
      </c>
      <c r="CY11" t="s">
        <v>129</v>
      </c>
      <c r="DC11" t="s">
        <v>129</v>
      </c>
      <c r="DG11" t="s">
        <v>129</v>
      </c>
      <c r="DK11" t="s">
        <v>129</v>
      </c>
      <c r="DM11" t="s">
        <v>127</v>
      </c>
      <c r="DR11" t="s">
        <v>128</v>
      </c>
      <c r="DV11" t="s">
        <v>128</v>
      </c>
      <c r="EA11" t="s">
        <v>129</v>
      </c>
      <c r="ED11" t="s">
        <v>128</v>
      </c>
      <c r="EI11" t="s">
        <v>129</v>
      </c>
      <c r="EM11" t="s">
        <v>129</v>
      </c>
      <c r="EP11" t="s">
        <v>128</v>
      </c>
      <c r="ET11" t="s">
        <v>128</v>
      </c>
      <c r="EY11" t="s">
        <v>129</v>
      </c>
      <c r="FB11" t="s">
        <v>128</v>
      </c>
      <c r="FF11" t="s">
        <v>128</v>
      </c>
      <c r="FI11" t="s">
        <v>127</v>
      </c>
      <c r="FO11" t="s">
        <v>129</v>
      </c>
      <c r="FQ11" t="s">
        <v>95</v>
      </c>
      <c r="FS11" t="s">
        <v>95</v>
      </c>
      <c r="FU11" t="s">
        <v>95</v>
      </c>
      <c r="FW11" t="s">
        <v>95</v>
      </c>
      <c r="FY11" t="s">
        <v>95</v>
      </c>
      <c r="FZ11" t="s">
        <v>94</v>
      </c>
      <c r="GB11" t="s">
        <v>94</v>
      </c>
      <c r="GE11" t="s">
        <v>95</v>
      </c>
      <c r="GG11" t="s">
        <v>95</v>
      </c>
      <c r="GH11" t="s">
        <v>94</v>
      </c>
      <c r="GK11" t="s">
        <v>95</v>
      </c>
      <c r="GL11" t="s">
        <v>94</v>
      </c>
      <c r="GO11" t="s">
        <v>95</v>
      </c>
      <c r="GQ11" t="s">
        <v>95</v>
      </c>
      <c r="GS11" t="s">
        <v>95</v>
      </c>
      <c r="GU11" t="s">
        <v>95</v>
      </c>
      <c r="GW11" t="s">
        <v>95</v>
      </c>
      <c r="GX11" t="s">
        <v>251</v>
      </c>
      <c r="GY11" t="s">
        <v>242</v>
      </c>
      <c r="HC11" t="s">
        <v>242</v>
      </c>
      <c r="HG11" t="s">
        <v>242</v>
      </c>
      <c r="HK11" t="s">
        <v>242</v>
      </c>
      <c r="HP11" t="s">
        <v>244</v>
      </c>
      <c r="HT11" t="s">
        <v>244</v>
      </c>
      <c r="HX11" t="s">
        <v>244</v>
      </c>
      <c r="IB11" t="s">
        <v>244</v>
      </c>
      <c r="IE11" t="s">
        <v>242</v>
      </c>
      <c r="II11" t="s">
        <v>242</v>
      </c>
      <c r="IM11" t="s">
        <v>242</v>
      </c>
      <c r="IQ11" t="s">
        <v>242</v>
      </c>
      <c r="IU11" t="s">
        <v>242</v>
      </c>
      <c r="IZ11" t="s">
        <v>244</v>
      </c>
      <c r="JC11" t="s">
        <v>242</v>
      </c>
      <c r="JG11" t="s">
        <v>242</v>
      </c>
      <c r="JK11" t="s">
        <v>242</v>
      </c>
      <c r="JO11" t="s">
        <v>242</v>
      </c>
      <c r="JS11" t="s">
        <v>242</v>
      </c>
      <c r="JW11" t="s">
        <v>242</v>
      </c>
      <c r="KA11" t="s">
        <v>242</v>
      </c>
      <c r="KE11" t="s">
        <v>242</v>
      </c>
      <c r="KI11" t="s">
        <v>242</v>
      </c>
      <c r="KM11" t="s">
        <v>242</v>
      </c>
      <c r="KQ11" t="s">
        <v>242</v>
      </c>
      <c r="KU11" t="s">
        <v>230</v>
      </c>
      <c r="KZ11" t="s">
        <v>231</v>
      </c>
      <c r="LD11" t="s">
        <v>231</v>
      </c>
      <c r="LH11" t="s">
        <v>231</v>
      </c>
      <c r="LL11" t="s">
        <v>231</v>
      </c>
      <c r="LO11" t="s">
        <v>230</v>
      </c>
      <c r="LT11" t="s">
        <v>231</v>
      </c>
      <c r="LW11" t="s">
        <v>230</v>
      </c>
      <c r="MA11" t="s">
        <v>230</v>
      </c>
      <c r="MF11" t="s">
        <v>231</v>
      </c>
      <c r="MJ11" t="s">
        <v>231</v>
      </c>
      <c r="MM11" t="s">
        <v>230</v>
      </c>
      <c r="MQ11" t="s">
        <v>230</v>
      </c>
      <c r="MU11" t="s">
        <v>230</v>
      </c>
      <c r="MY11" t="s">
        <v>230</v>
      </c>
      <c r="ND11" t="s">
        <v>231</v>
      </c>
      <c r="NH11" t="s">
        <v>231</v>
      </c>
      <c r="NL11" t="s">
        <v>231</v>
      </c>
      <c r="NP11" t="s">
        <v>231</v>
      </c>
      <c r="NS11" t="s">
        <v>230</v>
      </c>
      <c r="NW11" t="s">
        <v>230</v>
      </c>
      <c r="OA11" t="s">
        <v>230</v>
      </c>
      <c r="OE11" t="s">
        <v>230</v>
      </c>
      <c r="OI11" t="s">
        <v>230</v>
      </c>
    </row>
    <row r="12" spans="1:403">
      <c r="A12" t="s">
        <v>289</v>
      </c>
      <c r="B12" t="s">
        <v>94</v>
      </c>
      <c r="D12" t="s">
        <v>94</v>
      </c>
      <c r="F12" t="s">
        <v>94</v>
      </c>
      <c r="H12" t="s">
        <v>96</v>
      </c>
      <c r="O12" t="s">
        <v>103</v>
      </c>
      <c r="R12" t="s">
        <v>106</v>
      </c>
      <c r="T12" t="s">
        <v>290</v>
      </c>
      <c r="U12" t="s">
        <v>291</v>
      </c>
      <c r="V12" t="s">
        <v>257</v>
      </c>
      <c r="Y12" t="s">
        <v>110</v>
      </c>
      <c r="AE12" t="s">
        <v>95</v>
      </c>
      <c r="AH12" t="s">
        <v>95</v>
      </c>
      <c r="AN12" t="s">
        <v>119</v>
      </c>
      <c r="AS12" t="s">
        <v>124</v>
      </c>
      <c r="AU12" t="s">
        <v>292</v>
      </c>
      <c r="AW12" t="s">
        <v>127</v>
      </c>
      <c r="BB12" t="s">
        <v>128</v>
      </c>
      <c r="BE12" t="s">
        <v>127</v>
      </c>
      <c r="BJ12" t="s">
        <v>128</v>
      </c>
      <c r="BO12" t="s">
        <v>129</v>
      </c>
      <c r="BP12" t="s">
        <v>126</v>
      </c>
      <c r="BU12" t="s">
        <v>127</v>
      </c>
      <c r="BY12" t="s">
        <v>127</v>
      </c>
      <c r="CD12" t="s">
        <v>128</v>
      </c>
      <c r="CH12" t="s">
        <v>128</v>
      </c>
      <c r="CK12" t="s">
        <v>127</v>
      </c>
      <c r="CN12" t="s">
        <v>126</v>
      </c>
      <c r="CR12" t="s">
        <v>126</v>
      </c>
      <c r="DE12" t="s">
        <v>127</v>
      </c>
      <c r="DI12" t="s">
        <v>127</v>
      </c>
      <c r="DM12" t="s">
        <v>127</v>
      </c>
      <c r="DQ12" t="s">
        <v>127</v>
      </c>
      <c r="DU12" t="s">
        <v>127</v>
      </c>
      <c r="EA12" t="s">
        <v>129</v>
      </c>
      <c r="EI12" t="s">
        <v>129</v>
      </c>
      <c r="EM12" t="s">
        <v>129</v>
      </c>
      <c r="EP12" t="s">
        <v>128</v>
      </c>
      <c r="ER12" t="s">
        <v>126</v>
      </c>
      <c r="EX12" t="s">
        <v>128</v>
      </c>
      <c r="FA12" t="s">
        <v>127</v>
      </c>
      <c r="FE12" t="s">
        <v>127</v>
      </c>
      <c r="FK12" t="s">
        <v>129</v>
      </c>
      <c r="FO12" t="s">
        <v>129</v>
      </c>
      <c r="FQ12" t="s">
        <v>95</v>
      </c>
      <c r="FS12" t="s">
        <v>95</v>
      </c>
      <c r="FT12" t="s">
        <v>94</v>
      </c>
      <c r="FV12" t="s">
        <v>94</v>
      </c>
      <c r="FY12" t="s">
        <v>95</v>
      </c>
      <c r="GA12" t="s">
        <v>95</v>
      </c>
      <c r="GC12" t="s">
        <v>95</v>
      </c>
      <c r="GE12" t="s">
        <v>95</v>
      </c>
      <c r="GG12" t="s">
        <v>95</v>
      </c>
      <c r="GH12" t="s">
        <v>94</v>
      </c>
      <c r="GJ12" t="s">
        <v>94</v>
      </c>
      <c r="GL12" t="s">
        <v>94</v>
      </c>
      <c r="GO12" t="s">
        <v>95</v>
      </c>
      <c r="GQ12" t="s">
        <v>95</v>
      </c>
      <c r="GS12" t="s">
        <v>95</v>
      </c>
      <c r="GU12" t="s">
        <v>95</v>
      </c>
      <c r="GW12" t="s">
        <v>95</v>
      </c>
      <c r="GY12" t="s">
        <v>242</v>
      </c>
      <c r="HD12" t="s">
        <v>244</v>
      </c>
      <c r="HG12" t="s">
        <v>242</v>
      </c>
      <c r="HK12" t="s">
        <v>242</v>
      </c>
      <c r="HO12" t="s">
        <v>242</v>
      </c>
      <c r="HT12" t="s">
        <v>244</v>
      </c>
      <c r="HX12" t="s">
        <v>244</v>
      </c>
      <c r="IB12" t="s">
        <v>244</v>
      </c>
      <c r="IG12" t="s">
        <v>243</v>
      </c>
      <c r="IJ12" t="s">
        <v>244</v>
      </c>
      <c r="IO12" t="s">
        <v>243</v>
      </c>
      <c r="IQ12" t="s">
        <v>242</v>
      </c>
      <c r="IW12" t="s">
        <v>245</v>
      </c>
      <c r="JA12" t="s">
        <v>245</v>
      </c>
      <c r="JD12" t="s">
        <v>244</v>
      </c>
      <c r="JH12" t="s">
        <v>244</v>
      </c>
      <c r="JL12" t="s">
        <v>244</v>
      </c>
      <c r="JO12" t="s">
        <v>242</v>
      </c>
      <c r="JT12" t="s">
        <v>244</v>
      </c>
      <c r="JY12" t="s">
        <v>243</v>
      </c>
      <c r="KB12" t="s">
        <v>244</v>
      </c>
      <c r="KE12" t="s">
        <v>242</v>
      </c>
      <c r="KJ12" t="s">
        <v>244</v>
      </c>
      <c r="KM12" t="s">
        <v>242</v>
      </c>
      <c r="KQ12" t="s">
        <v>242</v>
      </c>
      <c r="KU12" t="s">
        <v>230</v>
      </c>
      <c r="KZ12" t="s">
        <v>231</v>
      </c>
      <c r="LC12" t="s">
        <v>230</v>
      </c>
      <c r="LH12" t="s">
        <v>231</v>
      </c>
      <c r="LK12" t="s">
        <v>230</v>
      </c>
      <c r="LO12" t="s">
        <v>230</v>
      </c>
      <c r="LT12" t="s">
        <v>231</v>
      </c>
      <c r="LY12" t="s">
        <v>232</v>
      </c>
      <c r="MA12" t="s">
        <v>230</v>
      </c>
      <c r="MF12" t="s">
        <v>231</v>
      </c>
      <c r="MJ12" t="s">
        <v>231</v>
      </c>
      <c r="MM12" t="s">
        <v>230</v>
      </c>
      <c r="MQ12" t="s">
        <v>230</v>
      </c>
      <c r="MW12" t="s">
        <v>232</v>
      </c>
      <c r="MZ12" t="s">
        <v>231</v>
      </c>
      <c r="ND12" t="s">
        <v>231</v>
      </c>
      <c r="NI12" t="s">
        <v>232</v>
      </c>
      <c r="NM12" t="s">
        <v>232</v>
      </c>
      <c r="NP12" t="s">
        <v>231</v>
      </c>
      <c r="NT12" t="s">
        <v>231</v>
      </c>
      <c r="NX12" t="s">
        <v>231</v>
      </c>
      <c r="OC12" t="s">
        <v>232</v>
      </c>
      <c r="OG12" t="s">
        <v>232</v>
      </c>
      <c r="OI12" t="s">
        <v>230</v>
      </c>
    </row>
    <row r="13" spans="1:403">
      <c r="A13" t="s">
        <v>293</v>
      </c>
      <c r="B13" t="s">
        <v>94</v>
      </c>
      <c r="D13" t="s">
        <v>94</v>
      </c>
      <c r="F13" t="s">
        <v>94</v>
      </c>
      <c r="I13" t="s">
        <v>97</v>
      </c>
      <c r="M13" t="s">
        <v>101</v>
      </c>
      <c r="S13" t="s">
        <v>294</v>
      </c>
      <c r="T13" t="s">
        <v>295</v>
      </c>
      <c r="U13" t="s">
        <v>296</v>
      </c>
      <c r="V13" t="s">
        <v>257</v>
      </c>
      <c r="AB13" t="s">
        <v>113</v>
      </c>
      <c r="AE13" t="s">
        <v>95</v>
      </c>
      <c r="AF13" t="s">
        <v>251</v>
      </c>
      <c r="AH13" t="s">
        <v>95</v>
      </c>
      <c r="AI13" t="s">
        <v>251</v>
      </c>
      <c r="AK13" t="s">
        <v>116</v>
      </c>
      <c r="AR13" t="s">
        <v>123</v>
      </c>
      <c r="AU13" t="s">
        <v>297</v>
      </c>
      <c r="AY13" t="s">
        <v>129</v>
      </c>
      <c r="BC13" t="s">
        <v>129</v>
      </c>
      <c r="BF13" t="s">
        <v>128</v>
      </c>
      <c r="BI13" t="s">
        <v>127</v>
      </c>
      <c r="BM13" t="s">
        <v>127</v>
      </c>
      <c r="BS13" t="s">
        <v>129</v>
      </c>
      <c r="BW13" t="s">
        <v>129</v>
      </c>
      <c r="CA13" t="s">
        <v>129</v>
      </c>
      <c r="CD13" t="s">
        <v>128</v>
      </c>
      <c r="CI13" t="s">
        <v>129</v>
      </c>
      <c r="CM13" t="s">
        <v>129</v>
      </c>
      <c r="CP13" t="s">
        <v>128</v>
      </c>
      <c r="CR13" t="s">
        <v>126</v>
      </c>
      <c r="CY13" t="s">
        <v>129</v>
      </c>
      <c r="DC13" t="s">
        <v>129</v>
      </c>
      <c r="DE13" t="s">
        <v>127</v>
      </c>
      <c r="DH13" t="s">
        <v>126</v>
      </c>
      <c r="DM13" t="s">
        <v>127</v>
      </c>
      <c r="DP13" t="s">
        <v>126</v>
      </c>
      <c r="DU13" t="s">
        <v>127</v>
      </c>
      <c r="EA13" t="s">
        <v>129</v>
      </c>
      <c r="EE13" t="s">
        <v>129</v>
      </c>
      <c r="EH13" t="s">
        <v>128</v>
      </c>
      <c r="EM13" t="s">
        <v>129</v>
      </c>
      <c r="EQ13" t="s">
        <v>129</v>
      </c>
      <c r="ET13" t="s">
        <v>128</v>
      </c>
      <c r="EW13" t="s">
        <v>127</v>
      </c>
      <c r="FC13" t="s">
        <v>129</v>
      </c>
      <c r="FF13" t="s">
        <v>128</v>
      </c>
      <c r="FI13" t="s">
        <v>127</v>
      </c>
      <c r="FL13" t="s">
        <v>126</v>
      </c>
      <c r="FQ13" t="s">
        <v>95</v>
      </c>
      <c r="FS13" t="s">
        <v>95</v>
      </c>
      <c r="FT13" t="s">
        <v>94</v>
      </c>
      <c r="FW13" t="s">
        <v>95</v>
      </c>
      <c r="FX13" t="s">
        <v>94</v>
      </c>
      <c r="GA13" t="s">
        <v>95</v>
      </c>
      <c r="GC13" t="s">
        <v>95</v>
      </c>
      <c r="GD13" t="s">
        <v>94</v>
      </c>
      <c r="GG13" t="s">
        <v>95</v>
      </c>
      <c r="GH13" t="s">
        <v>94</v>
      </c>
      <c r="GK13" t="s">
        <v>95</v>
      </c>
      <c r="GL13" t="s">
        <v>94</v>
      </c>
      <c r="GN13" t="s">
        <v>94</v>
      </c>
      <c r="GP13" t="s">
        <v>94</v>
      </c>
      <c r="GS13" t="s">
        <v>95</v>
      </c>
      <c r="GU13" t="s">
        <v>95</v>
      </c>
      <c r="GW13" t="s">
        <v>95</v>
      </c>
      <c r="HA13" t="s">
        <v>243</v>
      </c>
      <c r="HC13" t="s">
        <v>242</v>
      </c>
      <c r="HJ13" t="s">
        <v>241</v>
      </c>
      <c r="HL13" t="s">
        <v>244</v>
      </c>
      <c r="HO13" t="s">
        <v>242</v>
      </c>
      <c r="HV13" t="s">
        <v>241</v>
      </c>
      <c r="HX13" t="s">
        <v>244</v>
      </c>
      <c r="IC13" t="s">
        <v>243</v>
      </c>
      <c r="IG13" t="s">
        <v>243</v>
      </c>
      <c r="II13" t="s">
        <v>242</v>
      </c>
      <c r="IN13" t="s">
        <v>244</v>
      </c>
      <c r="IQ13" t="s">
        <v>242</v>
      </c>
      <c r="IV13" t="s">
        <v>244</v>
      </c>
      <c r="IY13" t="s">
        <v>242</v>
      </c>
      <c r="JC13" t="s">
        <v>242</v>
      </c>
      <c r="JH13" t="s">
        <v>244</v>
      </c>
      <c r="JK13" t="s">
        <v>242</v>
      </c>
      <c r="JO13" t="s">
        <v>242</v>
      </c>
      <c r="JS13" t="s">
        <v>242</v>
      </c>
      <c r="JW13" t="s">
        <v>242</v>
      </c>
      <c r="KC13" t="s">
        <v>243</v>
      </c>
      <c r="KE13" t="s">
        <v>242</v>
      </c>
      <c r="KJ13" t="s">
        <v>244</v>
      </c>
      <c r="KN13" t="s">
        <v>244</v>
      </c>
      <c r="KQ13" t="s">
        <v>242</v>
      </c>
      <c r="KU13" t="s">
        <v>230</v>
      </c>
      <c r="KZ13" t="s">
        <v>231</v>
      </c>
      <c r="LD13" t="s">
        <v>231</v>
      </c>
      <c r="LI13" t="s">
        <v>232</v>
      </c>
      <c r="LL13" t="s">
        <v>231</v>
      </c>
      <c r="LP13" t="s">
        <v>231</v>
      </c>
      <c r="LU13" t="s">
        <v>232</v>
      </c>
      <c r="LX13" t="s">
        <v>231</v>
      </c>
      <c r="MB13" t="s">
        <v>231</v>
      </c>
      <c r="MG13" t="s">
        <v>232</v>
      </c>
      <c r="MJ13" t="s">
        <v>231</v>
      </c>
      <c r="MM13" t="s">
        <v>230</v>
      </c>
      <c r="MS13" t="s">
        <v>232</v>
      </c>
      <c r="MU13" t="s">
        <v>230</v>
      </c>
      <c r="MY13" t="s">
        <v>230</v>
      </c>
      <c r="ND13" t="s">
        <v>231</v>
      </c>
      <c r="NG13" t="s">
        <v>230</v>
      </c>
      <c r="NL13" t="s">
        <v>231</v>
      </c>
      <c r="NR13" t="s">
        <v>233</v>
      </c>
      <c r="NS13" t="s">
        <v>230</v>
      </c>
      <c r="NW13" t="s">
        <v>230</v>
      </c>
      <c r="OB13" t="s">
        <v>231</v>
      </c>
      <c r="OE13" t="s">
        <v>230</v>
      </c>
      <c r="OI13" t="s">
        <v>230</v>
      </c>
    </row>
    <row r="14" spans="1:403">
      <c r="A14" t="s">
        <v>298</v>
      </c>
      <c r="B14" t="s">
        <v>94</v>
      </c>
      <c r="D14" t="s">
        <v>94</v>
      </c>
      <c r="F14" t="s">
        <v>94</v>
      </c>
      <c r="I14" t="s">
        <v>97</v>
      </c>
      <c r="L14" t="s">
        <v>100</v>
      </c>
      <c r="R14" t="s">
        <v>106</v>
      </c>
      <c r="T14" t="s">
        <v>299</v>
      </c>
      <c r="U14" t="s">
        <v>249</v>
      </c>
      <c r="V14" t="s">
        <v>300</v>
      </c>
      <c r="AB14" t="s">
        <v>113</v>
      </c>
      <c r="AE14" t="s">
        <v>95</v>
      </c>
      <c r="AF14" t="s">
        <v>258</v>
      </c>
      <c r="AH14" t="s">
        <v>95</v>
      </c>
      <c r="AI14" t="s">
        <v>258</v>
      </c>
      <c r="AL14" t="s">
        <v>117</v>
      </c>
      <c r="AS14" t="s">
        <v>124</v>
      </c>
      <c r="AU14" t="s">
        <v>301</v>
      </c>
      <c r="AY14" t="s">
        <v>129</v>
      </c>
      <c r="BB14" t="s">
        <v>128</v>
      </c>
      <c r="BF14" t="s">
        <v>128</v>
      </c>
      <c r="BI14" t="s">
        <v>127</v>
      </c>
      <c r="BO14" t="s">
        <v>129</v>
      </c>
      <c r="BS14" t="s">
        <v>129</v>
      </c>
      <c r="BW14" t="s">
        <v>129</v>
      </c>
      <c r="BY14" t="s">
        <v>127</v>
      </c>
      <c r="CC14" t="s">
        <v>127</v>
      </c>
      <c r="CH14" t="s">
        <v>128</v>
      </c>
      <c r="CM14" t="s">
        <v>129</v>
      </c>
      <c r="CQ14" t="s">
        <v>129</v>
      </c>
      <c r="CS14" t="s">
        <v>127</v>
      </c>
      <c r="CY14" t="s">
        <v>129</v>
      </c>
      <c r="DC14" t="s">
        <v>129</v>
      </c>
      <c r="DE14" t="s">
        <v>127</v>
      </c>
      <c r="DJ14" t="s">
        <v>128</v>
      </c>
      <c r="DM14" t="s">
        <v>127</v>
      </c>
      <c r="DQ14" t="s">
        <v>127</v>
      </c>
      <c r="DW14" t="s">
        <v>129</v>
      </c>
      <c r="EA14" t="s">
        <v>129</v>
      </c>
      <c r="EE14" t="s">
        <v>129</v>
      </c>
      <c r="EI14" t="s">
        <v>129</v>
      </c>
      <c r="EL14" t="s">
        <v>128</v>
      </c>
      <c r="EQ14" t="s">
        <v>129</v>
      </c>
      <c r="ET14" t="s">
        <v>128</v>
      </c>
      <c r="EW14" t="s">
        <v>127</v>
      </c>
      <c r="FB14" t="s">
        <v>128</v>
      </c>
      <c r="FF14" t="s">
        <v>128</v>
      </c>
      <c r="FH14" t="s">
        <v>126</v>
      </c>
      <c r="FM14" t="s">
        <v>127</v>
      </c>
      <c r="FP14" t="s">
        <v>94</v>
      </c>
      <c r="FS14" t="s">
        <v>95</v>
      </c>
      <c r="FU14" t="s">
        <v>95</v>
      </c>
      <c r="FW14" t="s">
        <v>95</v>
      </c>
      <c r="FY14" t="s">
        <v>95</v>
      </c>
      <c r="GA14" t="s">
        <v>95</v>
      </c>
      <c r="GC14" t="s">
        <v>95</v>
      </c>
      <c r="GE14" t="s">
        <v>95</v>
      </c>
      <c r="GG14" t="s">
        <v>95</v>
      </c>
      <c r="GI14" t="s">
        <v>95</v>
      </c>
      <c r="GK14" t="s">
        <v>95</v>
      </c>
      <c r="GM14" t="s">
        <v>95</v>
      </c>
      <c r="GO14" t="s">
        <v>95</v>
      </c>
      <c r="GQ14" t="s">
        <v>95</v>
      </c>
      <c r="GS14" t="s">
        <v>95</v>
      </c>
      <c r="GU14" t="s">
        <v>95</v>
      </c>
      <c r="GW14" t="s">
        <v>95</v>
      </c>
      <c r="GX14" t="s">
        <v>302</v>
      </c>
      <c r="GY14" t="s">
        <v>242</v>
      </c>
      <c r="HD14" t="s">
        <v>244</v>
      </c>
      <c r="HG14" t="s">
        <v>242</v>
      </c>
      <c r="HL14" t="s">
        <v>244</v>
      </c>
      <c r="HO14" t="s">
        <v>242</v>
      </c>
      <c r="HS14" t="s">
        <v>242</v>
      </c>
      <c r="HW14" t="s">
        <v>242</v>
      </c>
      <c r="IC14" t="s">
        <v>243</v>
      </c>
      <c r="IF14" t="s">
        <v>244</v>
      </c>
      <c r="II14" t="s">
        <v>242</v>
      </c>
      <c r="IM14" t="s">
        <v>242</v>
      </c>
      <c r="IQ14" t="s">
        <v>242</v>
      </c>
      <c r="IU14" t="s">
        <v>242</v>
      </c>
      <c r="IY14" t="s">
        <v>242</v>
      </c>
      <c r="JC14" t="s">
        <v>242</v>
      </c>
      <c r="JG14" t="s">
        <v>242</v>
      </c>
      <c r="JK14" t="s">
        <v>242</v>
      </c>
      <c r="JO14" t="s">
        <v>242</v>
      </c>
      <c r="JT14" t="s">
        <v>244</v>
      </c>
      <c r="JW14" t="s">
        <v>242</v>
      </c>
      <c r="KA14" t="s">
        <v>242</v>
      </c>
      <c r="KE14" t="s">
        <v>242</v>
      </c>
      <c r="KI14" t="s">
        <v>242</v>
      </c>
      <c r="KM14" t="s">
        <v>242</v>
      </c>
      <c r="KQ14" t="s">
        <v>242</v>
      </c>
      <c r="KU14" t="s">
        <v>230</v>
      </c>
      <c r="KY14" t="s">
        <v>230</v>
      </c>
      <c r="LC14" t="s">
        <v>230</v>
      </c>
      <c r="LG14" t="s">
        <v>230</v>
      </c>
      <c r="LL14" t="s">
        <v>231</v>
      </c>
      <c r="LO14" t="s">
        <v>230</v>
      </c>
      <c r="LS14" t="s">
        <v>230</v>
      </c>
      <c r="LW14" t="s">
        <v>230</v>
      </c>
      <c r="MA14" t="s">
        <v>230</v>
      </c>
      <c r="ME14" t="s">
        <v>230</v>
      </c>
      <c r="MJ14" t="s">
        <v>231</v>
      </c>
      <c r="MM14" t="s">
        <v>230</v>
      </c>
      <c r="MQ14" t="s">
        <v>230</v>
      </c>
      <c r="MU14" t="s">
        <v>230</v>
      </c>
      <c r="MY14" t="s">
        <v>230</v>
      </c>
      <c r="ND14" t="s">
        <v>231</v>
      </c>
      <c r="NG14" t="s">
        <v>230</v>
      </c>
      <c r="NL14" t="s">
        <v>231</v>
      </c>
      <c r="NP14" t="s">
        <v>231</v>
      </c>
      <c r="NS14" t="s">
        <v>230</v>
      </c>
      <c r="NX14" t="s">
        <v>231</v>
      </c>
      <c r="OA14" t="s">
        <v>230</v>
      </c>
      <c r="OG14" t="s">
        <v>232</v>
      </c>
      <c r="OI14" t="s">
        <v>230</v>
      </c>
    </row>
    <row r="15" spans="1:403">
      <c r="A15" t="s">
        <v>303</v>
      </c>
      <c r="B15" t="s">
        <v>94</v>
      </c>
      <c r="D15" t="s">
        <v>94</v>
      </c>
      <c r="F15" t="s">
        <v>94</v>
      </c>
      <c r="I15" t="s">
        <v>97</v>
      </c>
      <c r="O15" t="s">
        <v>103</v>
      </c>
      <c r="R15" t="s">
        <v>106</v>
      </c>
      <c r="T15" t="s">
        <v>304</v>
      </c>
      <c r="U15" t="s">
        <v>249</v>
      </c>
      <c r="V15" t="s">
        <v>238</v>
      </c>
      <c r="W15" t="s">
        <v>108</v>
      </c>
      <c r="AD15" t="s">
        <v>94</v>
      </c>
      <c r="AF15">
        <v>2</v>
      </c>
      <c r="AG15" t="s">
        <v>94</v>
      </c>
      <c r="AI15">
        <v>1</v>
      </c>
      <c r="AP15" t="s">
        <v>121</v>
      </c>
      <c r="AS15" t="s">
        <v>124</v>
      </c>
      <c r="AU15" t="s">
        <v>305</v>
      </c>
      <c r="AY15" t="s">
        <v>129</v>
      </c>
      <c r="BC15" t="s">
        <v>129</v>
      </c>
      <c r="BF15" t="s">
        <v>128</v>
      </c>
      <c r="BK15" t="s">
        <v>129</v>
      </c>
      <c r="BN15" t="s">
        <v>128</v>
      </c>
      <c r="BR15" t="s">
        <v>128</v>
      </c>
      <c r="BW15" t="s">
        <v>129</v>
      </c>
      <c r="BY15" t="s">
        <v>127</v>
      </c>
      <c r="CD15" t="s">
        <v>128</v>
      </c>
      <c r="CH15" t="s">
        <v>128</v>
      </c>
      <c r="CL15" t="s">
        <v>128</v>
      </c>
      <c r="CO15" t="s">
        <v>127</v>
      </c>
      <c r="CS15" t="s">
        <v>127</v>
      </c>
      <c r="CW15" t="s">
        <v>127</v>
      </c>
      <c r="DB15" t="s">
        <v>128</v>
      </c>
      <c r="DG15" t="s">
        <v>129</v>
      </c>
      <c r="DI15" t="s">
        <v>127</v>
      </c>
      <c r="DM15" t="s">
        <v>127</v>
      </c>
      <c r="DQ15" t="s">
        <v>127</v>
      </c>
      <c r="DU15" t="s">
        <v>127</v>
      </c>
      <c r="EA15" t="s">
        <v>129</v>
      </c>
      <c r="EE15" t="s">
        <v>129</v>
      </c>
      <c r="EH15" t="s">
        <v>128</v>
      </c>
      <c r="EK15" t="s">
        <v>127</v>
      </c>
      <c r="EP15" t="s">
        <v>128</v>
      </c>
      <c r="ET15" t="s">
        <v>128</v>
      </c>
      <c r="EW15" t="s">
        <v>127</v>
      </c>
      <c r="FC15" t="s">
        <v>129</v>
      </c>
      <c r="FE15" t="s">
        <v>127</v>
      </c>
      <c r="FH15" t="s">
        <v>126</v>
      </c>
      <c r="FN15" t="s">
        <v>128</v>
      </c>
      <c r="FP15" t="s">
        <v>94</v>
      </c>
      <c r="FS15" t="s">
        <v>95</v>
      </c>
      <c r="FU15" t="s">
        <v>95</v>
      </c>
      <c r="FW15" t="s">
        <v>95</v>
      </c>
      <c r="FY15" t="s">
        <v>95</v>
      </c>
      <c r="GA15" t="s">
        <v>95</v>
      </c>
      <c r="GC15" t="s">
        <v>95</v>
      </c>
      <c r="GE15" t="s">
        <v>95</v>
      </c>
      <c r="GG15" t="s">
        <v>95</v>
      </c>
      <c r="GH15" t="s">
        <v>94</v>
      </c>
      <c r="GK15" t="s">
        <v>95</v>
      </c>
      <c r="GM15" t="s">
        <v>95</v>
      </c>
      <c r="GO15" t="s">
        <v>95</v>
      </c>
      <c r="GQ15" t="s">
        <v>95</v>
      </c>
      <c r="GS15" t="s">
        <v>95</v>
      </c>
      <c r="GU15" t="s">
        <v>95</v>
      </c>
      <c r="GW15" t="s">
        <v>95</v>
      </c>
      <c r="GY15" t="s">
        <v>242</v>
      </c>
      <c r="HC15" t="s">
        <v>242</v>
      </c>
      <c r="HG15" t="s">
        <v>242</v>
      </c>
      <c r="HK15" t="s">
        <v>242</v>
      </c>
      <c r="HO15" t="s">
        <v>242</v>
      </c>
      <c r="HS15" t="s">
        <v>242</v>
      </c>
      <c r="HX15" t="s">
        <v>244</v>
      </c>
      <c r="IA15" t="s">
        <v>242</v>
      </c>
      <c r="IF15" t="s">
        <v>244</v>
      </c>
      <c r="IJ15" t="s">
        <v>244</v>
      </c>
      <c r="IM15" t="s">
        <v>242</v>
      </c>
      <c r="IQ15" t="s">
        <v>242</v>
      </c>
      <c r="IU15" t="s">
        <v>242</v>
      </c>
      <c r="IY15" t="s">
        <v>242</v>
      </c>
      <c r="JC15" t="s">
        <v>242</v>
      </c>
      <c r="JG15" t="s">
        <v>242</v>
      </c>
      <c r="JK15" t="s">
        <v>242</v>
      </c>
      <c r="JO15" t="s">
        <v>242</v>
      </c>
      <c r="JS15" t="s">
        <v>242</v>
      </c>
      <c r="JW15" t="s">
        <v>242</v>
      </c>
      <c r="KA15" t="s">
        <v>242</v>
      </c>
      <c r="KF15" t="s">
        <v>244</v>
      </c>
      <c r="KI15" t="s">
        <v>242</v>
      </c>
      <c r="KM15" t="s">
        <v>242</v>
      </c>
      <c r="KQ15" t="s">
        <v>242</v>
      </c>
      <c r="KU15" t="s">
        <v>230</v>
      </c>
      <c r="KY15" t="s">
        <v>230</v>
      </c>
      <c r="LC15" t="s">
        <v>230</v>
      </c>
      <c r="LG15" t="s">
        <v>230</v>
      </c>
      <c r="LK15" t="s">
        <v>230</v>
      </c>
      <c r="LO15" t="s">
        <v>230</v>
      </c>
      <c r="LS15" t="s">
        <v>230</v>
      </c>
      <c r="LW15" t="s">
        <v>230</v>
      </c>
      <c r="MA15" t="s">
        <v>230</v>
      </c>
      <c r="ME15" t="s">
        <v>230</v>
      </c>
      <c r="MI15" t="s">
        <v>230</v>
      </c>
      <c r="MN15" t="s">
        <v>231</v>
      </c>
      <c r="MQ15" t="s">
        <v>230</v>
      </c>
      <c r="MU15" t="s">
        <v>230</v>
      </c>
      <c r="MY15" t="s">
        <v>230</v>
      </c>
      <c r="NC15" t="s">
        <v>230</v>
      </c>
      <c r="NG15" t="s">
        <v>230</v>
      </c>
      <c r="NK15" t="s">
        <v>230</v>
      </c>
      <c r="NO15" t="s">
        <v>230</v>
      </c>
      <c r="NS15" t="s">
        <v>230</v>
      </c>
      <c r="NW15" t="s">
        <v>230</v>
      </c>
      <c r="OA15" t="s">
        <v>230</v>
      </c>
      <c r="OE15" t="s">
        <v>230</v>
      </c>
      <c r="OI15" t="s">
        <v>230</v>
      </c>
    </row>
    <row r="16" spans="1:403">
      <c r="A16" t="s">
        <v>306</v>
      </c>
      <c r="B16" t="s">
        <v>94</v>
      </c>
      <c r="D16" t="s">
        <v>94</v>
      </c>
      <c r="F16" t="s">
        <v>94</v>
      </c>
      <c r="I16" t="s">
        <v>97</v>
      </c>
      <c r="N16" t="s">
        <v>102</v>
      </c>
      <c r="R16" t="s">
        <v>106</v>
      </c>
      <c r="T16" t="s">
        <v>307</v>
      </c>
      <c r="U16" t="s">
        <v>308</v>
      </c>
      <c r="V16" t="s">
        <v>309</v>
      </c>
      <c r="AA16" t="s">
        <v>112</v>
      </c>
      <c r="AE16" t="s">
        <v>95</v>
      </c>
      <c r="AF16" t="s">
        <v>310</v>
      </c>
      <c r="AH16" t="s">
        <v>95</v>
      </c>
      <c r="AI16" t="s">
        <v>310</v>
      </c>
      <c r="AQ16" t="s">
        <v>122</v>
      </c>
      <c r="AR16" t="s">
        <v>123</v>
      </c>
      <c r="AU16" t="s">
        <v>311</v>
      </c>
      <c r="AW16" t="s">
        <v>127</v>
      </c>
      <c r="BB16" t="s">
        <v>128</v>
      </c>
      <c r="BF16" t="s">
        <v>128</v>
      </c>
      <c r="BI16" t="s">
        <v>127</v>
      </c>
      <c r="BN16" t="s">
        <v>128</v>
      </c>
      <c r="BR16" t="s">
        <v>128</v>
      </c>
      <c r="BU16" t="s">
        <v>127</v>
      </c>
      <c r="CA16" t="s">
        <v>129</v>
      </c>
      <c r="CD16" t="s">
        <v>128</v>
      </c>
      <c r="CF16" t="s">
        <v>126</v>
      </c>
      <c r="CM16" t="s">
        <v>129</v>
      </c>
      <c r="CP16" t="s">
        <v>128</v>
      </c>
      <c r="CS16" t="s">
        <v>127</v>
      </c>
      <c r="CY16" t="s">
        <v>129</v>
      </c>
      <c r="DC16" t="s">
        <v>129</v>
      </c>
      <c r="DF16" t="s">
        <v>128</v>
      </c>
      <c r="DI16" t="s">
        <v>127</v>
      </c>
      <c r="DL16" t="s">
        <v>126</v>
      </c>
      <c r="DQ16" t="s">
        <v>127</v>
      </c>
      <c r="DV16" t="s">
        <v>128</v>
      </c>
      <c r="EA16" t="s">
        <v>129</v>
      </c>
      <c r="EE16" t="s">
        <v>129</v>
      </c>
      <c r="EI16" t="s">
        <v>129</v>
      </c>
      <c r="EM16" t="s">
        <v>129</v>
      </c>
      <c r="EP16" t="s">
        <v>128</v>
      </c>
      <c r="ET16" t="s">
        <v>128</v>
      </c>
      <c r="EW16" t="s">
        <v>127</v>
      </c>
      <c r="FA16" t="s">
        <v>127</v>
      </c>
      <c r="FE16" t="s">
        <v>127</v>
      </c>
      <c r="FH16" t="s">
        <v>126</v>
      </c>
      <c r="FL16" t="s">
        <v>126</v>
      </c>
      <c r="FP16" t="s">
        <v>94</v>
      </c>
      <c r="FS16" t="s">
        <v>95</v>
      </c>
      <c r="FU16" t="s">
        <v>95</v>
      </c>
      <c r="FV16" t="s">
        <v>94</v>
      </c>
      <c r="FX16" t="s">
        <v>94</v>
      </c>
      <c r="GA16" t="s">
        <v>95</v>
      </c>
      <c r="GB16" t="s">
        <v>94</v>
      </c>
      <c r="GD16" t="s">
        <v>94</v>
      </c>
      <c r="GF16" t="s">
        <v>94</v>
      </c>
      <c r="GH16" t="s">
        <v>94</v>
      </c>
      <c r="GK16" t="s">
        <v>95</v>
      </c>
      <c r="GM16" t="s">
        <v>95</v>
      </c>
      <c r="GO16" t="s">
        <v>95</v>
      </c>
      <c r="GQ16" t="s">
        <v>95</v>
      </c>
      <c r="GS16" t="s">
        <v>95</v>
      </c>
      <c r="GT16" t="s">
        <v>94</v>
      </c>
      <c r="GW16" t="s">
        <v>95</v>
      </c>
      <c r="GX16" t="s">
        <v>312</v>
      </c>
      <c r="GZ16" t="s">
        <v>244</v>
      </c>
      <c r="HD16" t="s">
        <v>244</v>
      </c>
      <c r="HG16" t="s">
        <v>242</v>
      </c>
      <c r="HL16" t="s">
        <v>244</v>
      </c>
      <c r="HO16" t="s">
        <v>242</v>
      </c>
      <c r="HT16" t="s">
        <v>244</v>
      </c>
      <c r="HX16" t="s">
        <v>244</v>
      </c>
      <c r="ID16" t="s">
        <v>241</v>
      </c>
      <c r="IF16" t="s">
        <v>244</v>
      </c>
      <c r="IJ16" t="s">
        <v>244</v>
      </c>
      <c r="IM16" t="s">
        <v>242</v>
      </c>
      <c r="IQ16" t="s">
        <v>242</v>
      </c>
      <c r="IV16" t="s">
        <v>244</v>
      </c>
      <c r="IY16" t="s">
        <v>242</v>
      </c>
      <c r="JC16" t="s">
        <v>242</v>
      </c>
      <c r="JI16" t="s">
        <v>245</v>
      </c>
      <c r="JL16" t="s">
        <v>244</v>
      </c>
      <c r="JO16" t="s">
        <v>242</v>
      </c>
      <c r="JS16" t="s">
        <v>242</v>
      </c>
      <c r="JY16" t="s">
        <v>243</v>
      </c>
      <c r="KB16" t="s">
        <v>244</v>
      </c>
      <c r="KE16" t="s">
        <v>242</v>
      </c>
      <c r="KI16" t="s">
        <v>242</v>
      </c>
      <c r="KM16" t="s">
        <v>242</v>
      </c>
      <c r="KQ16" t="s">
        <v>242</v>
      </c>
      <c r="KV16" t="s">
        <v>231</v>
      </c>
      <c r="KZ16" t="s">
        <v>231</v>
      </c>
      <c r="LC16" t="s">
        <v>230</v>
      </c>
      <c r="LH16" t="s">
        <v>231</v>
      </c>
      <c r="LL16" t="s">
        <v>231</v>
      </c>
      <c r="LO16" t="s">
        <v>230</v>
      </c>
      <c r="LT16" t="s">
        <v>231</v>
      </c>
      <c r="LW16" t="s">
        <v>230</v>
      </c>
      <c r="MA16" t="s">
        <v>230</v>
      </c>
      <c r="MG16" t="s">
        <v>232</v>
      </c>
      <c r="ML16" t="s">
        <v>233</v>
      </c>
      <c r="MO16" t="s">
        <v>232</v>
      </c>
      <c r="MQ16" t="s">
        <v>230</v>
      </c>
      <c r="MU16" t="s">
        <v>230</v>
      </c>
      <c r="MZ16" t="s">
        <v>231</v>
      </c>
      <c r="NF16" t="s">
        <v>233</v>
      </c>
      <c r="NH16" t="s">
        <v>231</v>
      </c>
      <c r="NL16" t="s">
        <v>231</v>
      </c>
      <c r="NQ16" t="s">
        <v>232</v>
      </c>
      <c r="NS16" t="s">
        <v>230</v>
      </c>
      <c r="NW16" t="s">
        <v>230</v>
      </c>
      <c r="OB16" t="s">
        <v>231</v>
      </c>
      <c r="OG16" t="s">
        <v>232</v>
      </c>
      <c r="OK16" t="s">
        <v>232</v>
      </c>
    </row>
    <row r="17" spans="1:402">
      <c r="A17" t="s">
        <v>313</v>
      </c>
      <c r="B17" t="s">
        <v>94</v>
      </c>
      <c r="D17" t="s">
        <v>94</v>
      </c>
      <c r="F17" t="s">
        <v>94</v>
      </c>
      <c r="I17" t="s">
        <v>97</v>
      </c>
      <c r="L17" t="s">
        <v>100</v>
      </c>
      <c r="S17" t="s">
        <v>314</v>
      </c>
      <c r="T17" t="s">
        <v>315</v>
      </c>
      <c r="U17" t="s">
        <v>316</v>
      </c>
      <c r="V17" t="s">
        <v>268</v>
      </c>
      <c r="AB17" t="s">
        <v>113</v>
      </c>
      <c r="AE17" t="s">
        <v>95</v>
      </c>
      <c r="AH17" t="s">
        <v>95</v>
      </c>
      <c r="AL17" t="s">
        <v>117</v>
      </c>
      <c r="AT17" t="s">
        <v>125</v>
      </c>
      <c r="AU17" t="s">
        <v>317</v>
      </c>
      <c r="AW17" t="s">
        <v>127</v>
      </c>
      <c r="BC17" t="s">
        <v>129</v>
      </c>
      <c r="BD17" t="s">
        <v>126</v>
      </c>
      <c r="BH17" t="s">
        <v>126</v>
      </c>
      <c r="BL17" t="s">
        <v>126</v>
      </c>
      <c r="BS17" t="s">
        <v>129</v>
      </c>
      <c r="BU17" t="s">
        <v>127</v>
      </c>
      <c r="BX17" t="s">
        <v>126</v>
      </c>
      <c r="CB17" t="s">
        <v>126</v>
      </c>
      <c r="CF17" t="s">
        <v>126</v>
      </c>
      <c r="CJ17" t="s">
        <v>126</v>
      </c>
      <c r="CN17" t="s">
        <v>126</v>
      </c>
      <c r="CS17" t="s">
        <v>127</v>
      </c>
      <c r="CY17" t="s">
        <v>129</v>
      </c>
      <c r="DC17" t="s">
        <v>129</v>
      </c>
      <c r="DG17" t="s">
        <v>129</v>
      </c>
      <c r="DI17" t="s">
        <v>127</v>
      </c>
      <c r="DL17" t="s">
        <v>126</v>
      </c>
      <c r="DP17" t="s">
        <v>126</v>
      </c>
      <c r="DT17" t="s">
        <v>126</v>
      </c>
      <c r="DZ17" t="s">
        <v>128</v>
      </c>
      <c r="EC17" t="s">
        <v>127</v>
      </c>
      <c r="EI17" t="s">
        <v>129</v>
      </c>
      <c r="EM17" t="s">
        <v>129</v>
      </c>
      <c r="EQ17" t="s">
        <v>129</v>
      </c>
      <c r="ER17" t="s">
        <v>126</v>
      </c>
      <c r="EY17" t="s">
        <v>129</v>
      </c>
      <c r="EZ17" t="s">
        <v>126</v>
      </c>
      <c r="FD17" t="s">
        <v>126</v>
      </c>
      <c r="FJ17" t="s">
        <v>128</v>
      </c>
      <c r="FL17" t="s">
        <v>126</v>
      </c>
      <c r="FP17" t="s">
        <v>94</v>
      </c>
      <c r="FR17" t="s">
        <v>94</v>
      </c>
      <c r="FT17" t="s">
        <v>94</v>
      </c>
      <c r="FV17" t="s">
        <v>94</v>
      </c>
      <c r="FX17" t="s">
        <v>94</v>
      </c>
      <c r="GA17" t="s">
        <v>95</v>
      </c>
      <c r="GC17" t="s">
        <v>95</v>
      </c>
      <c r="GD17" t="s">
        <v>94</v>
      </c>
      <c r="GG17" t="s">
        <v>95</v>
      </c>
      <c r="GH17" t="s">
        <v>94</v>
      </c>
      <c r="GK17" t="s">
        <v>95</v>
      </c>
      <c r="GM17" t="s">
        <v>95</v>
      </c>
      <c r="GO17" t="s">
        <v>95</v>
      </c>
      <c r="GQ17" t="s">
        <v>95</v>
      </c>
      <c r="GS17" t="s">
        <v>95</v>
      </c>
      <c r="GU17" t="s">
        <v>95</v>
      </c>
      <c r="GV17" t="s">
        <v>94</v>
      </c>
      <c r="GX17" t="s">
        <v>318</v>
      </c>
      <c r="GZ17" t="s">
        <v>244</v>
      </c>
      <c r="HD17" t="s">
        <v>244</v>
      </c>
      <c r="HG17" t="s">
        <v>242</v>
      </c>
      <c r="HM17" t="s">
        <v>243</v>
      </c>
      <c r="HQ17" t="s">
        <v>243</v>
      </c>
      <c r="HU17" t="s">
        <v>243</v>
      </c>
      <c r="HZ17" t="s">
        <v>241</v>
      </c>
      <c r="ID17" t="s">
        <v>241</v>
      </c>
      <c r="IG17" t="s">
        <v>243</v>
      </c>
      <c r="IL17" t="s">
        <v>241</v>
      </c>
      <c r="IO17" t="s">
        <v>243</v>
      </c>
      <c r="IQ17" t="s">
        <v>242</v>
      </c>
      <c r="IV17" t="s">
        <v>244</v>
      </c>
      <c r="JB17" t="s">
        <v>253</v>
      </c>
      <c r="JC17" t="s">
        <v>242</v>
      </c>
      <c r="JG17" t="s">
        <v>242</v>
      </c>
      <c r="JL17" t="s">
        <v>244</v>
      </c>
      <c r="JR17" t="s">
        <v>253</v>
      </c>
      <c r="JU17" t="s">
        <v>243</v>
      </c>
      <c r="JY17" t="s">
        <v>243</v>
      </c>
      <c r="KD17" t="s">
        <v>241</v>
      </c>
      <c r="KH17" t="s">
        <v>241</v>
      </c>
      <c r="KL17" t="s">
        <v>241</v>
      </c>
      <c r="KM17" t="s">
        <v>242</v>
      </c>
      <c r="KQ17" t="s">
        <v>242</v>
      </c>
    </row>
    <row r="18" spans="1:402">
      <c r="A18" t="s">
        <v>319</v>
      </c>
      <c r="B18" t="s">
        <v>94</v>
      </c>
      <c r="D18" t="s">
        <v>94</v>
      </c>
      <c r="F18" t="s">
        <v>94</v>
      </c>
      <c r="J18" t="s">
        <v>98</v>
      </c>
      <c r="L18" t="s">
        <v>100</v>
      </c>
      <c r="S18" t="s">
        <v>320</v>
      </c>
      <c r="T18" t="s">
        <v>321</v>
      </c>
      <c r="U18" t="s">
        <v>322</v>
      </c>
      <c r="V18" t="s">
        <v>257</v>
      </c>
      <c r="AB18" t="s">
        <v>113</v>
      </c>
      <c r="AE18" t="s">
        <v>95</v>
      </c>
      <c r="AH18" t="s">
        <v>95</v>
      </c>
      <c r="AK18" t="s">
        <v>116</v>
      </c>
      <c r="AR18" t="s">
        <v>123</v>
      </c>
      <c r="AU18" t="s">
        <v>323</v>
      </c>
      <c r="AX18" t="s">
        <v>128</v>
      </c>
      <c r="BC18" t="s">
        <v>129</v>
      </c>
      <c r="BF18" t="s">
        <v>128</v>
      </c>
      <c r="BK18" t="s">
        <v>129</v>
      </c>
      <c r="BN18" t="s">
        <v>128</v>
      </c>
      <c r="BS18" t="s">
        <v>129</v>
      </c>
      <c r="BW18" t="s">
        <v>129</v>
      </c>
      <c r="BZ18" t="s">
        <v>128</v>
      </c>
      <c r="CC18" t="s">
        <v>127</v>
      </c>
      <c r="CH18" t="s">
        <v>128</v>
      </c>
      <c r="CM18" t="s">
        <v>129</v>
      </c>
      <c r="CO18" t="s">
        <v>127</v>
      </c>
      <c r="CT18" t="s">
        <v>128</v>
      </c>
      <c r="CY18" t="s">
        <v>129</v>
      </c>
      <c r="DC18" t="s">
        <v>129</v>
      </c>
      <c r="DG18" t="s">
        <v>129</v>
      </c>
      <c r="DI18" t="s">
        <v>127</v>
      </c>
      <c r="DM18" t="s">
        <v>127</v>
      </c>
      <c r="DQ18" t="s">
        <v>127</v>
      </c>
      <c r="DU18" t="s">
        <v>127</v>
      </c>
      <c r="EA18" t="s">
        <v>129</v>
      </c>
      <c r="EE18" t="s">
        <v>129</v>
      </c>
      <c r="EI18" t="s">
        <v>129</v>
      </c>
      <c r="EM18" t="s">
        <v>129</v>
      </c>
      <c r="EP18" t="s">
        <v>128</v>
      </c>
      <c r="ES18" t="s">
        <v>127</v>
      </c>
      <c r="EW18" t="s">
        <v>127</v>
      </c>
      <c r="FC18" t="s">
        <v>129</v>
      </c>
      <c r="FE18" t="s">
        <v>127</v>
      </c>
      <c r="FK18" t="s">
        <v>129</v>
      </c>
      <c r="FL18" t="s">
        <v>126</v>
      </c>
      <c r="FQ18" t="s">
        <v>95</v>
      </c>
      <c r="FS18" t="s">
        <v>95</v>
      </c>
      <c r="FU18" t="s">
        <v>95</v>
      </c>
      <c r="FV18" t="s">
        <v>94</v>
      </c>
      <c r="FY18" t="s">
        <v>95</v>
      </c>
      <c r="GA18" t="s">
        <v>95</v>
      </c>
      <c r="GB18" t="s">
        <v>94</v>
      </c>
      <c r="GD18" t="s">
        <v>94</v>
      </c>
      <c r="GG18" t="s">
        <v>95</v>
      </c>
      <c r="GH18" t="s">
        <v>94</v>
      </c>
      <c r="GK18" t="s">
        <v>95</v>
      </c>
      <c r="GM18" t="s">
        <v>95</v>
      </c>
      <c r="GO18" t="s">
        <v>95</v>
      </c>
      <c r="GQ18" t="s">
        <v>95</v>
      </c>
      <c r="GS18" t="s">
        <v>95</v>
      </c>
      <c r="GU18" t="s">
        <v>95</v>
      </c>
      <c r="GW18" t="s">
        <v>95</v>
      </c>
      <c r="GX18" t="s">
        <v>324</v>
      </c>
      <c r="GZ18" t="s">
        <v>244</v>
      </c>
      <c r="HD18" t="s">
        <v>244</v>
      </c>
      <c r="HG18" t="s">
        <v>242</v>
      </c>
      <c r="HL18" t="s">
        <v>244</v>
      </c>
      <c r="HO18" t="s">
        <v>242</v>
      </c>
      <c r="HT18" t="s">
        <v>244</v>
      </c>
      <c r="HX18" t="s">
        <v>244</v>
      </c>
      <c r="IA18" t="s">
        <v>242</v>
      </c>
      <c r="IF18" t="s">
        <v>244</v>
      </c>
      <c r="II18" t="s">
        <v>242</v>
      </c>
      <c r="IM18" t="s">
        <v>242</v>
      </c>
      <c r="IQ18" t="s">
        <v>242</v>
      </c>
      <c r="IV18" t="s">
        <v>244</v>
      </c>
      <c r="JA18" t="s">
        <v>245</v>
      </c>
      <c r="JC18" t="s">
        <v>242</v>
      </c>
      <c r="JG18" t="s">
        <v>242</v>
      </c>
      <c r="JM18" t="s">
        <v>245</v>
      </c>
      <c r="JQ18" t="s">
        <v>245</v>
      </c>
      <c r="JS18" t="s">
        <v>242</v>
      </c>
      <c r="JW18" t="s">
        <v>242</v>
      </c>
      <c r="KB18" t="s">
        <v>244</v>
      </c>
      <c r="KE18" t="s">
        <v>242</v>
      </c>
      <c r="KL18" t="s">
        <v>241</v>
      </c>
      <c r="KM18" t="s">
        <v>242</v>
      </c>
      <c r="KR18" t="s">
        <v>244</v>
      </c>
      <c r="KV18" t="s">
        <v>231</v>
      </c>
      <c r="KY18" t="s">
        <v>230</v>
      </c>
      <c r="LC18" t="s">
        <v>230</v>
      </c>
      <c r="LH18" t="s">
        <v>231</v>
      </c>
      <c r="LL18" t="s">
        <v>231</v>
      </c>
      <c r="LP18" t="s">
        <v>231</v>
      </c>
      <c r="LT18" t="s">
        <v>231</v>
      </c>
      <c r="LX18" t="s">
        <v>231</v>
      </c>
      <c r="MA18" t="s">
        <v>230</v>
      </c>
      <c r="MF18" t="s">
        <v>231</v>
      </c>
      <c r="MK18" t="s">
        <v>232</v>
      </c>
      <c r="MM18" t="s">
        <v>230</v>
      </c>
      <c r="MQ18" t="s">
        <v>230</v>
      </c>
      <c r="MU18" t="s">
        <v>230</v>
      </c>
      <c r="MY18" t="s">
        <v>230</v>
      </c>
      <c r="NC18" t="s">
        <v>230</v>
      </c>
      <c r="NH18" t="s">
        <v>231</v>
      </c>
      <c r="NL18" t="s">
        <v>231</v>
      </c>
      <c r="NO18" t="s">
        <v>230</v>
      </c>
      <c r="NS18" t="s">
        <v>230</v>
      </c>
      <c r="NW18" t="s">
        <v>230</v>
      </c>
      <c r="OB18" t="s">
        <v>231</v>
      </c>
      <c r="OG18" t="s">
        <v>232</v>
      </c>
      <c r="OK18" t="s">
        <v>232</v>
      </c>
    </row>
    <row r="19" spans="1:402">
      <c r="A19" t="s">
        <v>325</v>
      </c>
      <c r="B19" t="s">
        <v>94</v>
      </c>
      <c r="D19" t="s">
        <v>94</v>
      </c>
      <c r="F19" t="s">
        <v>94</v>
      </c>
      <c r="I19" t="s">
        <v>97</v>
      </c>
      <c r="O19" t="s">
        <v>103</v>
      </c>
      <c r="S19" t="s">
        <v>326</v>
      </c>
      <c r="T19" t="s">
        <v>327</v>
      </c>
      <c r="U19" t="s">
        <v>328</v>
      </c>
      <c r="V19" t="s">
        <v>329</v>
      </c>
      <c r="AA19" t="s">
        <v>112</v>
      </c>
      <c r="AE19" t="s">
        <v>95</v>
      </c>
      <c r="AG19" t="s">
        <v>94</v>
      </c>
      <c r="AI19">
        <v>1</v>
      </c>
      <c r="AN19" t="s">
        <v>119</v>
      </c>
      <c r="AS19" t="s">
        <v>124</v>
      </c>
      <c r="AU19" t="s">
        <v>330</v>
      </c>
      <c r="AW19" t="s">
        <v>127</v>
      </c>
      <c r="BA19" t="s">
        <v>127</v>
      </c>
      <c r="BG19" t="s">
        <v>129</v>
      </c>
      <c r="BJ19" t="s">
        <v>128</v>
      </c>
      <c r="BN19" t="s">
        <v>128</v>
      </c>
      <c r="BU19" t="s">
        <v>127</v>
      </c>
      <c r="BY19" t="s">
        <v>127</v>
      </c>
      <c r="CE19" t="s">
        <v>129</v>
      </c>
      <c r="CI19" t="s">
        <v>129</v>
      </c>
      <c r="CL19" t="s">
        <v>128</v>
      </c>
      <c r="CN19" t="s">
        <v>126</v>
      </c>
      <c r="CU19" t="s">
        <v>129</v>
      </c>
      <c r="CW19" t="s">
        <v>127</v>
      </c>
      <c r="DA19" t="s">
        <v>127</v>
      </c>
      <c r="DE19" t="s">
        <v>127</v>
      </c>
      <c r="DJ19" t="s">
        <v>128</v>
      </c>
      <c r="DO19" t="s">
        <v>129</v>
      </c>
      <c r="DS19" t="s">
        <v>129</v>
      </c>
      <c r="DW19" t="s">
        <v>129</v>
      </c>
      <c r="EA19" t="s">
        <v>129</v>
      </c>
      <c r="EB19" t="s">
        <v>126</v>
      </c>
      <c r="EH19" t="s">
        <v>128</v>
      </c>
      <c r="EM19" t="s">
        <v>129</v>
      </c>
      <c r="EQ19" t="s">
        <v>129</v>
      </c>
      <c r="EX19" t="s">
        <v>128</v>
      </c>
      <c r="FB19" t="s">
        <v>128</v>
      </c>
      <c r="FF19" t="s">
        <v>128</v>
      </c>
      <c r="FI19" t="s">
        <v>127</v>
      </c>
      <c r="FO19" t="s">
        <v>129</v>
      </c>
      <c r="FQ19" t="s">
        <v>95</v>
      </c>
      <c r="FS19" t="s">
        <v>95</v>
      </c>
      <c r="FU19" t="s">
        <v>95</v>
      </c>
      <c r="FW19" t="s">
        <v>95</v>
      </c>
      <c r="FY19" t="s">
        <v>95</v>
      </c>
      <c r="GA19" t="s">
        <v>95</v>
      </c>
      <c r="GC19" t="s">
        <v>95</v>
      </c>
      <c r="GE19" t="s">
        <v>95</v>
      </c>
      <c r="GG19" t="s">
        <v>95</v>
      </c>
      <c r="GI19" t="s">
        <v>95</v>
      </c>
      <c r="GJ19" t="s">
        <v>94</v>
      </c>
      <c r="GM19" t="s">
        <v>95</v>
      </c>
      <c r="GO19" t="s">
        <v>95</v>
      </c>
      <c r="GQ19" t="s">
        <v>95</v>
      </c>
      <c r="GS19" t="s">
        <v>95</v>
      </c>
      <c r="GU19" t="s">
        <v>95</v>
      </c>
      <c r="GW19" t="s">
        <v>95</v>
      </c>
      <c r="GY19" t="s">
        <v>242</v>
      </c>
      <c r="HC19" t="s">
        <v>242</v>
      </c>
      <c r="HG19" t="s">
        <v>242</v>
      </c>
      <c r="HL19" t="s">
        <v>244</v>
      </c>
      <c r="HP19" t="s">
        <v>244</v>
      </c>
      <c r="HS19" t="s">
        <v>242</v>
      </c>
      <c r="HW19" t="s">
        <v>242</v>
      </c>
      <c r="IB19" t="s">
        <v>244</v>
      </c>
      <c r="IF19" t="s">
        <v>244</v>
      </c>
      <c r="IJ19" t="s">
        <v>244</v>
      </c>
      <c r="IM19" t="s">
        <v>242</v>
      </c>
      <c r="IQ19" t="s">
        <v>242</v>
      </c>
      <c r="IV19" t="s">
        <v>244</v>
      </c>
      <c r="IZ19" t="s">
        <v>244</v>
      </c>
      <c r="JC19" t="s">
        <v>242</v>
      </c>
      <c r="JG19" t="s">
        <v>242</v>
      </c>
      <c r="JL19" t="s">
        <v>244</v>
      </c>
      <c r="JO19" t="s">
        <v>242</v>
      </c>
      <c r="JT19" t="s">
        <v>244</v>
      </c>
      <c r="JW19" t="s">
        <v>242</v>
      </c>
      <c r="KB19" t="s">
        <v>244</v>
      </c>
      <c r="KE19" t="s">
        <v>242</v>
      </c>
      <c r="KI19" t="s">
        <v>242</v>
      </c>
      <c r="KM19" t="s">
        <v>242</v>
      </c>
      <c r="KQ19" t="s">
        <v>242</v>
      </c>
      <c r="KV19" t="s">
        <v>231</v>
      </c>
      <c r="KZ19" t="s">
        <v>231</v>
      </c>
      <c r="LC19" t="s">
        <v>230</v>
      </c>
      <c r="LG19" t="s">
        <v>230</v>
      </c>
      <c r="LK19" t="s">
        <v>230</v>
      </c>
      <c r="LO19" t="s">
        <v>230</v>
      </c>
      <c r="LT19" t="s">
        <v>231</v>
      </c>
      <c r="LW19" t="s">
        <v>230</v>
      </c>
      <c r="MA19" t="s">
        <v>230</v>
      </c>
      <c r="ME19" t="s">
        <v>230</v>
      </c>
      <c r="MJ19" t="s">
        <v>231</v>
      </c>
      <c r="MN19" t="s">
        <v>231</v>
      </c>
      <c r="MQ19" t="s">
        <v>230</v>
      </c>
      <c r="MV19" t="s">
        <v>231</v>
      </c>
      <c r="MY19" t="s">
        <v>230</v>
      </c>
      <c r="ND19" t="s">
        <v>231</v>
      </c>
      <c r="NG19" t="s">
        <v>230</v>
      </c>
      <c r="NK19" t="s">
        <v>230</v>
      </c>
      <c r="NP19" t="s">
        <v>231</v>
      </c>
      <c r="NU19" t="s">
        <v>232</v>
      </c>
      <c r="NW19" t="s">
        <v>230</v>
      </c>
      <c r="OA19" t="s">
        <v>230</v>
      </c>
      <c r="OE19" t="s">
        <v>230</v>
      </c>
      <c r="OI19" t="s">
        <v>230</v>
      </c>
    </row>
    <row r="20" spans="1:402">
      <c r="A20" t="s">
        <v>331</v>
      </c>
      <c r="B20" t="s">
        <v>94</v>
      </c>
      <c r="D20" t="s">
        <v>94</v>
      </c>
      <c r="F20" t="s">
        <v>94</v>
      </c>
      <c r="H20" t="s">
        <v>96</v>
      </c>
      <c r="M20" t="s">
        <v>101</v>
      </c>
      <c r="R20" t="s">
        <v>106</v>
      </c>
      <c r="T20" t="s">
        <v>332</v>
      </c>
      <c r="U20" t="s">
        <v>249</v>
      </c>
      <c r="V20" t="s">
        <v>238</v>
      </c>
      <c r="W20" t="s">
        <v>108</v>
      </c>
      <c r="AD20" t="s">
        <v>94</v>
      </c>
      <c r="AF20">
        <v>2</v>
      </c>
      <c r="AH20" t="s">
        <v>95</v>
      </c>
      <c r="AI20" t="s">
        <v>258</v>
      </c>
      <c r="AN20" t="s">
        <v>119</v>
      </c>
      <c r="AS20" t="s">
        <v>124</v>
      </c>
      <c r="AU20" t="s">
        <v>333</v>
      </c>
      <c r="AY20" t="s">
        <v>129</v>
      </c>
      <c r="BA20" t="s">
        <v>127</v>
      </c>
      <c r="BD20" t="s">
        <v>126</v>
      </c>
      <c r="BJ20" t="s">
        <v>128</v>
      </c>
      <c r="BM20" t="s">
        <v>127</v>
      </c>
      <c r="BQ20" t="s">
        <v>127</v>
      </c>
      <c r="BW20" t="s">
        <v>129</v>
      </c>
      <c r="BZ20" t="s">
        <v>128</v>
      </c>
      <c r="CD20" t="s">
        <v>128</v>
      </c>
      <c r="CH20" t="s">
        <v>128</v>
      </c>
      <c r="CK20" t="s">
        <v>127</v>
      </c>
      <c r="CN20" t="s">
        <v>126</v>
      </c>
      <c r="CU20" t="s">
        <v>129</v>
      </c>
      <c r="CV20" t="s">
        <v>126</v>
      </c>
      <c r="DA20" t="s">
        <v>127</v>
      </c>
      <c r="DD20" t="s">
        <v>126</v>
      </c>
      <c r="DH20" t="s">
        <v>126</v>
      </c>
      <c r="DL20" t="s">
        <v>126</v>
      </c>
      <c r="DQ20" t="s">
        <v>127</v>
      </c>
      <c r="DV20" t="s">
        <v>128</v>
      </c>
      <c r="DZ20" t="s">
        <v>128</v>
      </c>
      <c r="ED20" t="s">
        <v>128</v>
      </c>
      <c r="EI20" t="s">
        <v>129</v>
      </c>
      <c r="EM20" t="s">
        <v>129</v>
      </c>
      <c r="EQ20" t="s">
        <v>129</v>
      </c>
      <c r="EU20" t="s">
        <v>129</v>
      </c>
      <c r="EW20" t="s">
        <v>127</v>
      </c>
      <c r="FB20" t="s">
        <v>128</v>
      </c>
      <c r="FF20" t="s">
        <v>128</v>
      </c>
      <c r="FH20" t="s">
        <v>126</v>
      </c>
      <c r="FN20" t="s">
        <v>128</v>
      </c>
      <c r="FQ20" t="s">
        <v>95</v>
      </c>
      <c r="FR20" t="s">
        <v>94</v>
      </c>
      <c r="FU20" t="s">
        <v>95</v>
      </c>
      <c r="FW20" t="s">
        <v>95</v>
      </c>
      <c r="FY20" t="s">
        <v>95</v>
      </c>
      <c r="GA20" t="s">
        <v>95</v>
      </c>
      <c r="GC20" t="s">
        <v>95</v>
      </c>
      <c r="GE20" t="s">
        <v>95</v>
      </c>
      <c r="GG20" t="s">
        <v>95</v>
      </c>
      <c r="GH20" t="s">
        <v>94</v>
      </c>
      <c r="GJ20" t="s">
        <v>94</v>
      </c>
      <c r="GM20" t="s">
        <v>95</v>
      </c>
      <c r="GO20" t="s">
        <v>95</v>
      </c>
      <c r="GQ20" t="s">
        <v>95</v>
      </c>
      <c r="GS20" t="s">
        <v>95</v>
      </c>
      <c r="GU20" t="s">
        <v>95</v>
      </c>
      <c r="GW20" t="s">
        <v>95</v>
      </c>
      <c r="GY20" t="s">
        <v>242</v>
      </c>
      <c r="HC20" t="s">
        <v>242</v>
      </c>
      <c r="HG20" t="s">
        <v>242</v>
      </c>
      <c r="HK20" t="s">
        <v>242</v>
      </c>
      <c r="HQ20" t="s">
        <v>243</v>
      </c>
      <c r="HT20" t="s">
        <v>244</v>
      </c>
      <c r="HY20" t="s">
        <v>243</v>
      </c>
      <c r="IB20" t="s">
        <v>244</v>
      </c>
      <c r="IF20" t="s">
        <v>244</v>
      </c>
      <c r="IK20" t="s">
        <v>243</v>
      </c>
      <c r="IM20" t="s">
        <v>242</v>
      </c>
      <c r="IQ20" t="s">
        <v>242</v>
      </c>
      <c r="IX20" t="s">
        <v>253</v>
      </c>
      <c r="JB20" t="s">
        <v>253</v>
      </c>
      <c r="JD20" t="s">
        <v>244</v>
      </c>
      <c r="JG20" t="s">
        <v>242</v>
      </c>
      <c r="JL20" t="s">
        <v>244</v>
      </c>
      <c r="JP20" t="s">
        <v>244</v>
      </c>
      <c r="JS20" t="s">
        <v>242</v>
      </c>
      <c r="JW20" t="s">
        <v>242</v>
      </c>
      <c r="KB20" t="s">
        <v>244</v>
      </c>
      <c r="KE20" t="s">
        <v>242</v>
      </c>
      <c r="KI20" t="s">
        <v>242</v>
      </c>
      <c r="KM20" t="s">
        <v>242</v>
      </c>
      <c r="KQ20" t="s">
        <v>242</v>
      </c>
      <c r="KU20" t="s">
        <v>230</v>
      </c>
      <c r="KZ20" t="s">
        <v>231</v>
      </c>
      <c r="LD20" t="s">
        <v>231</v>
      </c>
      <c r="LH20" t="s">
        <v>231</v>
      </c>
      <c r="LK20" t="s">
        <v>230</v>
      </c>
      <c r="LO20" t="s">
        <v>230</v>
      </c>
      <c r="LU20" t="s">
        <v>232</v>
      </c>
      <c r="LY20" t="s">
        <v>232</v>
      </c>
      <c r="MA20" t="s">
        <v>230</v>
      </c>
      <c r="MG20" t="s">
        <v>232</v>
      </c>
      <c r="ML20" t="s">
        <v>233</v>
      </c>
      <c r="MN20" t="s">
        <v>231</v>
      </c>
      <c r="MQ20" t="s">
        <v>230</v>
      </c>
      <c r="MU20" t="s">
        <v>230</v>
      </c>
      <c r="MY20" t="s">
        <v>230</v>
      </c>
      <c r="ND20" t="s">
        <v>231</v>
      </c>
      <c r="NJ20" t="s">
        <v>233</v>
      </c>
      <c r="NM20" t="s">
        <v>232</v>
      </c>
      <c r="NO20" t="s">
        <v>230</v>
      </c>
      <c r="NT20" t="s">
        <v>231</v>
      </c>
      <c r="NX20" t="s">
        <v>231</v>
      </c>
      <c r="OC20" t="s">
        <v>232</v>
      </c>
      <c r="OH20" t="s">
        <v>233</v>
      </c>
      <c r="OK20" t="s">
        <v>232</v>
      </c>
    </row>
    <row r="21" spans="1:402">
      <c r="A21" t="s">
        <v>334</v>
      </c>
      <c r="B21" t="s">
        <v>94</v>
      </c>
      <c r="D21" t="s">
        <v>94</v>
      </c>
      <c r="F21" t="s">
        <v>94</v>
      </c>
      <c r="H21" t="s">
        <v>96</v>
      </c>
      <c r="N21" t="s">
        <v>102</v>
      </c>
      <c r="S21" t="s">
        <v>335</v>
      </c>
      <c r="T21" t="s">
        <v>336</v>
      </c>
      <c r="U21" t="s">
        <v>249</v>
      </c>
      <c r="V21" t="s">
        <v>238</v>
      </c>
      <c r="Y21" t="s">
        <v>110</v>
      </c>
      <c r="AD21" t="s">
        <v>94</v>
      </c>
      <c r="AF21">
        <v>2</v>
      </c>
      <c r="AH21" t="s">
        <v>95</v>
      </c>
      <c r="AN21" t="s">
        <v>119</v>
      </c>
      <c r="AS21" t="s">
        <v>124</v>
      </c>
      <c r="AU21" t="s">
        <v>337</v>
      </c>
      <c r="AY21" t="s">
        <v>129</v>
      </c>
      <c r="BA21" t="s">
        <v>127</v>
      </c>
      <c r="BG21" t="s">
        <v>129</v>
      </c>
      <c r="BI21" t="s">
        <v>127</v>
      </c>
      <c r="BM21" t="s">
        <v>127</v>
      </c>
      <c r="BR21" t="s">
        <v>128</v>
      </c>
      <c r="BV21" t="s">
        <v>128</v>
      </c>
      <c r="BY21" t="s">
        <v>127</v>
      </c>
      <c r="CC21" t="s">
        <v>127</v>
      </c>
      <c r="CH21" t="s">
        <v>128</v>
      </c>
      <c r="CL21" t="s">
        <v>128</v>
      </c>
      <c r="CO21" t="s">
        <v>127</v>
      </c>
      <c r="CU21" t="s">
        <v>129</v>
      </c>
      <c r="CW21" t="s">
        <v>127</v>
      </c>
      <c r="DA21" t="s">
        <v>127</v>
      </c>
      <c r="DE21" t="s">
        <v>127</v>
      </c>
      <c r="DH21" t="s">
        <v>126</v>
      </c>
      <c r="DM21" t="s">
        <v>127</v>
      </c>
      <c r="DQ21" t="s">
        <v>127</v>
      </c>
      <c r="DV21" t="s">
        <v>128</v>
      </c>
      <c r="EA21" t="s">
        <v>129</v>
      </c>
      <c r="ED21" t="s">
        <v>128</v>
      </c>
      <c r="EH21" t="s">
        <v>128</v>
      </c>
      <c r="EM21" t="s">
        <v>129</v>
      </c>
      <c r="EQ21" t="s">
        <v>129</v>
      </c>
      <c r="EU21" t="s">
        <v>129</v>
      </c>
      <c r="EW21" t="s">
        <v>127</v>
      </c>
      <c r="FC21" t="s">
        <v>129</v>
      </c>
      <c r="FF21" t="s">
        <v>128</v>
      </c>
      <c r="FH21" t="s">
        <v>126</v>
      </c>
      <c r="FN21" t="s">
        <v>128</v>
      </c>
      <c r="FQ21" t="s">
        <v>95</v>
      </c>
      <c r="FS21" t="s">
        <v>95</v>
      </c>
      <c r="FU21" t="s">
        <v>95</v>
      </c>
      <c r="FW21" t="s">
        <v>95</v>
      </c>
      <c r="FY21" t="s">
        <v>95</v>
      </c>
      <c r="GA21" t="s">
        <v>95</v>
      </c>
      <c r="GB21" t="s">
        <v>94</v>
      </c>
      <c r="GE21" t="s">
        <v>95</v>
      </c>
      <c r="GG21" t="s">
        <v>95</v>
      </c>
      <c r="GI21" t="s">
        <v>95</v>
      </c>
      <c r="GJ21" t="s">
        <v>94</v>
      </c>
      <c r="GM21" t="s">
        <v>95</v>
      </c>
      <c r="GO21" t="s">
        <v>95</v>
      </c>
      <c r="GQ21" t="s">
        <v>95</v>
      </c>
      <c r="GS21" t="s">
        <v>95</v>
      </c>
      <c r="GU21" t="s">
        <v>95</v>
      </c>
      <c r="GW21" t="s">
        <v>95</v>
      </c>
      <c r="GY21" t="s">
        <v>242</v>
      </c>
      <c r="HD21" t="s">
        <v>244</v>
      </c>
      <c r="HG21" t="s">
        <v>242</v>
      </c>
      <c r="HM21" t="s">
        <v>243</v>
      </c>
      <c r="HQ21" t="s">
        <v>243</v>
      </c>
      <c r="HS21" t="s">
        <v>242</v>
      </c>
      <c r="HY21" t="s">
        <v>243</v>
      </c>
      <c r="IB21" t="s">
        <v>244</v>
      </c>
      <c r="IF21" t="s">
        <v>244</v>
      </c>
      <c r="IJ21" t="s">
        <v>244</v>
      </c>
      <c r="IM21" t="s">
        <v>242</v>
      </c>
      <c r="IQ21" t="s">
        <v>242</v>
      </c>
      <c r="IV21" t="s">
        <v>244</v>
      </c>
      <c r="IZ21" t="s">
        <v>244</v>
      </c>
      <c r="JC21" t="s">
        <v>242</v>
      </c>
      <c r="JG21" t="s">
        <v>242</v>
      </c>
      <c r="JM21" t="s">
        <v>245</v>
      </c>
      <c r="JQ21" t="s">
        <v>245</v>
      </c>
      <c r="JS21" t="s">
        <v>242</v>
      </c>
      <c r="JW21" t="s">
        <v>242</v>
      </c>
      <c r="KC21" t="s">
        <v>243</v>
      </c>
      <c r="KE21" t="s">
        <v>242</v>
      </c>
      <c r="KI21" t="s">
        <v>242</v>
      </c>
      <c r="KM21" t="s">
        <v>242</v>
      </c>
      <c r="KQ21" t="s">
        <v>242</v>
      </c>
      <c r="KU21" t="s">
        <v>230</v>
      </c>
      <c r="KZ21" t="s">
        <v>231</v>
      </c>
      <c r="LD21" t="s">
        <v>231</v>
      </c>
      <c r="LH21" t="s">
        <v>231</v>
      </c>
      <c r="LK21" t="s">
        <v>230</v>
      </c>
      <c r="LO21" t="s">
        <v>230</v>
      </c>
      <c r="LU21" t="s">
        <v>232</v>
      </c>
      <c r="LY21" t="s">
        <v>232</v>
      </c>
      <c r="MA21" t="s">
        <v>230</v>
      </c>
      <c r="MF21" t="s">
        <v>231</v>
      </c>
      <c r="MK21" t="s">
        <v>232</v>
      </c>
      <c r="MO21" t="s">
        <v>232</v>
      </c>
      <c r="MQ21" t="s">
        <v>230</v>
      </c>
      <c r="MV21" t="s">
        <v>231</v>
      </c>
      <c r="MY21" t="s">
        <v>230</v>
      </c>
      <c r="ND21" t="s">
        <v>231</v>
      </c>
      <c r="NH21" t="s">
        <v>231</v>
      </c>
      <c r="NL21" t="s">
        <v>231</v>
      </c>
      <c r="NQ21" t="s">
        <v>232</v>
      </c>
      <c r="NT21" t="s">
        <v>231</v>
      </c>
      <c r="NY21" t="s">
        <v>232</v>
      </c>
      <c r="OB21" t="s">
        <v>231</v>
      </c>
      <c r="OF21" t="s">
        <v>231</v>
      </c>
      <c r="OK21" t="s">
        <v>232</v>
      </c>
    </row>
    <row r="22" spans="1:402">
      <c r="A22" t="s">
        <v>338</v>
      </c>
      <c r="B22" t="s">
        <v>94</v>
      </c>
      <c r="D22" t="s">
        <v>94</v>
      </c>
      <c r="F22" t="s">
        <v>94</v>
      </c>
      <c r="H22" t="s">
        <v>96</v>
      </c>
      <c r="M22" t="s">
        <v>101</v>
      </c>
      <c r="S22" t="s">
        <v>339</v>
      </c>
      <c r="T22" t="s">
        <v>340</v>
      </c>
      <c r="U22" t="s">
        <v>341</v>
      </c>
      <c r="V22" t="s">
        <v>257</v>
      </c>
      <c r="AB22" t="s">
        <v>113</v>
      </c>
      <c r="AE22" t="s">
        <v>95</v>
      </c>
      <c r="AF22" t="s">
        <v>258</v>
      </c>
      <c r="AH22" t="s">
        <v>95</v>
      </c>
      <c r="AI22" t="s">
        <v>258</v>
      </c>
      <c r="AN22" t="s">
        <v>119</v>
      </c>
      <c r="AR22" t="s">
        <v>123</v>
      </c>
      <c r="AU22" t="s">
        <v>342</v>
      </c>
      <c r="AX22" t="s">
        <v>128</v>
      </c>
      <c r="BB22" t="s">
        <v>128</v>
      </c>
      <c r="BF22" t="s">
        <v>128</v>
      </c>
      <c r="BI22" t="s">
        <v>127</v>
      </c>
      <c r="BN22" t="s">
        <v>128</v>
      </c>
      <c r="BR22" t="s">
        <v>128</v>
      </c>
      <c r="BT22" t="s">
        <v>126</v>
      </c>
      <c r="BY22" t="s">
        <v>127</v>
      </c>
      <c r="CC22" t="s">
        <v>127</v>
      </c>
      <c r="CH22" t="s">
        <v>128</v>
      </c>
      <c r="CK22" t="s">
        <v>127</v>
      </c>
      <c r="CN22" t="s">
        <v>126</v>
      </c>
      <c r="CR22" t="s">
        <v>126</v>
      </c>
      <c r="CW22" t="s">
        <v>127</v>
      </c>
      <c r="DB22" t="s">
        <v>128</v>
      </c>
      <c r="DD22" t="s">
        <v>126</v>
      </c>
      <c r="DH22" t="s">
        <v>126</v>
      </c>
      <c r="DN22" t="s">
        <v>128</v>
      </c>
      <c r="DP22" t="s">
        <v>126</v>
      </c>
      <c r="DT22" t="s">
        <v>126</v>
      </c>
      <c r="EA22" t="s">
        <v>129</v>
      </c>
      <c r="ED22" t="s">
        <v>128</v>
      </c>
      <c r="EI22" t="s">
        <v>129</v>
      </c>
      <c r="EK22" t="s">
        <v>127</v>
      </c>
      <c r="EP22" t="s">
        <v>128</v>
      </c>
      <c r="ET22" t="s">
        <v>128</v>
      </c>
      <c r="FB22" t="s">
        <v>128</v>
      </c>
      <c r="FE22" t="s">
        <v>127</v>
      </c>
      <c r="FH22" t="s">
        <v>126</v>
      </c>
      <c r="FM22" t="s">
        <v>127</v>
      </c>
      <c r="FP22" t="s">
        <v>94</v>
      </c>
      <c r="FS22" t="s">
        <v>95</v>
      </c>
      <c r="FT22" t="s">
        <v>94</v>
      </c>
      <c r="FW22" t="s">
        <v>95</v>
      </c>
      <c r="FY22" t="s">
        <v>95</v>
      </c>
      <c r="GA22" t="s">
        <v>95</v>
      </c>
      <c r="GC22" t="s">
        <v>95</v>
      </c>
      <c r="GE22" t="s">
        <v>95</v>
      </c>
      <c r="GG22" t="s">
        <v>95</v>
      </c>
      <c r="GI22" t="s">
        <v>95</v>
      </c>
      <c r="GK22" t="s">
        <v>95</v>
      </c>
      <c r="GM22" t="s">
        <v>95</v>
      </c>
      <c r="GO22" t="s">
        <v>95</v>
      </c>
      <c r="GQ22" t="s">
        <v>95</v>
      </c>
      <c r="GS22" t="s">
        <v>95</v>
      </c>
      <c r="GU22" t="s">
        <v>95</v>
      </c>
      <c r="GW22" t="s">
        <v>95</v>
      </c>
      <c r="GX22" t="s">
        <v>343</v>
      </c>
      <c r="GZ22" t="s">
        <v>244</v>
      </c>
      <c r="HC22" t="s">
        <v>242</v>
      </c>
      <c r="HG22" t="s">
        <v>242</v>
      </c>
      <c r="HN22" t="s">
        <v>241</v>
      </c>
      <c r="HO22" t="s">
        <v>242</v>
      </c>
      <c r="HU22" t="s">
        <v>243</v>
      </c>
      <c r="HZ22" t="s">
        <v>241</v>
      </c>
      <c r="ID22" t="s">
        <v>241</v>
      </c>
      <c r="IH22" t="s">
        <v>241</v>
      </c>
      <c r="IL22" t="s">
        <v>241</v>
      </c>
      <c r="IQ22" t="s">
        <v>242</v>
      </c>
      <c r="IV22" t="s">
        <v>244</v>
      </c>
      <c r="JA22" t="s">
        <v>245</v>
      </c>
      <c r="JD22" t="s">
        <v>244</v>
      </c>
      <c r="JH22" t="s">
        <v>244</v>
      </c>
      <c r="JM22" t="s">
        <v>245</v>
      </c>
      <c r="JP22" t="s">
        <v>244</v>
      </c>
      <c r="JU22" t="s">
        <v>243</v>
      </c>
      <c r="JZ22" t="s">
        <v>241</v>
      </c>
      <c r="KD22" t="s">
        <v>241</v>
      </c>
      <c r="KE22" t="s">
        <v>242</v>
      </c>
      <c r="KK22" t="s">
        <v>243</v>
      </c>
      <c r="KM22" t="s">
        <v>242</v>
      </c>
      <c r="KR22" t="s">
        <v>244</v>
      </c>
      <c r="KV22" t="s">
        <v>231</v>
      </c>
      <c r="LA22" t="s">
        <v>232</v>
      </c>
      <c r="LD22" t="s">
        <v>231</v>
      </c>
      <c r="LH22" t="s">
        <v>231</v>
      </c>
      <c r="LL22" t="s">
        <v>231</v>
      </c>
      <c r="LO22" t="s">
        <v>230</v>
      </c>
      <c r="LT22" t="s">
        <v>231</v>
      </c>
      <c r="LX22" t="s">
        <v>231</v>
      </c>
      <c r="MB22" t="s">
        <v>231</v>
      </c>
      <c r="MG22" t="s">
        <v>232</v>
      </c>
      <c r="ML22" t="s">
        <v>233</v>
      </c>
      <c r="MO22" t="s">
        <v>232</v>
      </c>
      <c r="MT22" t="s">
        <v>233</v>
      </c>
      <c r="MV22" t="s">
        <v>231</v>
      </c>
      <c r="MZ22" t="s">
        <v>231</v>
      </c>
      <c r="NF22" t="s">
        <v>233</v>
      </c>
      <c r="NI22" t="s">
        <v>232</v>
      </c>
      <c r="NN22" t="s">
        <v>233</v>
      </c>
      <c r="NR22" t="s">
        <v>233</v>
      </c>
      <c r="NU22" t="s">
        <v>232</v>
      </c>
      <c r="NZ22" t="s">
        <v>233</v>
      </c>
      <c r="OB22" t="s">
        <v>231</v>
      </c>
      <c r="OG22" t="s">
        <v>232</v>
      </c>
      <c r="OJ22" t="s">
        <v>231</v>
      </c>
    </row>
    <row r="23" spans="1:402">
      <c r="A23" t="s">
        <v>344</v>
      </c>
      <c r="B23" t="s">
        <v>94</v>
      </c>
      <c r="D23" t="s">
        <v>94</v>
      </c>
      <c r="F23" t="s">
        <v>94</v>
      </c>
      <c r="I23" t="s">
        <v>97</v>
      </c>
      <c r="M23" t="s">
        <v>101</v>
      </c>
      <c r="R23" t="s">
        <v>106</v>
      </c>
      <c r="T23" t="s">
        <v>345</v>
      </c>
      <c r="U23" t="s">
        <v>237</v>
      </c>
      <c r="V23" t="s">
        <v>238</v>
      </c>
      <c r="W23" t="s">
        <v>108</v>
      </c>
      <c r="AE23" t="s">
        <v>95</v>
      </c>
      <c r="AF23">
        <v>0</v>
      </c>
      <c r="AG23" t="s">
        <v>94</v>
      </c>
      <c r="AI23">
        <v>1</v>
      </c>
      <c r="AN23" t="s">
        <v>119</v>
      </c>
      <c r="AT23" t="s">
        <v>125</v>
      </c>
      <c r="AU23" t="s">
        <v>346</v>
      </c>
      <c r="AX23" t="s">
        <v>128</v>
      </c>
      <c r="BB23" t="s">
        <v>128</v>
      </c>
      <c r="BF23" t="s">
        <v>128</v>
      </c>
      <c r="BI23" t="s">
        <v>127</v>
      </c>
      <c r="BN23" t="s">
        <v>128</v>
      </c>
      <c r="BR23" t="s">
        <v>128</v>
      </c>
      <c r="BU23" t="s">
        <v>127</v>
      </c>
      <c r="BX23" t="s">
        <v>126</v>
      </c>
      <c r="CC23" t="s">
        <v>127</v>
      </c>
      <c r="CG23" t="s">
        <v>127</v>
      </c>
      <c r="CM23" t="s">
        <v>129</v>
      </c>
      <c r="CO23" t="s">
        <v>127</v>
      </c>
      <c r="CT23" t="s">
        <v>128</v>
      </c>
      <c r="CY23" t="s">
        <v>129</v>
      </c>
      <c r="DC23" t="s">
        <v>129</v>
      </c>
      <c r="DG23" t="s">
        <v>129</v>
      </c>
      <c r="DI23" t="s">
        <v>127</v>
      </c>
      <c r="DL23" t="s">
        <v>126</v>
      </c>
      <c r="DR23" t="s">
        <v>128</v>
      </c>
      <c r="DW23" t="s">
        <v>129</v>
      </c>
      <c r="EA23" t="s">
        <v>129</v>
      </c>
      <c r="ED23" t="s">
        <v>128</v>
      </c>
      <c r="EI23" t="s">
        <v>129</v>
      </c>
      <c r="EM23" t="s">
        <v>129</v>
      </c>
      <c r="EP23" t="s">
        <v>128</v>
      </c>
      <c r="ER23" t="s">
        <v>126</v>
      </c>
      <c r="EX23" t="s">
        <v>128</v>
      </c>
      <c r="FB23" t="s">
        <v>128</v>
      </c>
      <c r="FF23" t="s">
        <v>128</v>
      </c>
      <c r="FI23" t="s">
        <v>127</v>
      </c>
      <c r="FM23" t="s">
        <v>127</v>
      </c>
      <c r="FQ23" t="s">
        <v>95</v>
      </c>
      <c r="FS23" t="s">
        <v>95</v>
      </c>
      <c r="FU23" t="s">
        <v>95</v>
      </c>
      <c r="FW23" t="s">
        <v>95</v>
      </c>
      <c r="FY23" t="s">
        <v>95</v>
      </c>
      <c r="GA23" t="s">
        <v>95</v>
      </c>
      <c r="GC23" t="s">
        <v>95</v>
      </c>
      <c r="GE23" t="s">
        <v>95</v>
      </c>
      <c r="GG23" t="s">
        <v>95</v>
      </c>
      <c r="GI23" t="s">
        <v>95</v>
      </c>
      <c r="GK23" t="s">
        <v>95</v>
      </c>
      <c r="GM23" t="s">
        <v>95</v>
      </c>
      <c r="GO23" t="s">
        <v>95</v>
      </c>
      <c r="GQ23" t="s">
        <v>95</v>
      </c>
      <c r="GS23" t="s">
        <v>95</v>
      </c>
      <c r="GU23" t="s">
        <v>95</v>
      </c>
      <c r="GW23" t="s">
        <v>95</v>
      </c>
      <c r="GZ23" t="s">
        <v>244</v>
      </c>
      <c r="HD23" t="s">
        <v>244</v>
      </c>
      <c r="HG23" t="s">
        <v>242</v>
      </c>
      <c r="HM23" t="s">
        <v>243</v>
      </c>
      <c r="HR23" t="s">
        <v>241</v>
      </c>
      <c r="HU23" t="s">
        <v>243</v>
      </c>
      <c r="HX23" t="s">
        <v>244</v>
      </c>
      <c r="ID23" t="s">
        <v>241</v>
      </c>
      <c r="IH23" t="s">
        <v>241</v>
      </c>
      <c r="IL23" t="s">
        <v>241</v>
      </c>
      <c r="IM23" t="s">
        <v>242</v>
      </c>
      <c r="IQ23" t="s">
        <v>242</v>
      </c>
      <c r="IV23" t="s">
        <v>244</v>
      </c>
      <c r="JA23" t="s">
        <v>245</v>
      </c>
      <c r="JC23" t="s">
        <v>242</v>
      </c>
      <c r="JG23" t="s">
        <v>242</v>
      </c>
      <c r="JM23" t="s">
        <v>245</v>
      </c>
      <c r="JO23" t="s">
        <v>242</v>
      </c>
      <c r="JS23" t="s">
        <v>242</v>
      </c>
      <c r="JX23" t="s">
        <v>244</v>
      </c>
      <c r="KC23" t="s">
        <v>243</v>
      </c>
      <c r="KF23" t="s">
        <v>244</v>
      </c>
      <c r="KJ23" t="s">
        <v>244</v>
      </c>
      <c r="KM23" t="s">
        <v>242</v>
      </c>
      <c r="KQ23" t="s">
        <v>242</v>
      </c>
      <c r="KU23" t="s">
        <v>230</v>
      </c>
      <c r="KZ23" t="s">
        <v>231</v>
      </c>
      <c r="LC23" t="s">
        <v>230</v>
      </c>
      <c r="LH23" t="s">
        <v>231</v>
      </c>
      <c r="LK23" t="s">
        <v>230</v>
      </c>
      <c r="LO23" t="s">
        <v>230</v>
      </c>
      <c r="LS23" t="s">
        <v>230</v>
      </c>
      <c r="LX23" t="s">
        <v>231</v>
      </c>
      <c r="MA23" t="s">
        <v>230</v>
      </c>
      <c r="ME23" t="s">
        <v>230</v>
      </c>
      <c r="MJ23" t="s">
        <v>231</v>
      </c>
      <c r="MM23" t="s">
        <v>230</v>
      </c>
      <c r="MQ23" t="s">
        <v>230</v>
      </c>
      <c r="MW23" t="s">
        <v>232</v>
      </c>
      <c r="MZ23" t="s">
        <v>231</v>
      </c>
      <c r="NF23" t="s">
        <v>233</v>
      </c>
      <c r="NI23" t="s">
        <v>232</v>
      </c>
      <c r="NM23" t="s">
        <v>232</v>
      </c>
      <c r="NQ23" t="s">
        <v>232</v>
      </c>
      <c r="NS23" t="s">
        <v>230</v>
      </c>
      <c r="NX23" t="s">
        <v>231</v>
      </c>
      <c r="OC23" t="s">
        <v>232</v>
      </c>
      <c r="OG23" t="s">
        <v>232</v>
      </c>
      <c r="OJ23" t="s">
        <v>231</v>
      </c>
    </row>
    <row r="24" spans="1:402">
      <c r="A24" t="s">
        <v>347</v>
      </c>
      <c r="B24" t="s">
        <v>94</v>
      </c>
      <c r="D24" t="s">
        <v>94</v>
      </c>
      <c r="F24" t="s">
        <v>94</v>
      </c>
      <c r="H24" t="s">
        <v>96</v>
      </c>
      <c r="N24" t="s">
        <v>102</v>
      </c>
      <c r="R24" t="s">
        <v>106</v>
      </c>
      <c r="T24" t="s">
        <v>348</v>
      </c>
      <c r="U24" t="s">
        <v>349</v>
      </c>
      <c r="V24" t="s">
        <v>350</v>
      </c>
      <c r="W24" t="s">
        <v>108</v>
      </c>
      <c r="AD24" t="s">
        <v>94</v>
      </c>
      <c r="AF24">
        <v>1</v>
      </c>
      <c r="AG24" t="s">
        <v>94</v>
      </c>
      <c r="AI24">
        <v>1</v>
      </c>
      <c r="AN24" t="s">
        <v>119</v>
      </c>
      <c r="AS24" t="s">
        <v>124</v>
      </c>
      <c r="AU24" t="s">
        <v>351</v>
      </c>
      <c r="AY24" t="s">
        <v>129</v>
      </c>
      <c r="BC24" t="s">
        <v>129</v>
      </c>
      <c r="BG24" t="s">
        <v>129</v>
      </c>
      <c r="BJ24" t="s">
        <v>128</v>
      </c>
      <c r="BM24" t="s">
        <v>127</v>
      </c>
      <c r="BS24" t="s">
        <v>129</v>
      </c>
      <c r="BV24" t="s">
        <v>128</v>
      </c>
      <c r="BZ24" t="s">
        <v>128</v>
      </c>
      <c r="CD24" t="s">
        <v>128</v>
      </c>
      <c r="CI24" t="s">
        <v>129</v>
      </c>
      <c r="CL24" t="s">
        <v>128</v>
      </c>
      <c r="CP24" t="s">
        <v>128</v>
      </c>
      <c r="CS24" t="s">
        <v>127</v>
      </c>
      <c r="CV24" t="s">
        <v>126</v>
      </c>
      <c r="DA24" t="s">
        <v>127</v>
      </c>
      <c r="DD24" t="s">
        <v>126</v>
      </c>
      <c r="DI24" t="s">
        <v>127</v>
      </c>
      <c r="DN24" t="s">
        <v>128</v>
      </c>
      <c r="DQ24" t="s">
        <v>127</v>
      </c>
      <c r="DU24" t="s">
        <v>127</v>
      </c>
      <c r="EA24" t="s">
        <v>129</v>
      </c>
      <c r="ED24" t="s">
        <v>128</v>
      </c>
      <c r="EI24" t="s">
        <v>129</v>
      </c>
      <c r="EM24" t="s">
        <v>129</v>
      </c>
      <c r="EQ24" t="s">
        <v>129</v>
      </c>
      <c r="ES24" t="s">
        <v>127</v>
      </c>
      <c r="EW24" t="s">
        <v>127</v>
      </c>
      <c r="FC24" t="s">
        <v>129</v>
      </c>
      <c r="FG24" t="s">
        <v>129</v>
      </c>
      <c r="FJ24" t="s">
        <v>128</v>
      </c>
      <c r="FN24" t="s">
        <v>128</v>
      </c>
      <c r="FP24" t="s">
        <v>94</v>
      </c>
      <c r="FS24" t="s">
        <v>95</v>
      </c>
      <c r="FU24" t="s">
        <v>95</v>
      </c>
      <c r="FV24" t="s">
        <v>94</v>
      </c>
      <c r="FX24" t="s">
        <v>94</v>
      </c>
      <c r="GA24" t="s">
        <v>95</v>
      </c>
      <c r="GC24" t="s">
        <v>95</v>
      </c>
      <c r="GD24" t="s">
        <v>94</v>
      </c>
      <c r="GG24" t="s">
        <v>95</v>
      </c>
      <c r="GH24" t="s">
        <v>94</v>
      </c>
      <c r="GJ24" t="s">
        <v>94</v>
      </c>
      <c r="GL24" t="s">
        <v>94</v>
      </c>
      <c r="GN24" t="s">
        <v>94</v>
      </c>
      <c r="GQ24" t="s">
        <v>95</v>
      </c>
      <c r="GS24" t="s">
        <v>95</v>
      </c>
      <c r="GU24" t="s">
        <v>95</v>
      </c>
      <c r="GW24" t="s">
        <v>95</v>
      </c>
      <c r="GX24" t="s">
        <v>352</v>
      </c>
      <c r="HA24" t="s">
        <v>243</v>
      </c>
      <c r="HC24" t="s">
        <v>242</v>
      </c>
      <c r="HI24" t="s">
        <v>243</v>
      </c>
      <c r="HK24" t="s">
        <v>242</v>
      </c>
      <c r="HO24" t="s">
        <v>242</v>
      </c>
      <c r="HU24" t="s">
        <v>243</v>
      </c>
      <c r="HY24" t="s">
        <v>243</v>
      </c>
      <c r="IC24" t="s">
        <v>243</v>
      </c>
      <c r="IG24" t="s">
        <v>243</v>
      </c>
      <c r="IK24" t="s">
        <v>243</v>
      </c>
      <c r="IO24" t="s">
        <v>243</v>
      </c>
      <c r="IQ24" t="s">
        <v>242</v>
      </c>
      <c r="IU24" t="s">
        <v>242</v>
      </c>
      <c r="IY24" t="s">
        <v>242</v>
      </c>
      <c r="JD24" t="s">
        <v>244</v>
      </c>
      <c r="JI24" t="s">
        <v>245</v>
      </c>
      <c r="JL24" t="s">
        <v>244</v>
      </c>
      <c r="JO24" t="s">
        <v>242</v>
      </c>
      <c r="JS24" t="s">
        <v>242</v>
      </c>
      <c r="JY24" t="s">
        <v>243</v>
      </c>
      <c r="KA24" t="s">
        <v>242</v>
      </c>
      <c r="KE24" t="s">
        <v>242</v>
      </c>
      <c r="KJ24" t="s">
        <v>244</v>
      </c>
      <c r="KM24" t="s">
        <v>242</v>
      </c>
      <c r="KQ24" t="s">
        <v>242</v>
      </c>
      <c r="KV24" t="s">
        <v>231</v>
      </c>
      <c r="KZ24" t="s">
        <v>231</v>
      </c>
      <c r="LC24" t="s">
        <v>230</v>
      </c>
      <c r="LH24" t="s">
        <v>231</v>
      </c>
      <c r="LL24" t="s">
        <v>231</v>
      </c>
      <c r="LO24" t="s">
        <v>230</v>
      </c>
      <c r="LU24" t="s">
        <v>232</v>
      </c>
      <c r="LX24" t="s">
        <v>231</v>
      </c>
      <c r="MA24" t="s">
        <v>230</v>
      </c>
      <c r="MF24" t="s">
        <v>231</v>
      </c>
      <c r="MK24" t="s">
        <v>232</v>
      </c>
      <c r="MO24" t="s">
        <v>232</v>
      </c>
      <c r="MS24" t="s">
        <v>232</v>
      </c>
      <c r="MV24" t="s">
        <v>231</v>
      </c>
      <c r="MY24" t="s">
        <v>230</v>
      </c>
      <c r="NE24" t="s">
        <v>232</v>
      </c>
      <c r="NI24" t="s">
        <v>232</v>
      </c>
      <c r="NM24" t="s">
        <v>232</v>
      </c>
      <c r="NP24" t="s">
        <v>231</v>
      </c>
      <c r="NU24" t="s">
        <v>232</v>
      </c>
      <c r="NY24" t="s">
        <v>232</v>
      </c>
      <c r="OA24" t="s">
        <v>230</v>
      </c>
      <c r="OF24" t="s">
        <v>231</v>
      </c>
      <c r="OJ24" t="s">
        <v>231</v>
      </c>
    </row>
    <row r="25" spans="1:402">
      <c r="A25" t="s">
        <v>353</v>
      </c>
      <c r="B25" t="s">
        <v>94</v>
      </c>
      <c r="D25" t="s">
        <v>94</v>
      </c>
      <c r="F25" t="s">
        <v>94</v>
      </c>
      <c r="H25" t="s">
        <v>96</v>
      </c>
      <c r="M25" t="s">
        <v>101</v>
      </c>
      <c r="R25" t="s">
        <v>106</v>
      </c>
      <c r="T25" t="s">
        <v>354</v>
      </c>
      <c r="U25" t="s">
        <v>355</v>
      </c>
      <c r="V25" t="s">
        <v>257</v>
      </c>
      <c r="W25" t="s">
        <v>108</v>
      </c>
      <c r="AE25" t="s">
        <v>95</v>
      </c>
      <c r="AH25" t="s">
        <v>95</v>
      </c>
      <c r="AM25" t="s">
        <v>118</v>
      </c>
      <c r="AR25" t="s">
        <v>123</v>
      </c>
      <c r="AU25" t="s">
        <v>356</v>
      </c>
      <c r="AY25" t="s">
        <v>129</v>
      </c>
      <c r="BB25" t="s">
        <v>128</v>
      </c>
      <c r="BD25" t="s">
        <v>126</v>
      </c>
      <c r="BJ25" t="s">
        <v>128</v>
      </c>
      <c r="BM25" t="s">
        <v>127</v>
      </c>
      <c r="BS25" t="s">
        <v>129</v>
      </c>
      <c r="BW25" t="s">
        <v>129</v>
      </c>
      <c r="BX25" t="s">
        <v>126</v>
      </c>
      <c r="CD25" t="s">
        <v>128</v>
      </c>
      <c r="CF25" t="s">
        <v>126</v>
      </c>
      <c r="CJ25" t="s">
        <v>126</v>
      </c>
      <c r="CO25" t="s">
        <v>127</v>
      </c>
      <c r="CS25" t="s">
        <v>127</v>
      </c>
      <c r="CY25" t="s">
        <v>129</v>
      </c>
      <c r="DC25" t="s">
        <v>129</v>
      </c>
      <c r="DE25" t="s">
        <v>127</v>
      </c>
      <c r="DH25" t="s">
        <v>126</v>
      </c>
      <c r="DL25" t="s">
        <v>126</v>
      </c>
      <c r="DP25" t="s">
        <v>126</v>
      </c>
      <c r="DV25" t="s">
        <v>128</v>
      </c>
      <c r="EA25" t="s">
        <v>129</v>
      </c>
      <c r="EB25" t="s">
        <v>126</v>
      </c>
      <c r="EI25" t="s">
        <v>129</v>
      </c>
      <c r="EK25" t="s">
        <v>127</v>
      </c>
      <c r="EO25" t="s">
        <v>127</v>
      </c>
      <c r="EU25" t="s">
        <v>129</v>
      </c>
      <c r="EX25" t="s">
        <v>128</v>
      </c>
      <c r="EZ25" t="s">
        <v>126</v>
      </c>
      <c r="FD25" t="s">
        <v>126</v>
      </c>
      <c r="FJ25" t="s">
        <v>128</v>
      </c>
      <c r="FL25" t="s">
        <v>126</v>
      </c>
      <c r="FP25" t="s">
        <v>94</v>
      </c>
      <c r="FS25" t="s">
        <v>95</v>
      </c>
      <c r="FT25" t="s">
        <v>94</v>
      </c>
      <c r="FW25" t="s">
        <v>95</v>
      </c>
      <c r="FY25" t="s">
        <v>95</v>
      </c>
      <c r="GA25" t="s">
        <v>95</v>
      </c>
      <c r="GC25" t="s">
        <v>95</v>
      </c>
      <c r="GE25" t="s">
        <v>95</v>
      </c>
      <c r="GG25" t="s">
        <v>95</v>
      </c>
      <c r="GI25" t="s">
        <v>95</v>
      </c>
      <c r="GK25" t="s">
        <v>95</v>
      </c>
      <c r="GM25" t="s">
        <v>95</v>
      </c>
      <c r="GO25" t="s">
        <v>95</v>
      </c>
      <c r="GQ25" t="s">
        <v>95</v>
      </c>
      <c r="GS25" t="s">
        <v>95</v>
      </c>
      <c r="GU25" t="s">
        <v>95</v>
      </c>
      <c r="GW25" t="s">
        <v>95</v>
      </c>
      <c r="GX25" t="s">
        <v>357</v>
      </c>
      <c r="GY25" t="s">
        <v>242</v>
      </c>
      <c r="HC25" t="s">
        <v>242</v>
      </c>
      <c r="HG25" t="s">
        <v>242</v>
      </c>
      <c r="HL25" t="s">
        <v>244</v>
      </c>
      <c r="HO25" t="s">
        <v>242</v>
      </c>
      <c r="HT25" t="s">
        <v>244</v>
      </c>
      <c r="HY25" t="s">
        <v>243</v>
      </c>
      <c r="IA25" t="s">
        <v>242</v>
      </c>
      <c r="IE25" t="s">
        <v>242</v>
      </c>
      <c r="IJ25" t="s">
        <v>244</v>
      </c>
      <c r="IO25" t="s">
        <v>243</v>
      </c>
      <c r="IQ25" t="s">
        <v>242</v>
      </c>
      <c r="IV25" t="s">
        <v>244</v>
      </c>
      <c r="IY25" t="s">
        <v>242</v>
      </c>
      <c r="JD25" t="s">
        <v>244</v>
      </c>
      <c r="JJ25" t="s">
        <v>253</v>
      </c>
      <c r="JK25" t="s">
        <v>242</v>
      </c>
      <c r="JO25" t="s">
        <v>242</v>
      </c>
      <c r="JS25" t="s">
        <v>242</v>
      </c>
      <c r="JX25" t="s">
        <v>244</v>
      </c>
      <c r="KA25" t="s">
        <v>242</v>
      </c>
      <c r="KF25" t="s">
        <v>244</v>
      </c>
      <c r="KK25" t="s">
        <v>243</v>
      </c>
      <c r="KM25" t="s">
        <v>242</v>
      </c>
      <c r="KR25" t="s">
        <v>244</v>
      </c>
      <c r="KU25" t="s">
        <v>230</v>
      </c>
      <c r="KY25" t="s">
        <v>230</v>
      </c>
      <c r="LD25" t="s">
        <v>231</v>
      </c>
      <c r="LI25" t="s">
        <v>232</v>
      </c>
      <c r="LN25" t="s">
        <v>233</v>
      </c>
      <c r="LP25" t="s">
        <v>231</v>
      </c>
      <c r="LT25" t="s">
        <v>231</v>
      </c>
      <c r="LW25" t="s">
        <v>230</v>
      </c>
      <c r="MA25" t="s">
        <v>230</v>
      </c>
      <c r="MF25" t="s">
        <v>231</v>
      </c>
      <c r="MJ25" t="s">
        <v>231</v>
      </c>
      <c r="MM25" t="s">
        <v>230</v>
      </c>
      <c r="MT25" t="s">
        <v>233</v>
      </c>
      <c r="MV25" t="s">
        <v>231</v>
      </c>
      <c r="MY25" t="s">
        <v>230</v>
      </c>
      <c r="NC25" t="s">
        <v>230</v>
      </c>
      <c r="NG25" t="s">
        <v>230</v>
      </c>
      <c r="NL25" t="s">
        <v>231</v>
      </c>
      <c r="NP25" t="s">
        <v>231</v>
      </c>
      <c r="NS25" t="s">
        <v>230</v>
      </c>
      <c r="NY25" t="s">
        <v>232</v>
      </c>
      <c r="OB25" t="s">
        <v>231</v>
      </c>
      <c r="OG25" t="s">
        <v>232</v>
      </c>
      <c r="OI25" t="s">
        <v>230</v>
      </c>
    </row>
    <row r="26" spans="1:402">
      <c r="A26" t="s">
        <v>358</v>
      </c>
      <c r="B26" t="s">
        <v>94</v>
      </c>
      <c r="D26" t="s">
        <v>94</v>
      </c>
      <c r="F26" t="s">
        <v>94</v>
      </c>
      <c r="I26" t="s">
        <v>97</v>
      </c>
      <c r="O26" t="s">
        <v>103</v>
      </c>
      <c r="R26" t="s">
        <v>106</v>
      </c>
      <c r="T26" t="s">
        <v>307</v>
      </c>
      <c r="U26" t="s">
        <v>359</v>
      </c>
      <c r="V26" t="s">
        <v>257</v>
      </c>
      <c r="W26" t="s">
        <v>108</v>
      </c>
      <c r="AE26" t="s">
        <v>95</v>
      </c>
      <c r="AF26">
        <v>0</v>
      </c>
      <c r="AH26" t="s">
        <v>95</v>
      </c>
      <c r="AI26">
        <v>0</v>
      </c>
      <c r="AN26" t="s">
        <v>119</v>
      </c>
      <c r="AR26" t="s">
        <v>123</v>
      </c>
      <c r="AU26" t="s">
        <v>360</v>
      </c>
      <c r="AW26" t="s">
        <v>127</v>
      </c>
      <c r="AZ26" t="s">
        <v>126</v>
      </c>
      <c r="BF26" t="s">
        <v>128</v>
      </c>
      <c r="BH26" t="s">
        <v>126</v>
      </c>
      <c r="BN26" t="s">
        <v>128</v>
      </c>
      <c r="BQ26" t="s">
        <v>127</v>
      </c>
      <c r="BV26" t="s">
        <v>128</v>
      </c>
      <c r="BY26" t="s">
        <v>127</v>
      </c>
      <c r="CB26" t="s">
        <v>126</v>
      </c>
      <c r="CG26" t="s">
        <v>127</v>
      </c>
      <c r="CJ26" t="s">
        <v>126</v>
      </c>
      <c r="CO26" t="s">
        <v>127</v>
      </c>
      <c r="CR26" t="s">
        <v>126</v>
      </c>
      <c r="CW26" t="s">
        <v>127</v>
      </c>
      <c r="DB26" t="s">
        <v>128</v>
      </c>
      <c r="DD26" t="s">
        <v>126</v>
      </c>
      <c r="DI26" t="s">
        <v>127</v>
      </c>
      <c r="DL26" t="s">
        <v>126</v>
      </c>
      <c r="DP26" t="s">
        <v>126</v>
      </c>
      <c r="DT26" t="s">
        <v>126</v>
      </c>
      <c r="DY26" t="s">
        <v>127</v>
      </c>
      <c r="EC26" t="s">
        <v>127</v>
      </c>
      <c r="EI26" t="s">
        <v>129</v>
      </c>
      <c r="EL26" t="s">
        <v>128</v>
      </c>
      <c r="EQ26" t="s">
        <v>129</v>
      </c>
      <c r="ES26" t="s">
        <v>127</v>
      </c>
      <c r="EV26" t="s">
        <v>126</v>
      </c>
      <c r="FA26" t="s">
        <v>127</v>
      </c>
      <c r="FF26" t="s">
        <v>128</v>
      </c>
      <c r="FH26" t="s">
        <v>126</v>
      </c>
      <c r="FN26" t="s">
        <v>128</v>
      </c>
      <c r="FP26" t="s">
        <v>94</v>
      </c>
      <c r="FR26" t="s">
        <v>94</v>
      </c>
      <c r="FU26" t="s">
        <v>95</v>
      </c>
      <c r="FW26" t="s">
        <v>95</v>
      </c>
      <c r="FY26" t="s">
        <v>95</v>
      </c>
      <c r="GA26" t="s">
        <v>95</v>
      </c>
      <c r="GC26" t="s">
        <v>95</v>
      </c>
      <c r="GE26" t="s">
        <v>95</v>
      </c>
      <c r="GF26" t="s">
        <v>94</v>
      </c>
      <c r="GH26" t="s">
        <v>94</v>
      </c>
      <c r="GJ26" t="s">
        <v>94</v>
      </c>
      <c r="GL26" t="s">
        <v>94</v>
      </c>
      <c r="GO26" t="s">
        <v>95</v>
      </c>
      <c r="GQ26" t="s">
        <v>95</v>
      </c>
      <c r="GS26" t="s">
        <v>95</v>
      </c>
      <c r="GT26" t="s">
        <v>94</v>
      </c>
      <c r="GV26" t="s">
        <v>94</v>
      </c>
      <c r="GX26" t="s">
        <v>361</v>
      </c>
      <c r="GZ26" t="s">
        <v>244</v>
      </c>
      <c r="HC26" t="s">
        <v>242</v>
      </c>
      <c r="HG26" t="s">
        <v>242</v>
      </c>
      <c r="HL26" t="s">
        <v>244</v>
      </c>
      <c r="HP26" t="s">
        <v>244</v>
      </c>
      <c r="HS26" t="s">
        <v>242</v>
      </c>
      <c r="HX26" t="s">
        <v>244</v>
      </c>
      <c r="IA26" t="s">
        <v>242</v>
      </c>
      <c r="IE26" t="s">
        <v>242</v>
      </c>
      <c r="II26" t="s">
        <v>242</v>
      </c>
      <c r="IM26" t="s">
        <v>242</v>
      </c>
      <c r="IQ26" t="s">
        <v>242</v>
      </c>
      <c r="IU26" t="s">
        <v>242</v>
      </c>
      <c r="JB26" t="s">
        <v>253</v>
      </c>
      <c r="JC26" t="s">
        <v>242</v>
      </c>
      <c r="JH26" t="s">
        <v>244</v>
      </c>
      <c r="JL26" t="s">
        <v>244</v>
      </c>
      <c r="JP26" t="s">
        <v>244</v>
      </c>
      <c r="JT26" t="s">
        <v>244</v>
      </c>
      <c r="JX26" t="s">
        <v>244</v>
      </c>
      <c r="KB26" t="s">
        <v>244</v>
      </c>
      <c r="KE26" t="s">
        <v>242</v>
      </c>
      <c r="KI26" t="s">
        <v>242</v>
      </c>
      <c r="KM26" t="s">
        <v>242</v>
      </c>
      <c r="KR26" t="s">
        <v>244</v>
      </c>
      <c r="KW26" t="s">
        <v>232</v>
      </c>
      <c r="KZ26" t="s">
        <v>231</v>
      </c>
      <c r="LD26" t="s">
        <v>231</v>
      </c>
      <c r="LH26" t="s">
        <v>231</v>
      </c>
      <c r="LK26" t="s">
        <v>230</v>
      </c>
      <c r="LO26" t="s">
        <v>230</v>
      </c>
      <c r="LT26" t="s">
        <v>231</v>
      </c>
      <c r="LW26" t="s">
        <v>230</v>
      </c>
      <c r="MC26" t="s">
        <v>232</v>
      </c>
      <c r="MG26" t="s">
        <v>232</v>
      </c>
      <c r="MJ26" t="s">
        <v>231</v>
      </c>
      <c r="MN26" t="s">
        <v>231</v>
      </c>
      <c r="MR26" t="s">
        <v>231</v>
      </c>
      <c r="MV26" t="s">
        <v>231</v>
      </c>
      <c r="MY26" t="s">
        <v>230</v>
      </c>
      <c r="NC26" t="s">
        <v>230</v>
      </c>
      <c r="NI26" t="s">
        <v>232</v>
      </c>
      <c r="NL26" t="s">
        <v>231</v>
      </c>
      <c r="NQ26" t="s">
        <v>232</v>
      </c>
      <c r="NU26" t="s">
        <v>232</v>
      </c>
      <c r="NX26" t="s">
        <v>231</v>
      </c>
      <c r="OB26" t="s">
        <v>231</v>
      </c>
      <c r="OF26" t="s">
        <v>231</v>
      </c>
      <c r="OK26" t="s">
        <v>232</v>
      </c>
    </row>
    <row r="27" spans="1:402">
      <c r="A27" t="s">
        <v>362</v>
      </c>
      <c r="B27" t="s">
        <v>94</v>
      </c>
      <c r="D27" t="s">
        <v>94</v>
      </c>
      <c r="F27" t="s">
        <v>94</v>
      </c>
      <c r="H27" t="s">
        <v>96</v>
      </c>
      <c r="O27" t="s">
        <v>103</v>
      </c>
      <c r="R27" t="s">
        <v>106</v>
      </c>
      <c r="T27" t="s">
        <v>262</v>
      </c>
      <c r="U27" t="s">
        <v>249</v>
      </c>
      <c r="V27" t="s">
        <v>268</v>
      </c>
      <c r="Z27" t="s">
        <v>111</v>
      </c>
      <c r="AE27" t="s">
        <v>95</v>
      </c>
      <c r="AF27" t="s">
        <v>258</v>
      </c>
      <c r="AG27" t="s">
        <v>94</v>
      </c>
      <c r="AI27">
        <v>4</v>
      </c>
      <c r="AO27" t="s">
        <v>120</v>
      </c>
      <c r="AR27" t="s">
        <v>123</v>
      </c>
      <c r="AU27" t="s">
        <v>363</v>
      </c>
      <c r="AX27" t="s">
        <v>128</v>
      </c>
      <c r="BC27" t="s">
        <v>129</v>
      </c>
      <c r="BF27" t="s">
        <v>128</v>
      </c>
      <c r="BH27" t="s">
        <v>126</v>
      </c>
      <c r="BL27" t="s">
        <v>126</v>
      </c>
      <c r="BS27" t="s">
        <v>129</v>
      </c>
      <c r="BW27" t="s">
        <v>129</v>
      </c>
      <c r="BX27" t="s">
        <v>126</v>
      </c>
      <c r="CE27" t="s">
        <v>129</v>
      </c>
      <c r="CG27" t="s">
        <v>127</v>
      </c>
      <c r="CM27" t="s">
        <v>129</v>
      </c>
      <c r="CN27" t="s">
        <v>126</v>
      </c>
      <c r="CS27" t="s">
        <v>127</v>
      </c>
      <c r="CY27" t="s">
        <v>129</v>
      </c>
      <c r="DC27" t="s">
        <v>129</v>
      </c>
      <c r="DF27" t="s">
        <v>128</v>
      </c>
      <c r="DH27" t="s">
        <v>126</v>
      </c>
      <c r="DL27" t="s">
        <v>126</v>
      </c>
      <c r="DR27" t="s">
        <v>128</v>
      </c>
      <c r="DV27" t="s">
        <v>128</v>
      </c>
      <c r="EA27" t="s">
        <v>129</v>
      </c>
      <c r="EE27" t="s">
        <v>129</v>
      </c>
      <c r="EI27" t="s">
        <v>129</v>
      </c>
      <c r="EM27" t="s">
        <v>129</v>
      </c>
      <c r="EQ27" t="s">
        <v>129</v>
      </c>
      <c r="ES27" t="s">
        <v>127</v>
      </c>
      <c r="EW27" t="s">
        <v>127</v>
      </c>
      <c r="FB27" t="s">
        <v>128</v>
      </c>
      <c r="FE27" t="s">
        <v>127</v>
      </c>
      <c r="FK27" t="s">
        <v>129</v>
      </c>
      <c r="FL27" t="s">
        <v>126</v>
      </c>
      <c r="FP27" t="s">
        <v>94</v>
      </c>
      <c r="FS27" t="s">
        <v>95</v>
      </c>
      <c r="FT27" t="s">
        <v>94</v>
      </c>
      <c r="FW27" t="s">
        <v>95</v>
      </c>
      <c r="FY27" t="s">
        <v>95</v>
      </c>
      <c r="GA27" t="s">
        <v>95</v>
      </c>
      <c r="GB27" t="s">
        <v>94</v>
      </c>
      <c r="GE27" t="s">
        <v>95</v>
      </c>
      <c r="GG27" t="s">
        <v>95</v>
      </c>
      <c r="GH27" t="s">
        <v>94</v>
      </c>
      <c r="GJ27" t="s">
        <v>94</v>
      </c>
      <c r="GL27" t="s">
        <v>94</v>
      </c>
      <c r="GN27" t="s">
        <v>94</v>
      </c>
      <c r="GQ27" t="s">
        <v>95</v>
      </c>
      <c r="GR27" t="s">
        <v>94</v>
      </c>
      <c r="GU27" t="s">
        <v>95</v>
      </c>
      <c r="GW27" t="s">
        <v>95</v>
      </c>
      <c r="GX27" t="s">
        <v>364</v>
      </c>
      <c r="GZ27" t="s">
        <v>244</v>
      </c>
      <c r="HC27" t="s">
        <v>242</v>
      </c>
      <c r="HG27" t="s">
        <v>242</v>
      </c>
      <c r="HL27" t="s">
        <v>244</v>
      </c>
      <c r="HQ27" t="s">
        <v>243</v>
      </c>
      <c r="HU27" t="s">
        <v>243</v>
      </c>
      <c r="HZ27" t="s">
        <v>241</v>
      </c>
      <c r="ID27" t="s">
        <v>241</v>
      </c>
      <c r="IH27" t="s">
        <v>241</v>
      </c>
      <c r="IL27" t="s">
        <v>241</v>
      </c>
      <c r="IN27" t="s">
        <v>244</v>
      </c>
      <c r="IQ27" t="s">
        <v>242</v>
      </c>
      <c r="IX27" t="s">
        <v>253</v>
      </c>
      <c r="JB27" t="s">
        <v>253</v>
      </c>
      <c r="JF27" t="s">
        <v>253</v>
      </c>
      <c r="JG27" t="s">
        <v>242</v>
      </c>
      <c r="JN27" t="s">
        <v>253</v>
      </c>
      <c r="JP27" t="s">
        <v>244</v>
      </c>
      <c r="JT27" t="s">
        <v>244</v>
      </c>
      <c r="JY27" t="s">
        <v>243</v>
      </c>
      <c r="KD27" t="s">
        <v>241</v>
      </c>
      <c r="KE27" t="s">
        <v>242</v>
      </c>
      <c r="KL27" t="s">
        <v>241</v>
      </c>
      <c r="KN27" t="s">
        <v>244</v>
      </c>
      <c r="KR27" t="s">
        <v>244</v>
      </c>
      <c r="KV27" t="s">
        <v>231</v>
      </c>
      <c r="KZ27" t="s">
        <v>231</v>
      </c>
      <c r="LD27" t="s">
        <v>231</v>
      </c>
      <c r="LI27" t="s">
        <v>232</v>
      </c>
      <c r="LN27" t="s">
        <v>233</v>
      </c>
      <c r="LP27" t="s">
        <v>231</v>
      </c>
      <c r="LV27" t="s">
        <v>233</v>
      </c>
      <c r="LX27" t="s">
        <v>231</v>
      </c>
      <c r="MB27" t="s">
        <v>231</v>
      </c>
      <c r="MH27" t="s">
        <v>233</v>
      </c>
      <c r="ML27" t="s">
        <v>233</v>
      </c>
      <c r="MN27" t="s">
        <v>231</v>
      </c>
      <c r="MT27" t="s">
        <v>233</v>
      </c>
      <c r="MX27" t="s">
        <v>233</v>
      </c>
      <c r="MY27" t="s">
        <v>230</v>
      </c>
      <c r="NF27" t="s">
        <v>233</v>
      </c>
      <c r="NJ27" t="s">
        <v>233</v>
      </c>
      <c r="NN27" t="s">
        <v>233</v>
      </c>
      <c r="NQ27" t="s">
        <v>232</v>
      </c>
      <c r="NT27" t="s">
        <v>231</v>
      </c>
      <c r="NZ27" t="s">
        <v>233</v>
      </c>
      <c r="OD27" t="s">
        <v>233</v>
      </c>
      <c r="OH27" t="s">
        <v>233</v>
      </c>
      <c r="OI27" t="s">
        <v>230</v>
      </c>
    </row>
    <row r="28" spans="1:402">
      <c r="A28" t="s">
        <v>365</v>
      </c>
      <c r="B28" t="s">
        <v>94</v>
      </c>
      <c r="D28" t="s">
        <v>94</v>
      </c>
      <c r="F28" t="s">
        <v>94</v>
      </c>
      <c r="H28" t="s">
        <v>96</v>
      </c>
      <c r="N28" t="s">
        <v>102</v>
      </c>
      <c r="R28" t="s">
        <v>106</v>
      </c>
      <c r="T28" t="s">
        <v>366</v>
      </c>
      <c r="U28" t="s">
        <v>249</v>
      </c>
      <c r="V28" t="s">
        <v>238</v>
      </c>
      <c r="W28" t="s">
        <v>108</v>
      </c>
      <c r="AD28" t="s">
        <v>94</v>
      </c>
      <c r="AF28">
        <v>2</v>
      </c>
      <c r="AH28" t="s">
        <v>95</v>
      </c>
      <c r="AN28" t="s">
        <v>119</v>
      </c>
      <c r="AR28" t="s">
        <v>123</v>
      </c>
      <c r="AU28" t="s">
        <v>367</v>
      </c>
      <c r="AW28" t="s">
        <v>127</v>
      </c>
      <c r="BB28" t="s">
        <v>128</v>
      </c>
      <c r="BE28" t="s">
        <v>127</v>
      </c>
      <c r="BK28" t="s">
        <v>129</v>
      </c>
      <c r="BL28" t="s">
        <v>126</v>
      </c>
      <c r="BR28" t="s">
        <v>128</v>
      </c>
      <c r="BV28" t="s">
        <v>128</v>
      </c>
      <c r="BZ28" t="s">
        <v>128</v>
      </c>
      <c r="CE28" t="s">
        <v>129</v>
      </c>
      <c r="CH28" t="s">
        <v>128</v>
      </c>
      <c r="CL28" t="s">
        <v>128</v>
      </c>
      <c r="CO28" t="s">
        <v>127</v>
      </c>
      <c r="CS28" t="s">
        <v>127</v>
      </c>
      <c r="CW28" t="s">
        <v>127</v>
      </c>
      <c r="DA28" t="s">
        <v>127</v>
      </c>
      <c r="DE28" t="s">
        <v>127</v>
      </c>
      <c r="DI28" t="s">
        <v>127</v>
      </c>
      <c r="DL28" t="s">
        <v>126</v>
      </c>
      <c r="DQ28" t="s">
        <v>127</v>
      </c>
      <c r="DV28" t="s">
        <v>128</v>
      </c>
      <c r="DZ28" t="s">
        <v>128</v>
      </c>
      <c r="ED28" t="s">
        <v>128</v>
      </c>
      <c r="EI28" t="s">
        <v>129</v>
      </c>
      <c r="EL28" t="s">
        <v>128</v>
      </c>
      <c r="EP28" t="s">
        <v>128</v>
      </c>
      <c r="ET28" t="s">
        <v>128</v>
      </c>
      <c r="EY28" t="s">
        <v>129</v>
      </c>
      <c r="FC28" t="s">
        <v>129</v>
      </c>
      <c r="FF28" t="s">
        <v>128</v>
      </c>
      <c r="FH28" t="s">
        <v>126</v>
      </c>
      <c r="FN28" t="s">
        <v>128</v>
      </c>
      <c r="FQ28" t="s">
        <v>95</v>
      </c>
      <c r="FS28" t="s">
        <v>95</v>
      </c>
      <c r="FU28" t="s">
        <v>95</v>
      </c>
      <c r="FW28" t="s">
        <v>95</v>
      </c>
      <c r="FY28" t="s">
        <v>95</v>
      </c>
      <c r="GA28" t="s">
        <v>95</v>
      </c>
      <c r="GC28" t="s">
        <v>95</v>
      </c>
      <c r="GE28" t="s">
        <v>95</v>
      </c>
      <c r="GG28" t="s">
        <v>95</v>
      </c>
      <c r="GI28" t="s">
        <v>95</v>
      </c>
      <c r="GJ28" t="s">
        <v>94</v>
      </c>
      <c r="GM28" t="s">
        <v>95</v>
      </c>
      <c r="GO28" t="s">
        <v>95</v>
      </c>
      <c r="GQ28" t="s">
        <v>95</v>
      </c>
      <c r="GS28" t="s">
        <v>95</v>
      </c>
      <c r="GU28" t="s">
        <v>95</v>
      </c>
      <c r="GW28" t="s">
        <v>95</v>
      </c>
      <c r="GY28" t="s">
        <v>242</v>
      </c>
      <c r="HC28" t="s">
        <v>242</v>
      </c>
      <c r="HG28" t="s">
        <v>242</v>
      </c>
      <c r="HL28" t="s">
        <v>244</v>
      </c>
      <c r="HO28" t="s">
        <v>242</v>
      </c>
      <c r="HT28" t="s">
        <v>244</v>
      </c>
      <c r="HY28" t="s">
        <v>243</v>
      </c>
      <c r="IC28" t="s">
        <v>243</v>
      </c>
      <c r="IE28" t="s">
        <v>242</v>
      </c>
      <c r="IL28" t="s">
        <v>241</v>
      </c>
      <c r="IM28" t="s">
        <v>242</v>
      </c>
      <c r="IQ28" t="s">
        <v>242</v>
      </c>
      <c r="IU28" t="s">
        <v>242</v>
      </c>
      <c r="IZ28" t="s">
        <v>244</v>
      </c>
      <c r="JC28" t="s">
        <v>242</v>
      </c>
      <c r="JG28" t="s">
        <v>242</v>
      </c>
      <c r="JM28" t="s">
        <v>245</v>
      </c>
      <c r="JP28" t="s">
        <v>244</v>
      </c>
      <c r="JT28" t="s">
        <v>244</v>
      </c>
      <c r="JW28" t="s">
        <v>242</v>
      </c>
      <c r="KC28" t="s">
        <v>243</v>
      </c>
      <c r="KE28" t="s">
        <v>242</v>
      </c>
      <c r="KI28" t="s">
        <v>242</v>
      </c>
      <c r="KM28" t="s">
        <v>242</v>
      </c>
      <c r="KQ28" t="s">
        <v>242</v>
      </c>
      <c r="KU28" t="s">
        <v>230</v>
      </c>
      <c r="KY28" t="s">
        <v>230</v>
      </c>
      <c r="LD28" t="s">
        <v>231</v>
      </c>
      <c r="LG28" t="s">
        <v>230</v>
      </c>
      <c r="LK28" t="s">
        <v>230</v>
      </c>
      <c r="LO28" t="s">
        <v>230</v>
      </c>
      <c r="LS28" t="s">
        <v>230</v>
      </c>
      <c r="LX28" t="s">
        <v>231</v>
      </c>
      <c r="MA28" t="s">
        <v>230</v>
      </c>
      <c r="MF28" t="s">
        <v>231</v>
      </c>
      <c r="MJ28" t="s">
        <v>231</v>
      </c>
      <c r="MO28" t="s">
        <v>232</v>
      </c>
      <c r="MR28" t="s">
        <v>231</v>
      </c>
      <c r="MW28" t="s">
        <v>232</v>
      </c>
      <c r="MZ28" t="s">
        <v>231</v>
      </c>
      <c r="NE28" t="s">
        <v>232</v>
      </c>
      <c r="NI28" t="s">
        <v>232</v>
      </c>
      <c r="NM28" t="s">
        <v>232</v>
      </c>
      <c r="NO28" t="s">
        <v>230</v>
      </c>
      <c r="NT28" t="s">
        <v>231</v>
      </c>
      <c r="NW28" t="s">
        <v>230</v>
      </c>
      <c r="OB28" t="s">
        <v>231</v>
      </c>
      <c r="OF28" t="s">
        <v>231</v>
      </c>
      <c r="OK28" t="s">
        <v>232</v>
      </c>
    </row>
    <row r="29" spans="1:402">
      <c r="A29" t="s">
        <v>368</v>
      </c>
      <c r="B29" t="s">
        <v>94</v>
      </c>
      <c r="D29" t="s">
        <v>94</v>
      </c>
      <c r="F29" t="s">
        <v>94</v>
      </c>
      <c r="I29" t="s">
        <v>97</v>
      </c>
      <c r="M29" t="s">
        <v>101</v>
      </c>
      <c r="R29" t="s">
        <v>106</v>
      </c>
      <c r="T29" t="s">
        <v>369</v>
      </c>
      <c r="U29" t="s">
        <v>370</v>
      </c>
      <c r="V29" t="s">
        <v>371</v>
      </c>
      <c r="W29" t="s">
        <v>108</v>
      </c>
      <c r="AD29" t="s">
        <v>94</v>
      </c>
      <c r="AF29">
        <v>1</v>
      </c>
      <c r="AH29" t="s">
        <v>95</v>
      </c>
      <c r="AI29">
        <v>0</v>
      </c>
      <c r="AL29" t="s">
        <v>117</v>
      </c>
      <c r="AS29" t="s">
        <v>124</v>
      </c>
      <c r="AU29" t="s">
        <v>372</v>
      </c>
      <c r="AX29" t="s">
        <v>128</v>
      </c>
      <c r="AZ29" t="s">
        <v>126</v>
      </c>
      <c r="BF29" t="s">
        <v>128</v>
      </c>
      <c r="BH29" t="s">
        <v>126</v>
      </c>
      <c r="BM29" t="s">
        <v>127</v>
      </c>
      <c r="BQ29" t="s">
        <v>127</v>
      </c>
      <c r="BV29" t="s">
        <v>128</v>
      </c>
      <c r="BY29" t="s">
        <v>127</v>
      </c>
      <c r="CC29" t="s">
        <v>127</v>
      </c>
      <c r="CH29" t="s">
        <v>128</v>
      </c>
      <c r="CJ29" t="s">
        <v>126</v>
      </c>
      <c r="CO29" t="s">
        <v>127</v>
      </c>
      <c r="CS29" t="s">
        <v>127</v>
      </c>
      <c r="CV29" t="s">
        <v>126</v>
      </c>
      <c r="CZ29" t="s">
        <v>126</v>
      </c>
      <c r="DD29" t="s">
        <v>126</v>
      </c>
      <c r="DH29" t="s">
        <v>126</v>
      </c>
      <c r="DM29" t="s">
        <v>127</v>
      </c>
      <c r="DP29" t="s">
        <v>126</v>
      </c>
      <c r="DU29" t="s">
        <v>127</v>
      </c>
      <c r="DZ29" t="s">
        <v>128</v>
      </c>
      <c r="EC29" t="s">
        <v>127</v>
      </c>
      <c r="EH29" t="s">
        <v>128</v>
      </c>
      <c r="EL29" t="s">
        <v>128</v>
      </c>
      <c r="EP29" t="s">
        <v>128</v>
      </c>
      <c r="ES29" t="s">
        <v>127</v>
      </c>
      <c r="EV29" t="s">
        <v>126</v>
      </c>
      <c r="FA29" t="s">
        <v>127</v>
      </c>
      <c r="FE29" t="s">
        <v>127</v>
      </c>
      <c r="FH29" t="s">
        <v>126</v>
      </c>
      <c r="FL29" t="s">
        <v>126</v>
      </c>
      <c r="FP29" t="s">
        <v>94</v>
      </c>
      <c r="FR29" t="s">
        <v>94</v>
      </c>
      <c r="FT29" t="s">
        <v>94</v>
      </c>
      <c r="FW29" t="s">
        <v>95</v>
      </c>
      <c r="FY29" t="s">
        <v>95</v>
      </c>
      <c r="GA29" t="s">
        <v>95</v>
      </c>
      <c r="GC29" t="s">
        <v>95</v>
      </c>
      <c r="GE29" t="s">
        <v>95</v>
      </c>
      <c r="GG29" t="s">
        <v>95</v>
      </c>
      <c r="GI29" t="s">
        <v>95</v>
      </c>
      <c r="GJ29" t="s">
        <v>94</v>
      </c>
      <c r="GM29" t="s">
        <v>95</v>
      </c>
      <c r="GO29" t="s">
        <v>95</v>
      </c>
      <c r="GQ29" t="s">
        <v>95</v>
      </c>
      <c r="GS29" t="s">
        <v>95</v>
      </c>
      <c r="GU29" t="s">
        <v>95</v>
      </c>
      <c r="GW29" t="s">
        <v>95</v>
      </c>
      <c r="GX29" t="s">
        <v>373</v>
      </c>
      <c r="GZ29" t="s">
        <v>244</v>
      </c>
      <c r="HD29" t="s">
        <v>244</v>
      </c>
      <c r="HI29" t="s">
        <v>243</v>
      </c>
      <c r="HN29" t="s">
        <v>241</v>
      </c>
      <c r="HQ29" t="s">
        <v>243</v>
      </c>
      <c r="HV29" t="s">
        <v>241</v>
      </c>
      <c r="HY29" t="s">
        <v>243</v>
      </c>
      <c r="IC29" t="s">
        <v>243</v>
      </c>
      <c r="IH29" t="s">
        <v>241</v>
      </c>
      <c r="IK29" t="s">
        <v>243</v>
      </c>
      <c r="IM29" t="s">
        <v>242</v>
      </c>
      <c r="IR29" t="s">
        <v>244</v>
      </c>
      <c r="IW29" t="s">
        <v>245</v>
      </c>
      <c r="JB29" t="s">
        <v>253</v>
      </c>
      <c r="JF29" t="s">
        <v>253</v>
      </c>
      <c r="JH29" t="s">
        <v>244</v>
      </c>
      <c r="JN29" t="s">
        <v>253</v>
      </c>
      <c r="JR29" t="s">
        <v>253</v>
      </c>
      <c r="JU29" t="s">
        <v>243</v>
      </c>
      <c r="JY29" t="s">
        <v>243</v>
      </c>
      <c r="KD29" t="s">
        <v>241</v>
      </c>
      <c r="KF29" t="s">
        <v>244</v>
      </c>
      <c r="KL29" t="s">
        <v>241</v>
      </c>
      <c r="KP29" t="s">
        <v>241</v>
      </c>
      <c r="KT29" t="s">
        <v>241</v>
      </c>
      <c r="KX29" t="s">
        <v>233</v>
      </c>
      <c r="LA29" t="s">
        <v>232</v>
      </c>
      <c r="LD29" t="s">
        <v>231</v>
      </c>
      <c r="LJ29" t="s">
        <v>233</v>
      </c>
      <c r="LN29" t="s">
        <v>233</v>
      </c>
      <c r="LR29" t="s">
        <v>233</v>
      </c>
      <c r="LV29" t="s">
        <v>233</v>
      </c>
      <c r="LX29" t="s">
        <v>231</v>
      </c>
      <c r="MD29" t="s">
        <v>233</v>
      </c>
      <c r="MH29" t="s">
        <v>233</v>
      </c>
      <c r="MK29" t="s">
        <v>232</v>
      </c>
      <c r="MP29" t="s">
        <v>233</v>
      </c>
      <c r="MS29" t="s">
        <v>232</v>
      </c>
      <c r="MW29" t="s">
        <v>232</v>
      </c>
      <c r="NA29" t="s">
        <v>232</v>
      </c>
      <c r="NF29" t="s">
        <v>233</v>
      </c>
      <c r="NJ29" t="s">
        <v>233</v>
      </c>
      <c r="NN29" t="s">
        <v>233</v>
      </c>
      <c r="NR29" t="s">
        <v>233</v>
      </c>
      <c r="NU29" t="s">
        <v>232</v>
      </c>
      <c r="NZ29" t="s">
        <v>233</v>
      </c>
      <c r="OD29" t="s">
        <v>233</v>
      </c>
      <c r="OH29" t="s">
        <v>233</v>
      </c>
      <c r="OL29" t="s">
        <v>233</v>
      </c>
    </row>
    <row r="30" spans="1:402">
      <c r="A30" t="s">
        <v>374</v>
      </c>
      <c r="B30" t="s">
        <v>94</v>
      </c>
      <c r="D30" t="s">
        <v>94</v>
      </c>
      <c r="F30" t="s">
        <v>94</v>
      </c>
      <c r="I30" t="s">
        <v>97</v>
      </c>
      <c r="N30" t="s">
        <v>102</v>
      </c>
      <c r="R30" t="s">
        <v>106</v>
      </c>
      <c r="T30" t="s">
        <v>375</v>
      </c>
      <c r="U30" t="s">
        <v>376</v>
      </c>
      <c r="V30" t="s">
        <v>377</v>
      </c>
      <c r="W30" t="s">
        <v>108</v>
      </c>
      <c r="AD30" t="s">
        <v>94</v>
      </c>
      <c r="AF30">
        <v>1</v>
      </c>
      <c r="AH30" t="s">
        <v>95</v>
      </c>
      <c r="AI30">
        <v>0</v>
      </c>
      <c r="AL30" t="s">
        <v>117</v>
      </c>
      <c r="AS30" t="s">
        <v>124</v>
      </c>
      <c r="AU30" t="s">
        <v>378</v>
      </c>
      <c r="AW30" t="s">
        <v>127</v>
      </c>
      <c r="BC30" t="s">
        <v>129</v>
      </c>
      <c r="BE30" t="s">
        <v>127</v>
      </c>
      <c r="BK30" t="s">
        <v>129</v>
      </c>
      <c r="BM30" t="s">
        <v>127</v>
      </c>
      <c r="BS30" t="s">
        <v>129</v>
      </c>
      <c r="BW30" t="s">
        <v>129</v>
      </c>
      <c r="BZ30" t="s">
        <v>128</v>
      </c>
      <c r="CC30" t="s">
        <v>127</v>
      </c>
      <c r="CF30" t="s">
        <v>126</v>
      </c>
      <c r="CM30" t="s">
        <v>129</v>
      </c>
      <c r="CP30" t="s">
        <v>128</v>
      </c>
      <c r="CS30" t="s">
        <v>127</v>
      </c>
      <c r="CX30" t="s">
        <v>128</v>
      </c>
      <c r="DC30" t="s">
        <v>129</v>
      </c>
      <c r="DF30" t="s">
        <v>128</v>
      </c>
      <c r="DI30" t="s">
        <v>127</v>
      </c>
      <c r="DL30" t="s">
        <v>126</v>
      </c>
      <c r="DP30" t="s">
        <v>126</v>
      </c>
      <c r="DU30" t="s">
        <v>127</v>
      </c>
      <c r="EA30" t="s">
        <v>129</v>
      </c>
      <c r="ED30" t="s">
        <v>128</v>
      </c>
      <c r="EI30" t="s">
        <v>129</v>
      </c>
      <c r="EL30" t="s">
        <v>128</v>
      </c>
      <c r="EO30" t="s">
        <v>127</v>
      </c>
      <c r="ER30" t="s">
        <v>126</v>
      </c>
      <c r="EV30" t="s">
        <v>126</v>
      </c>
      <c r="FB30" t="s">
        <v>128</v>
      </c>
      <c r="FD30" t="s">
        <v>126</v>
      </c>
      <c r="FH30" t="s">
        <v>126</v>
      </c>
      <c r="FM30" t="s">
        <v>127</v>
      </c>
      <c r="FQ30" t="s">
        <v>95</v>
      </c>
      <c r="FS30" t="s">
        <v>95</v>
      </c>
      <c r="FU30" t="s">
        <v>95</v>
      </c>
      <c r="FW30" t="s">
        <v>95</v>
      </c>
      <c r="FY30" t="s">
        <v>95</v>
      </c>
      <c r="GA30" t="s">
        <v>95</v>
      </c>
      <c r="GC30" t="s">
        <v>95</v>
      </c>
      <c r="GE30" t="s">
        <v>95</v>
      </c>
      <c r="GG30" t="s">
        <v>95</v>
      </c>
      <c r="GH30" t="s">
        <v>94</v>
      </c>
      <c r="GJ30" t="s">
        <v>94</v>
      </c>
      <c r="GL30" t="s">
        <v>94</v>
      </c>
      <c r="GO30" t="s">
        <v>95</v>
      </c>
      <c r="GQ30" t="s">
        <v>95</v>
      </c>
      <c r="GS30" t="s">
        <v>95</v>
      </c>
      <c r="GU30" t="s">
        <v>95</v>
      </c>
      <c r="GW30" t="s">
        <v>95</v>
      </c>
      <c r="GX30" t="s">
        <v>379</v>
      </c>
      <c r="GZ30" t="s">
        <v>244</v>
      </c>
      <c r="HD30" t="s">
        <v>244</v>
      </c>
      <c r="HG30" t="s">
        <v>242</v>
      </c>
      <c r="HL30" t="s">
        <v>244</v>
      </c>
      <c r="HP30" t="s">
        <v>244</v>
      </c>
      <c r="HS30" t="s">
        <v>242</v>
      </c>
      <c r="HY30" t="s">
        <v>243</v>
      </c>
      <c r="IA30" t="s">
        <v>242</v>
      </c>
      <c r="IG30" t="s">
        <v>243</v>
      </c>
      <c r="II30" t="s">
        <v>242</v>
      </c>
      <c r="IM30" t="s">
        <v>242</v>
      </c>
      <c r="IQ30" t="s">
        <v>242</v>
      </c>
      <c r="IV30" t="s">
        <v>244</v>
      </c>
      <c r="IZ30" t="s">
        <v>244</v>
      </c>
      <c r="JD30" t="s">
        <v>244</v>
      </c>
      <c r="JG30" t="s">
        <v>242</v>
      </c>
      <c r="JM30" t="s">
        <v>245</v>
      </c>
      <c r="JO30" t="s">
        <v>242</v>
      </c>
      <c r="JS30" t="s">
        <v>242</v>
      </c>
      <c r="JW30" t="s">
        <v>242</v>
      </c>
      <c r="KB30" t="s">
        <v>244</v>
      </c>
      <c r="KE30" t="s">
        <v>242</v>
      </c>
      <c r="KI30" t="s">
        <v>242</v>
      </c>
      <c r="KM30" t="s">
        <v>242</v>
      </c>
      <c r="KQ30" t="s">
        <v>242</v>
      </c>
      <c r="KV30" t="s">
        <v>231</v>
      </c>
      <c r="KY30" t="s">
        <v>230</v>
      </c>
      <c r="LC30" t="s">
        <v>230</v>
      </c>
      <c r="LG30" t="s">
        <v>230</v>
      </c>
      <c r="LK30" t="s">
        <v>230</v>
      </c>
      <c r="LO30" t="s">
        <v>230</v>
      </c>
      <c r="LS30" t="s">
        <v>230</v>
      </c>
      <c r="LW30" t="s">
        <v>230</v>
      </c>
      <c r="MA30" t="s">
        <v>230</v>
      </c>
      <c r="MF30" t="s">
        <v>231</v>
      </c>
      <c r="MI30" t="s">
        <v>230</v>
      </c>
      <c r="MM30" t="s">
        <v>230</v>
      </c>
      <c r="MQ30" t="s">
        <v>230</v>
      </c>
      <c r="MU30" t="s">
        <v>230</v>
      </c>
      <c r="MY30" t="s">
        <v>230</v>
      </c>
      <c r="ND30" t="s">
        <v>231</v>
      </c>
      <c r="NI30" t="s">
        <v>232</v>
      </c>
      <c r="NL30" t="s">
        <v>231</v>
      </c>
      <c r="NO30" t="s">
        <v>230</v>
      </c>
      <c r="NT30" t="s">
        <v>231</v>
      </c>
      <c r="NW30" t="s">
        <v>230</v>
      </c>
      <c r="OA30" t="s">
        <v>230</v>
      </c>
      <c r="OF30" t="s">
        <v>231</v>
      </c>
      <c r="OJ30" t="s">
        <v>231</v>
      </c>
    </row>
    <row r="31" spans="1:402">
      <c r="A31" t="s">
        <v>380</v>
      </c>
      <c r="B31" t="s">
        <v>94</v>
      </c>
      <c r="D31" t="s">
        <v>94</v>
      </c>
      <c r="F31" t="s">
        <v>94</v>
      </c>
      <c r="I31" t="s">
        <v>97</v>
      </c>
      <c r="M31" t="s">
        <v>101</v>
      </c>
      <c r="R31" t="s">
        <v>106</v>
      </c>
      <c r="T31" t="s">
        <v>381</v>
      </c>
      <c r="U31" t="s">
        <v>249</v>
      </c>
      <c r="V31" t="s">
        <v>257</v>
      </c>
      <c r="W31" t="s">
        <v>108</v>
      </c>
      <c r="AD31" t="s">
        <v>94</v>
      </c>
      <c r="AF31">
        <v>1</v>
      </c>
      <c r="AH31" t="s">
        <v>95</v>
      </c>
      <c r="AO31" t="s">
        <v>120</v>
      </c>
      <c r="AS31" t="s">
        <v>124</v>
      </c>
      <c r="AU31" t="s">
        <v>382</v>
      </c>
      <c r="AW31" t="s">
        <v>127</v>
      </c>
      <c r="AZ31" t="s">
        <v>126</v>
      </c>
      <c r="BD31" t="s">
        <v>126</v>
      </c>
      <c r="BI31" t="s">
        <v>127</v>
      </c>
      <c r="BM31" t="s">
        <v>127</v>
      </c>
      <c r="BQ31" t="s">
        <v>127</v>
      </c>
      <c r="BU31" t="s">
        <v>127</v>
      </c>
      <c r="BX31" t="s">
        <v>126</v>
      </c>
      <c r="CD31" t="s">
        <v>128</v>
      </c>
      <c r="CG31" t="s">
        <v>127</v>
      </c>
      <c r="CJ31" t="s">
        <v>126</v>
      </c>
      <c r="CO31" t="s">
        <v>127</v>
      </c>
      <c r="CT31" t="s">
        <v>128</v>
      </c>
      <c r="CV31" t="s">
        <v>126</v>
      </c>
      <c r="DA31" t="s">
        <v>127</v>
      </c>
      <c r="DD31" t="s">
        <v>126</v>
      </c>
      <c r="DH31" t="s">
        <v>126</v>
      </c>
      <c r="DL31" t="s">
        <v>126</v>
      </c>
      <c r="DQ31" t="s">
        <v>127</v>
      </c>
      <c r="DV31" t="s">
        <v>128</v>
      </c>
      <c r="DY31" t="s">
        <v>127</v>
      </c>
      <c r="EC31" t="s">
        <v>127</v>
      </c>
      <c r="EF31" t="s">
        <v>126</v>
      </c>
      <c r="EL31" t="s">
        <v>128</v>
      </c>
      <c r="EP31" t="s">
        <v>128</v>
      </c>
      <c r="ET31" t="s">
        <v>128</v>
      </c>
      <c r="EW31" t="s">
        <v>127</v>
      </c>
      <c r="FA31" t="s">
        <v>127</v>
      </c>
      <c r="FF31" t="s">
        <v>128</v>
      </c>
      <c r="FH31" t="s">
        <v>126</v>
      </c>
      <c r="FO31" t="s">
        <v>129</v>
      </c>
      <c r="FQ31" t="s">
        <v>95</v>
      </c>
      <c r="FS31" t="s">
        <v>95</v>
      </c>
      <c r="FU31" t="s">
        <v>95</v>
      </c>
      <c r="FW31" t="s">
        <v>95</v>
      </c>
      <c r="FY31" t="s">
        <v>95</v>
      </c>
      <c r="GA31" t="s">
        <v>95</v>
      </c>
      <c r="GC31" t="s">
        <v>95</v>
      </c>
      <c r="GE31" t="s">
        <v>95</v>
      </c>
      <c r="GG31" t="s">
        <v>95</v>
      </c>
      <c r="GI31" t="s">
        <v>95</v>
      </c>
      <c r="GJ31" t="s">
        <v>94</v>
      </c>
      <c r="GM31" t="s">
        <v>95</v>
      </c>
      <c r="GO31" t="s">
        <v>95</v>
      </c>
      <c r="GQ31" t="s">
        <v>95</v>
      </c>
      <c r="GS31" t="s">
        <v>95</v>
      </c>
      <c r="GU31" t="s">
        <v>95</v>
      </c>
      <c r="GW31" t="s">
        <v>95</v>
      </c>
      <c r="GX31" t="s">
        <v>383</v>
      </c>
      <c r="GZ31" t="s">
        <v>244</v>
      </c>
      <c r="HC31" t="s">
        <v>242</v>
      </c>
      <c r="HG31" t="s">
        <v>242</v>
      </c>
      <c r="HM31" t="s">
        <v>243</v>
      </c>
      <c r="HO31" t="s">
        <v>242</v>
      </c>
      <c r="HT31" t="s">
        <v>244</v>
      </c>
      <c r="HW31" t="s">
        <v>242</v>
      </c>
      <c r="IA31" t="s">
        <v>242</v>
      </c>
      <c r="IF31" t="s">
        <v>244</v>
      </c>
      <c r="IK31" t="s">
        <v>243</v>
      </c>
      <c r="IM31" t="s">
        <v>242</v>
      </c>
      <c r="IQ31" t="s">
        <v>242</v>
      </c>
      <c r="IU31" t="s">
        <v>242</v>
      </c>
      <c r="IY31" t="s">
        <v>242</v>
      </c>
      <c r="JD31" t="s">
        <v>244</v>
      </c>
      <c r="JG31" t="s">
        <v>242</v>
      </c>
      <c r="JK31" t="s">
        <v>242</v>
      </c>
      <c r="JO31" t="s">
        <v>242</v>
      </c>
      <c r="JS31" t="s">
        <v>242</v>
      </c>
      <c r="JW31" t="s">
        <v>242</v>
      </c>
      <c r="KA31" t="s">
        <v>242</v>
      </c>
      <c r="KE31" t="s">
        <v>242</v>
      </c>
      <c r="KI31" t="s">
        <v>242</v>
      </c>
      <c r="KM31" t="s">
        <v>242</v>
      </c>
      <c r="KQ31" t="s">
        <v>242</v>
      </c>
      <c r="KU31" t="s">
        <v>230</v>
      </c>
      <c r="KY31" t="s">
        <v>230</v>
      </c>
      <c r="LC31" t="s">
        <v>230</v>
      </c>
      <c r="LH31" t="s">
        <v>231</v>
      </c>
      <c r="LL31" t="s">
        <v>231</v>
      </c>
      <c r="LO31" t="s">
        <v>230</v>
      </c>
      <c r="LT31" t="s">
        <v>231</v>
      </c>
      <c r="LW31" t="s">
        <v>230</v>
      </c>
      <c r="MA31" t="s">
        <v>230</v>
      </c>
      <c r="MF31" t="s">
        <v>231</v>
      </c>
      <c r="MJ31" t="s">
        <v>231</v>
      </c>
      <c r="MN31" t="s">
        <v>231</v>
      </c>
      <c r="MQ31" t="s">
        <v>230</v>
      </c>
      <c r="MV31" t="s">
        <v>231</v>
      </c>
      <c r="MZ31" t="s">
        <v>231</v>
      </c>
      <c r="NC31" t="s">
        <v>230</v>
      </c>
      <c r="NG31" t="s">
        <v>230</v>
      </c>
      <c r="NM31" t="s">
        <v>232</v>
      </c>
      <c r="NQ31" t="s">
        <v>232</v>
      </c>
      <c r="NT31" t="s">
        <v>231</v>
      </c>
      <c r="NX31" t="s">
        <v>231</v>
      </c>
      <c r="OA31" t="s">
        <v>230</v>
      </c>
      <c r="OF31" t="s">
        <v>231</v>
      </c>
      <c r="OJ31" t="s">
        <v>231</v>
      </c>
    </row>
    <row r="32" spans="1:402">
      <c r="A32" t="s">
        <v>384</v>
      </c>
      <c r="B32" t="s">
        <v>94</v>
      </c>
      <c r="D32" t="s">
        <v>94</v>
      </c>
      <c r="F32" t="s">
        <v>94</v>
      </c>
      <c r="I32" t="s">
        <v>97</v>
      </c>
      <c r="L32" t="s">
        <v>100</v>
      </c>
      <c r="R32" t="s">
        <v>106</v>
      </c>
      <c r="T32" t="s">
        <v>267</v>
      </c>
      <c r="U32" t="s">
        <v>249</v>
      </c>
      <c r="V32" t="s">
        <v>257</v>
      </c>
      <c r="AA32" t="s">
        <v>112</v>
      </c>
      <c r="AE32" t="s">
        <v>95</v>
      </c>
      <c r="AH32" t="s">
        <v>95</v>
      </c>
      <c r="AL32" t="s">
        <v>117</v>
      </c>
      <c r="AS32" t="s">
        <v>124</v>
      </c>
      <c r="AU32" t="s">
        <v>385</v>
      </c>
      <c r="AX32" t="s">
        <v>128</v>
      </c>
      <c r="BA32" t="s">
        <v>127</v>
      </c>
      <c r="BF32" t="s">
        <v>128</v>
      </c>
      <c r="BJ32" t="s">
        <v>128</v>
      </c>
      <c r="BM32" t="s">
        <v>127</v>
      </c>
      <c r="BR32" t="s">
        <v>128</v>
      </c>
      <c r="BW32" t="s">
        <v>129</v>
      </c>
      <c r="BY32" t="s">
        <v>127</v>
      </c>
      <c r="CC32" t="s">
        <v>127</v>
      </c>
      <c r="CH32" t="s">
        <v>128</v>
      </c>
      <c r="CL32" t="s">
        <v>128</v>
      </c>
      <c r="CO32" t="s">
        <v>127</v>
      </c>
      <c r="CU32" t="s">
        <v>129</v>
      </c>
      <c r="CY32" t="s">
        <v>129</v>
      </c>
      <c r="DC32" t="s">
        <v>129</v>
      </c>
      <c r="DD32" t="s">
        <v>126</v>
      </c>
      <c r="DH32" t="s">
        <v>126</v>
      </c>
      <c r="DM32" t="s">
        <v>127</v>
      </c>
      <c r="DP32" t="s">
        <v>126</v>
      </c>
      <c r="DU32" t="s">
        <v>127</v>
      </c>
      <c r="EA32" t="s">
        <v>129</v>
      </c>
      <c r="ED32" t="s">
        <v>128</v>
      </c>
      <c r="EI32" t="s">
        <v>129</v>
      </c>
      <c r="EL32" t="s">
        <v>128</v>
      </c>
      <c r="EQ32" t="s">
        <v>129</v>
      </c>
      <c r="ES32" t="s">
        <v>127</v>
      </c>
      <c r="EW32" t="s">
        <v>127</v>
      </c>
      <c r="FB32" t="s">
        <v>128</v>
      </c>
      <c r="FE32" t="s">
        <v>127</v>
      </c>
      <c r="FI32" t="s">
        <v>127</v>
      </c>
      <c r="FL32" t="s">
        <v>126</v>
      </c>
      <c r="FQ32" t="s">
        <v>95</v>
      </c>
      <c r="FS32" t="s">
        <v>95</v>
      </c>
      <c r="FT32" t="s">
        <v>94</v>
      </c>
      <c r="FW32" t="s">
        <v>95</v>
      </c>
      <c r="FY32" t="s">
        <v>95</v>
      </c>
      <c r="GA32" t="s">
        <v>95</v>
      </c>
      <c r="GC32" t="s">
        <v>95</v>
      </c>
      <c r="GE32" t="s">
        <v>95</v>
      </c>
      <c r="GG32" t="s">
        <v>95</v>
      </c>
      <c r="GI32" t="s">
        <v>95</v>
      </c>
      <c r="GK32" t="s">
        <v>95</v>
      </c>
      <c r="GM32" t="s">
        <v>95</v>
      </c>
      <c r="GO32" t="s">
        <v>95</v>
      </c>
      <c r="GQ32" t="s">
        <v>95</v>
      </c>
      <c r="GS32" t="s">
        <v>95</v>
      </c>
      <c r="GU32" t="s">
        <v>95</v>
      </c>
      <c r="GW32" t="s">
        <v>95</v>
      </c>
      <c r="GZ32" t="s">
        <v>244</v>
      </c>
      <c r="HC32" t="s">
        <v>242</v>
      </c>
      <c r="HH32" t="s">
        <v>244</v>
      </c>
      <c r="HM32" t="s">
        <v>243</v>
      </c>
      <c r="HQ32" t="s">
        <v>243</v>
      </c>
      <c r="HT32" t="s">
        <v>244</v>
      </c>
      <c r="HY32" t="s">
        <v>243</v>
      </c>
      <c r="ID32" t="s">
        <v>241</v>
      </c>
      <c r="IG32" t="s">
        <v>243</v>
      </c>
      <c r="IJ32" t="s">
        <v>244</v>
      </c>
      <c r="IN32" t="s">
        <v>244</v>
      </c>
      <c r="IQ32" t="s">
        <v>242</v>
      </c>
      <c r="IW32" t="s">
        <v>245</v>
      </c>
      <c r="JA32" t="s">
        <v>245</v>
      </c>
      <c r="JD32" t="s">
        <v>244</v>
      </c>
      <c r="JG32" t="s">
        <v>242</v>
      </c>
      <c r="JL32" t="s">
        <v>244</v>
      </c>
      <c r="JO32" t="s">
        <v>242</v>
      </c>
      <c r="JS32" t="s">
        <v>242</v>
      </c>
      <c r="JX32" t="s">
        <v>244</v>
      </c>
      <c r="KB32" t="s">
        <v>244</v>
      </c>
      <c r="KH32" t="s">
        <v>241</v>
      </c>
      <c r="KK32" t="s">
        <v>243</v>
      </c>
      <c r="KM32" t="s">
        <v>242</v>
      </c>
      <c r="KQ32" t="s">
        <v>242</v>
      </c>
      <c r="KU32" t="s">
        <v>230</v>
      </c>
      <c r="KZ32" t="s">
        <v>231</v>
      </c>
      <c r="LE32" t="s">
        <v>232</v>
      </c>
      <c r="LH32" t="s">
        <v>231</v>
      </c>
      <c r="LL32" t="s">
        <v>231</v>
      </c>
      <c r="LO32" t="s">
        <v>230</v>
      </c>
      <c r="LU32" t="s">
        <v>232</v>
      </c>
      <c r="LX32" t="s">
        <v>231</v>
      </c>
      <c r="MA32" t="s">
        <v>230</v>
      </c>
      <c r="MF32" t="s">
        <v>231</v>
      </c>
      <c r="MJ32" t="s">
        <v>231</v>
      </c>
      <c r="MO32" t="s">
        <v>232</v>
      </c>
      <c r="MQ32" t="s">
        <v>230</v>
      </c>
      <c r="MU32" t="s">
        <v>230</v>
      </c>
      <c r="NB32" t="s">
        <v>233</v>
      </c>
      <c r="NF32" t="s">
        <v>233</v>
      </c>
      <c r="NH32" t="s">
        <v>231</v>
      </c>
      <c r="NM32" t="s">
        <v>232</v>
      </c>
      <c r="NP32" t="s">
        <v>231</v>
      </c>
      <c r="NS32" t="s">
        <v>230</v>
      </c>
      <c r="NZ32" t="s">
        <v>233</v>
      </c>
      <c r="OA32" t="s">
        <v>230</v>
      </c>
      <c r="OF32" t="s">
        <v>231</v>
      </c>
      <c r="OL32" t="s">
        <v>233</v>
      </c>
    </row>
    <row r="33" spans="1:402">
      <c r="A33" t="s">
        <v>386</v>
      </c>
      <c r="B33" t="s">
        <v>94</v>
      </c>
      <c r="D33" t="s">
        <v>94</v>
      </c>
      <c r="F33" t="s">
        <v>94</v>
      </c>
      <c r="H33" t="s">
        <v>96</v>
      </c>
      <c r="N33" t="s">
        <v>102</v>
      </c>
      <c r="R33" t="s">
        <v>106</v>
      </c>
      <c r="T33" t="s">
        <v>387</v>
      </c>
      <c r="U33" t="s">
        <v>388</v>
      </c>
      <c r="V33" t="s">
        <v>238</v>
      </c>
      <c r="Y33" t="s">
        <v>110</v>
      </c>
      <c r="AD33" t="s">
        <v>94</v>
      </c>
      <c r="AF33">
        <v>1</v>
      </c>
      <c r="AH33" t="s">
        <v>95</v>
      </c>
      <c r="AI33">
        <v>0</v>
      </c>
      <c r="AN33" t="s">
        <v>119</v>
      </c>
      <c r="AS33" t="s">
        <v>124</v>
      </c>
      <c r="AU33" t="s">
        <v>389</v>
      </c>
      <c r="AV33" t="s">
        <v>126</v>
      </c>
      <c r="BC33" t="s">
        <v>129</v>
      </c>
      <c r="BF33" t="s">
        <v>128</v>
      </c>
      <c r="BJ33" t="s">
        <v>128</v>
      </c>
      <c r="BL33" t="s">
        <v>126</v>
      </c>
      <c r="BR33" t="s">
        <v>128</v>
      </c>
      <c r="BV33" t="s">
        <v>128</v>
      </c>
      <c r="BZ33" t="s">
        <v>128</v>
      </c>
      <c r="CB33" t="s">
        <v>126</v>
      </c>
      <c r="CH33" t="s">
        <v>128</v>
      </c>
      <c r="CK33" t="s">
        <v>127</v>
      </c>
      <c r="CO33" t="s">
        <v>127</v>
      </c>
      <c r="CT33" t="s">
        <v>128</v>
      </c>
      <c r="CY33" t="s">
        <v>129</v>
      </c>
      <c r="DC33" t="s">
        <v>129</v>
      </c>
      <c r="DG33" t="s">
        <v>129</v>
      </c>
      <c r="DH33" t="s">
        <v>126</v>
      </c>
      <c r="DN33" t="s">
        <v>128</v>
      </c>
      <c r="DP33" t="s">
        <v>126</v>
      </c>
      <c r="DT33" t="s">
        <v>126</v>
      </c>
      <c r="EA33" t="s">
        <v>129</v>
      </c>
      <c r="EC33" t="s">
        <v>127</v>
      </c>
      <c r="EI33" t="s">
        <v>129</v>
      </c>
      <c r="EM33" t="s">
        <v>129</v>
      </c>
      <c r="EQ33" t="s">
        <v>129</v>
      </c>
      <c r="ES33" t="s">
        <v>127</v>
      </c>
      <c r="EV33" t="s">
        <v>126</v>
      </c>
      <c r="FB33" t="s">
        <v>128</v>
      </c>
      <c r="FF33" t="s">
        <v>128</v>
      </c>
      <c r="FK33" t="s">
        <v>129</v>
      </c>
      <c r="FL33" t="s">
        <v>126</v>
      </c>
      <c r="FP33" t="s">
        <v>94</v>
      </c>
      <c r="FS33" t="s">
        <v>95</v>
      </c>
      <c r="FU33" t="s">
        <v>95</v>
      </c>
      <c r="FW33" t="s">
        <v>95</v>
      </c>
      <c r="FY33" t="s">
        <v>95</v>
      </c>
      <c r="GA33" t="s">
        <v>95</v>
      </c>
      <c r="GC33" t="s">
        <v>95</v>
      </c>
      <c r="GE33" t="s">
        <v>95</v>
      </c>
      <c r="GG33" t="s">
        <v>95</v>
      </c>
      <c r="GI33" t="s">
        <v>95</v>
      </c>
      <c r="GJ33" t="s">
        <v>94</v>
      </c>
      <c r="GL33" t="s">
        <v>94</v>
      </c>
      <c r="GO33" t="s">
        <v>95</v>
      </c>
      <c r="GQ33" t="s">
        <v>95</v>
      </c>
      <c r="GR33" t="s">
        <v>94</v>
      </c>
      <c r="GU33" t="s">
        <v>95</v>
      </c>
      <c r="GW33" t="s">
        <v>95</v>
      </c>
      <c r="GX33" t="s">
        <v>390</v>
      </c>
      <c r="GY33" t="s">
        <v>242</v>
      </c>
      <c r="HC33" t="s">
        <v>242</v>
      </c>
      <c r="HG33" t="s">
        <v>242</v>
      </c>
      <c r="HL33" t="s">
        <v>244</v>
      </c>
      <c r="HO33" t="s">
        <v>242</v>
      </c>
      <c r="HS33" t="s">
        <v>242</v>
      </c>
      <c r="HZ33" t="s">
        <v>241</v>
      </c>
      <c r="IB33" t="s">
        <v>244</v>
      </c>
      <c r="IE33" t="s">
        <v>242</v>
      </c>
      <c r="IJ33" t="s">
        <v>244</v>
      </c>
      <c r="IN33" t="s">
        <v>244</v>
      </c>
      <c r="IQ33" t="s">
        <v>242</v>
      </c>
      <c r="IW33" t="s">
        <v>245</v>
      </c>
      <c r="JA33" t="s">
        <v>245</v>
      </c>
      <c r="JC33" t="s">
        <v>242</v>
      </c>
      <c r="JH33" t="s">
        <v>244</v>
      </c>
      <c r="JL33" t="s">
        <v>244</v>
      </c>
      <c r="JO33" t="s">
        <v>242</v>
      </c>
      <c r="JS33" t="s">
        <v>242</v>
      </c>
      <c r="JW33" t="s">
        <v>242</v>
      </c>
      <c r="KA33" t="s">
        <v>242</v>
      </c>
      <c r="KE33" t="s">
        <v>242</v>
      </c>
      <c r="KL33" t="s">
        <v>241</v>
      </c>
      <c r="KM33" t="s">
        <v>242</v>
      </c>
      <c r="KR33" t="s">
        <v>244</v>
      </c>
      <c r="KU33" t="s">
        <v>230</v>
      </c>
      <c r="KY33" t="s">
        <v>230</v>
      </c>
      <c r="LC33" t="s">
        <v>230</v>
      </c>
      <c r="LG33" t="s">
        <v>230</v>
      </c>
      <c r="LK33" t="s">
        <v>230</v>
      </c>
      <c r="LO33" t="s">
        <v>230</v>
      </c>
      <c r="LS33" t="s">
        <v>230</v>
      </c>
      <c r="LY33" t="s">
        <v>232</v>
      </c>
      <c r="MB33" t="s">
        <v>231</v>
      </c>
      <c r="MF33" t="s">
        <v>231</v>
      </c>
      <c r="ML33" t="s">
        <v>233</v>
      </c>
      <c r="MO33" t="s">
        <v>232</v>
      </c>
      <c r="MQ33" t="s">
        <v>230</v>
      </c>
      <c r="MW33" t="s">
        <v>232</v>
      </c>
      <c r="MY33" t="s">
        <v>230</v>
      </c>
      <c r="ND33" t="s">
        <v>231</v>
      </c>
      <c r="NH33" t="s">
        <v>231</v>
      </c>
      <c r="NM33" t="s">
        <v>232</v>
      </c>
      <c r="NP33" t="s">
        <v>231</v>
      </c>
      <c r="NV33" t="s">
        <v>233</v>
      </c>
      <c r="NW33" t="s">
        <v>230</v>
      </c>
      <c r="OC33" t="s">
        <v>232</v>
      </c>
      <c r="OH33" t="s">
        <v>233</v>
      </c>
      <c r="OK33" t="s">
        <v>232</v>
      </c>
    </row>
    <row r="34" spans="1:402">
      <c r="A34" t="s">
        <v>391</v>
      </c>
      <c r="B34" t="s">
        <v>94</v>
      </c>
      <c r="D34" t="s">
        <v>94</v>
      </c>
      <c r="F34" t="s">
        <v>94</v>
      </c>
      <c r="H34" t="s">
        <v>96</v>
      </c>
      <c r="L34" t="s">
        <v>100</v>
      </c>
      <c r="S34" t="s">
        <v>392</v>
      </c>
      <c r="T34" t="s">
        <v>262</v>
      </c>
      <c r="U34" t="s">
        <v>249</v>
      </c>
      <c r="V34" t="s">
        <v>268</v>
      </c>
      <c r="AA34" t="s">
        <v>112</v>
      </c>
      <c r="AE34" t="s">
        <v>95</v>
      </c>
      <c r="AH34" t="s">
        <v>95</v>
      </c>
      <c r="AM34" t="s">
        <v>118</v>
      </c>
      <c r="AR34" t="s">
        <v>123</v>
      </c>
      <c r="AU34" t="s">
        <v>393</v>
      </c>
      <c r="AX34" t="s">
        <v>128</v>
      </c>
      <c r="AZ34" t="s">
        <v>126</v>
      </c>
      <c r="BG34" t="s">
        <v>129</v>
      </c>
      <c r="BJ34" t="s">
        <v>128</v>
      </c>
      <c r="BM34" t="s">
        <v>127</v>
      </c>
      <c r="BR34" t="s">
        <v>128</v>
      </c>
      <c r="BW34" t="s">
        <v>129</v>
      </c>
      <c r="BX34" t="s">
        <v>126</v>
      </c>
      <c r="CD34" t="s">
        <v>128</v>
      </c>
      <c r="CG34" t="s">
        <v>127</v>
      </c>
      <c r="CL34" t="s">
        <v>128</v>
      </c>
      <c r="CO34" t="s">
        <v>127</v>
      </c>
      <c r="CR34" t="s">
        <v>126</v>
      </c>
      <c r="CX34" t="s">
        <v>128</v>
      </c>
      <c r="DC34" t="s">
        <v>129</v>
      </c>
      <c r="DF34" t="s">
        <v>128</v>
      </c>
      <c r="DH34" t="s">
        <v>126</v>
      </c>
      <c r="DL34" t="s">
        <v>126</v>
      </c>
      <c r="DP34" t="s">
        <v>126</v>
      </c>
      <c r="DU34" t="s">
        <v>127</v>
      </c>
      <c r="EA34" t="s">
        <v>129</v>
      </c>
      <c r="EC34" t="s">
        <v>127</v>
      </c>
      <c r="EI34" t="s">
        <v>129</v>
      </c>
      <c r="EL34" t="s">
        <v>128</v>
      </c>
      <c r="EO34" t="s">
        <v>127</v>
      </c>
      <c r="ET34" t="s">
        <v>128</v>
      </c>
      <c r="EW34" t="s">
        <v>127</v>
      </c>
      <c r="EZ34" t="s">
        <v>126</v>
      </c>
      <c r="FF34" t="s">
        <v>128</v>
      </c>
      <c r="FI34" t="s">
        <v>127</v>
      </c>
      <c r="FN34" t="s">
        <v>128</v>
      </c>
      <c r="FP34" t="s">
        <v>94</v>
      </c>
      <c r="FS34" t="s">
        <v>95</v>
      </c>
      <c r="FU34" t="s">
        <v>95</v>
      </c>
      <c r="FW34" t="s">
        <v>95</v>
      </c>
      <c r="FY34" t="s">
        <v>95</v>
      </c>
      <c r="GA34" t="s">
        <v>95</v>
      </c>
      <c r="GC34" t="s">
        <v>95</v>
      </c>
      <c r="GE34" t="s">
        <v>95</v>
      </c>
      <c r="GG34" t="s">
        <v>95</v>
      </c>
      <c r="GI34" t="s">
        <v>95</v>
      </c>
      <c r="GJ34" t="s">
        <v>94</v>
      </c>
      <c r="GL34" t="s">
        <v>94</v>
      </c>
      <c r="GO34" t="s">
        <v>95</v>
      </c>
      <c r="GQ34" t="s">
        <v>95</v>
      </c>
      <c r="GS34" t="s">
        <v>95</v>
      </c>
      <c r="GU34" t="s">
        <v>95</v>
      </c>
      <c r="GW34" t="s">
        <v>95</v>
      </c>
      <c r="GX34" t="s">
        <v>394</v>
      </c>
      <c r="HA34" t="s">
        <v>243</v>
      </c>
      <c r="HF34" t="s">
        <v>241</v>
      </c>
      <c r="HH34" t="s">
        <v>244</v>
      </c>
      <c r="HN34" t="s">
        <v>241</v>
      </c>
      <c r="HR34" t="s">
        <v>241</v>
      </c>
      <c r="HV34" t="s">
        <v>241</v>
      </c>
      <c r="HZ34" t="s">
        <v>241</v>
      </c>
      <c r="ID34" t="s">
        <v>241</v>
      </c>
      <c r="IH34" t="s">
        <v>241</v>
      </c>
      <c r="IL34" t="s">
        <v>241</v>
      </c>
      <c r="IO34" t="s">
        <v>243</v>
      </c>
      <c r="IR34" t="s">
        <v>244</v>
      </c>
      <c r="IW34" t="s">
        <v>245</v>
      </c>
      <c r="JB34" t="s">
        <v>253</v>
      </c>
      <c r="JE34" t="s">
        <v>245</v>
      </c>
      <c r="JJ34" t="s">
        <v>253</v>
      </c>
      <c r="JN34" t="s">
        <v>253</v>
      </c>
      <c r="JP34" t="s">
        <v>244</v>
      </c>
      <c r="JU34" t="s">
        <v>243</v>
      </c>
      <c r="JY34" t="s">
        <v>243</v>
      </c>
      <c r="KD34" t="s">
        <v>241</v>
      </c>
      <c r="KE34" t="s">
        <v>242</v>
      </c>
      <c r="KL34" t="s">
        <v>241</v>
      </c>
      <c r="KP34" t="s">
        <v>241</v>
      </c>
      <c r="KQ34" t="s">
        <v>242</v>
      </c>
      <c r="KX34" t="s">
        <v>233</v>
      </c>
      <c r="LB34" t="s">
        <v>233</v>
      </c>
      <c r="LE34" t="s">
        <v>232</v>
      </c>
      <c r="LJ34" t="s">
        <v>233</v>
      </c>
      <c r="LN34" t="s">
        <v>233</v>
      </c>
      <c r="LP34" t="s">
        <v>231</v>
      </c>
      <c r="LV34" t="s">
        <v>233</v>
      </c>
      <c r="LZ34" t="s">
        <v>233</v>
      </c>
      <c r="MB34" t="s">
        <v>231</v>
      </c>
      <c r="MH34" t="s">
        <v>233</v>
      </c>
      <c r="ML34" t="s">
        <v>233</v>
      </c>
      <c r="MO34" t="s">
        <v>232</v>
      </c>
      <c r="MT34" t="s">
        <v>233</v>
      </c>
      <c r="MU34" t="s">
        <v>230</v>
      </c>
      <c r="MY34" t="s">
        <v>230</v>
      </c>
      <c r="NF34" t="s">
        <v>233</v>
      </c>
      <c r="NH34" t="s">
        <v>231</v>
      </c>
      <c r="NM34" t="s">
        <v>232</v>
      </c>
      <c r="NP34" t="s">
        <v>231</v>
      </c>
      <c r="NT34" t="s">
        <v>231</v>
      </c>
      <c r="NY34" t="s">
        <v>232</v>
      </c>
      <c r="OD34" t="s">
        <v>233</v>
      </c>
      <c r="OH34" t="s">
        <v>233</v>
      </c>
      <c r="OL34" t="s">
        <v>233</v>
      </c>
    </row>
    <row r="35" spans="1:402">
      <c r="A35" t="s">
        <v>395</v>
      </c>
      <c r="B35" t="s">
        <v>94</v>
      </c>
      <c r="D35" t="s">
        <v>94</v>
      </c>
      <c r="F35" t="s">
        <v>94</v>
      </c>
      <c r="H35" t="s">
        <v>96</v>
      </c>
      <c r="L35" t="s">
        <v>100</v>
      </c>
      <c r="R35" t="s">
        <v>106</v>
      </c>
      <c r="T35" t="s">
        <v>396</v>
      </c>
      <c r="U35" t="s">
        <v>397</v>
      </c>
      <c r="V35" t="s">
        <v>309</v>
      </c>
      <c r="AB35" t="s">
        <v>113</v>
      </c>
      <c r="AE35" t="s">
        <v>95</v>
      </c>
      <c r="AF35" t="s">
        <v>398</v>
      </c>
      <c r="AH35" t="s">
        <v>95</v>
      </c>
      <c r="AI35" t="s">
        <v>310</v>
      </c>
      <c r="AK35" t="s">
        <v>116</v>
      </c>
      <c r="AR35" t="s">
        <v>123</v>
      </c>
      <c r="AU35" t="s">
        <v>399</v>
      </c>
      <c r="AX35" t="s">
        <v>128</v>
      </c>
      <c r="AZ35" t="s">
        <v>126</v>
      </c>
      <c r="BE35" t="s">
        <v>127</v>
      </c>
      <c r="BJ35" t="s">
        <v>128</v>
      </c>
      <c r="BN35" t="s">
        <v>128</v>
      </c>
      <c r="BP35" t="s">
        <v>126</v>
      </c>
      <c r="BV35" t="s">
        <v>128</v>
      </c>
      <c r="BY35" t="s">
        <v>127</v>
      </c>
      <c r="CC35" t="s">
        <v>127</v>
      </c>
      <c r="CH35" t="s">
        <v>128</v>
      </c>
      <c r="CK35" t="s">
        <v>127</v>
      </c>
      <c r="CO35" t="s">
        <v>127</v>
      </c>
      <c r="CS35" t="s">
        <v>127</v>
      </c>
      <c r="CX35" t="s">
        <v>128</v>
      </c>
      <c r="DC35" t="s">
        <v>129</v>
      </c>
      <c r="DE35" t="s">
        <v>127</v>
      </c>
      <c r="DI35" t="s">
        <v>127</v>
      </c>
      <c r="DM35" t="s">
        <v>127</v>
      </c>
      <c r="DP35" t="s">
        <v>126</v>
      </c>
      <c r="DU35" t="s">
        <v>127</v>
      </c>
      <c r="DZ35" t="s">
        <v>128</v>
      </c>
      <c r="EE35" t="s">
        <v>129</v>
      </c>
      <c r="EI35" t="s">
        <v>129</v>
      </c>
      <c r="EK35" t="s">
        <v>127</v>
      </c>
      <c r="EP35" t="s">
        <v>128</v>
      </c>
      <c r="ES35" t="s">
        <v>127</v>
      </c>
      <c r="EW35" t="s">
        <v>127</v>
      </c>
      <c r="FB35" t="s">
        <v>128</v>
      </c>
      <c r="FF35" t="s">
        <v>128</v>
      </c>
      <c r="FH35" t="s">
        <v>126</v>
      </c>
      <c r="FN35" t="s">
        <v>128</v>
      </c>
      <c r="FP35" t="s">
        <v>94</v>
      </c>
      <c r="FR35" t="s">
        <v>94</v>
      </c>
      <c r="FU35" t="s">
        <v>95</v>
      </c>
      <c r="FW35" t="s">
        <v>95</v>
      </c>
      <c r="FY35" t="s">
        <v>95</v>
      </c>
      <c r="GA35" t="s">
        <v>95</v>
      </c>
      <c r="GC35" t="s">
        <v>95</v>
      </c>
      <c r="GE35" t="s">
        <v>95</v>
      </c>
      <c r="GG35" t="s">
        <v>95</v>
      </c>
      <c r="GI35" t="s">
        <v>95</v>
      </c>
      <c r="GJ35" t="s">
        <v>94</v>
      </c>
      <c r="GL35" t="s">
        <v>94</v>
      </c>
      <c r="GO35" t="s">
        <v>95</v>
      </c>
      <c r="GQ35" t="s">
        <v>95</v>
      </c>
      <c r="GS35" t="s">
        <v>95</v>
      </c>
      <c r="GU35" t="s">
        <v>95</v>
      </c>
      <c r="GW35" t="s">
        <v>95</v>
      </c>
      <c r="GX35" t="s">
        <v>400</v>
      </c>
      <c r="GZ35" t="s">
        <v>244</v>
      </c>
      <c r="HD35" t="s">
        <v>244</v>
      </c>
      <c r="HH35" t="s">
        <v>244</v>
      </c>
      <c r="HK35" t="s">
        <v>242</v>
      </c>
      <c r="HO35" t="s">
        <v>242</v>
      </c>
      <c r="HT35" t="s">
        <v>244</v>
      </c>
      <c r="HX35" t="s">
        <v>244</v>
      </c>
      <c r="IB35" t="s">
        <v>244</v>
      </c>
      <c r="IE35" t="s">
        <v>242</v>
      </c>
      <c r="II35" t="s">
        <v>242</v>
      </c>
      <c r="IN35" t="s">
        <v>244</v>
      </c>
      <c r="IQ35" t="s">
        <v>242</v>
      </c>
      <c r="IV35" t="s">
        <v>244</v>
      </c>
      <c r="IY35" t="s">
        <v>242</v>
      </c>
      <c r="JC35" t="s">
        <v>242</v>
      </c>
      <c r="JH35" t="s">
        <v>244</v>
      </c>
      <c r="JK35" t="s">
        <v>242</v>
      </c>
      <c r="JP35" t="s">
        <v>244</v>
      </c>
      <c r="JS35" t="s">
        <v>242</v>
      </c>
      <c r="JX35" t="s">
        <v>244</v>
      </c>
      <c r="KA35" t="s">
        <v>242</v>
      </c>
      <c r="KE35" t="s">
        <v>242</v>
      </c>
      <c r="KI35" t="s">
        <v>242</v>
      </c>
      <c r="KN35" t="s">
        <v>244</v>
      </c>
      <c r="KQ35" t="s">
        <v>242</v>
      </c>
      <c r="KU35" t="s">
        <v>230</v>
      </c>
      <c r="KZ35" t="s">
        <v>231</v>
      </c>
      <c r="LC35" t="s">
        <v>230</v>
      </c>
      <c r="LH35" t="s">
        <v>231</v>
      </c>
      <c r="LK35" t="s">
        <v>230</v>
      </c>
      <c r="LO35" t="s">
        <v>230</v>
      </c>
      <c r="LT35" t="s">
        <v>231</v>
      </c>
      <c r="LX35" t="s">
        <v>231</v>
      </c>
      <c r="MA35" t="s">
        <v>230</v>
      </c>
      <c r="MF35" t="s">
        <v>231</v>
      </c>
      <c r="MJ35" t="s">
        <v>231</v>
      </c>
      <c r="MO35" t="s">
        <v>232</v>
      </c>
      <c r="MR35" t="s">
        <v>231</v>
      </c>
      <c r="MV35" t="s">
        <v>231</v>
      </c>
      <c r="MY35" t="s">
        <v>230</v>
      </c>
      <c r="ND35" t="s">
        <v>231</v>
      </c>
      <c r="NH35" t="s">
        <v>231</v>
      </c>
      <c r="NL35" t="s">
        <v>231</v>
      </c>
      <c r="NP35" t="s">
        <v>231</v>
      </c>
      <c r="NS35" t="s">
        <v>230</v>
      </c>
      <c r="NX35" t="s">
        <v>231</v>
      </c>
      <c r="OA35" t="s">
        <v>230</v>
      </c>
      <c r="OF35" t="s">
        <v>231</v>
      </c>
      <c r="OJ35" t="s">
        <v>231</v>
      </c>
    </row>
    <row r="36" spans="1:402">
      <c r="A36" t="s">
        <v>401</v>
      </c>
      <c r="B36" t="s">
        <v>94</v>
      </c>
      <c r="D36" t="s">
        <v>94</v>
      </c>
      <c r="F36" t="s">
        <v>94</v>
      </c>
      <c r="H36" t="s">
        <v>96</v>
      </c>
      <c r="M36" t="s">
        <v>101</v>
      </c>
      <c r="R36" t="s">
        <v>106</v>
      </c>
      <c r="T36" t="s">
        <v>402</v>
      </c>
      <c r="U36" t="s">
        <v>397</v>
      </c>
      <c r="V36" t="s">
        <v>403</v>
      </c>
      <c r="W36" t="s">
        <v>108</v>
      </c>
      <c r="AE36" t="s">
        <v>95</v>
      </c>
      <c r="AF36" t="s">
        <v>264</v>
      </c>
      <c r="AH36" t="s">
        <v>95</v>
      </c>
      <c r="AI36" t="s">
        <v>258</v>
      </c>
      <c r="AM36" t="s">
        <v>118</v>
      </c>
      <c r="AT36" t="s">
        <v>125</v>
      </c>
      <c r="AU36" t="s">
        <v>404</v>
      </c>
      <c r="AW36" t="s">
        <v>127</v>
      </c>
      <c r="BA36" t="s">
        <v>127</v>
      </c>
      <c r="BE36" t="s">
        <v>127</v>
      </c>
      <c r="BJ36" t="s">
        <v>128</v>
      </c>
      <c r="BL36" t="s">
        <v>126</v>
      </c>
      <c r="BP36" t="s">
        <v>126</v>
      </c>
      <c r="BU36" t="s">
        <v>127</v>
      </c>
      <c r="BY36" t="s">
        <v>127</v>
      </c>
      <c r="CC36" t="s">
        <v>127</v>
      </c>
      <c r="CH36" t="s">
        <v>128</v>
      </c>
      <c r="CJ36" t="s">
        <v>126</v>
      </c>
      <c r="CO36" t="s">
        <v>127</v>
      </c>
      <c r="CU36" t="s">
        <v>129</v>
      </c>
      <c r="CV36" t="s">
        <v>126</v>
      </c>
      <c r="DA36" t="s">
        <v>127</v>
      </c>
      <c r="DD36" t="s">
        <v>126</v>
      </c>
      <c r="DH36" t="s">
        <v>126</v>
      </c>
      <c r="DM36" t="s">
        <v>127</v>
      </c>
      <c r="DR36" t="s">
        <v>128</v>
      </c>
      <c r="DV36" t="s">
        <v>128</v>
      </c>
      <c r="DZ36" t="s">
        <v>128</v>
      </c>
      <c r="ED36" t="s">
        <v>128</v>
      </c>
      <c r="EH36" t="s">
        <v>128</v>
      </c>
      <c r="EK36" t="s">
        <v>127</v>
      </c>
      <c r="EP36" t="s">
        <v>128</v>
      </c>
      <c r="ET36" t="s">
        <v>128</v>
      </c>
      <c r="EW36" t="s">
        <v>127</v>
      </c>
      <c r="FB36" t="s">
        <v>128</v>
      </c>
      <c r="FE36" t="s">
        <v>127</v>
      </c>
      <c r="FH36" t="s">
        <v>126</v>
      </c>
      <c r="FM36" t="s">
        <v>127</v>
      </c>
      <c r="FQ36" t="s">
        <v>95</v>
      </c>
      <c r="FS36" t="s">
        <v>95</v>
      </c>
      <c r="FU36" t="s">
        <v>95</v>
      </c>
      <c r="FW36" t="s">
        <v>95</v>
      </c>
      <c r="FY36" t="s">
        <v>95</v>
      </c>
      <c r="GA36" t="s">
        <v>95</v>
      </c>
      <c r="GC36" t="s">
        <v>95</v>
      </c>
      <c r="GE36" t="s">
        <v>95</v>
      </c>
      <c r="GG36" t="s">
        <v>95</v>
      </c>
      <c r="GI36" t="s">
        <v>95</v>
      </c>
      <c r="GJ36" t="s">
        <v>94</v>
      </c>
      <c r="GM36" t="s">
        <v>95</v>
      </c>
      <c r="GO36" t="s">
        <v>95</v>
      </c>
      <c r="GQ36" t="s">
        <v>95</v>
      </c>
      <c r="GS36" t="s">
        <v>95</v>
      </c>
      <c r="GU36" t="s">
        <v>95</v>
      </c>
      <c r="GW36" t="s">
        <v>95</v>
      </c>
      <c r="GX36" t="s">
        <v>405</v>
      </c>
      <c r="GZ36" t="s">
        <v>244</v>
      </c>
      <c r="HC36" t="s">
        <v>242</v>
      </c>
      <c r="HG36" t="s">
        <v>242</v>
      </c>
      <c r="HK36" t="s">
        <v>242</v>
      </c>
      <c r="HO36" t="s">
        <v>242</v>
      </c>
      <c r="HS36" t="s">
        <v>242</v>
      </c>
      <c r="HX36" t="s">
        <v>244</v>
      </c>
      <c r="IB36" t="s">
        <v>244</v>
      </c>
      <c r="IF36" t="s">
        <v>244</v>
      </c>
      <c r="IK36" t="s">
        <v>243</v>
      </c>
      <c r="IM36" t="s">
        <v>242</v>
      </c>
      <c r="IQ36" t="s">
        <v>242</v>
      </c>
      <c r="IV36" t="s">
        <v>244</v>
      </c>
      <c r="JB36" t="s">
        <v>253</v>
      </c>
      <c r="JC36" t="s">
        <v>242</v>
      </c>
      <c r="JG36" t="s">
        <v>242</v>
      </c>
      <c r="JL36" t="s">
        <v>244</v>
      </c>
      <c r="JP36" t="s">
        <v>244</v>
      </c>
      <c r="JS36" t="s">
        <v>242</v>
      </c>
      <c r="JW36" t="s">
        <v>242</v>
      </c>
      <c r="KA36" t="s">
        <v>242</v>
      </c>
      <c r="KE36" t="s">
        <v>242</v>
      </c>
      <c r="KJ36" t="s">
        <v>244</v>
      </c>
      <c r="KN36" t="s">
        <v>244</v>
      </c>
      <c r="KQ36" t="s">
        <v>242</v>
      </c>
      <c r="KU36" t="s">
        <v>230</v>
      </c>
      <c r="KY36" t="s">
        <v>230</v>
      </c>
      <c r="LC36" t="s">
        <v>230</v>
      </c>
      <c r="LH36" t="s">
        <v>231</v>
      </c>
      <c r="LL36" t="s">
        <v>231</v>
      </c>
      <c r="LO36" t="s">
        <v>230</v>
      </c>
      <c r="LT36" t="s">
        <v>231</v>
      </c>
      <c r="LX36" t="s">
        <v>231</v>
      </c>
      <c r="MB36" t="s">
        <v>231</v>
      </c>
      <c r="MF36" t="s">
        <v>231</v>
      </c>
      <c r="MJ36" t="s">
        <v>231</v>
      </c>
      <c r="MO36" t="s">
        <v>232</v>
      </c>
      <c r="MS36" t="s">
        <v>232</v>
      </c>
      <c r="MW36" t="s">
        <v>232</v>
      </c>
      <c r="MY36" t="s">
        <v>230</v>
      </c>
      <c r="NC36" t="s">
        <v>230</v>
      </c>
      <c r="NH36" t="s">
        <v>231</v>
      </c>
      <c r="NL36" t="s">
        <v>231</v>
      </c>
      <c r="NP36" t="s">
        <v>231</v>
      </c>
      <c r="NT36" t="s">
        <v>231</v>
      </c>
      <c r="NY36" t="s">
        <v>232</v>
      </c>
      <c r="OB36" t="s">
        <v>231</v>
      </c>
      <c r="OG36" t="s">
        <v>232</v>
      </c>
      <c r="OJ36" t="s">
        <v>231</v>
      </c>
    </row>
    <row r="37" spans="1:402">
      <c r="A37" s="6" t="s">
        <v>406</v>
      </c>
      <c r="B37" t="s">
        <v>94</v>
      </c>
      <c r="D37" t="s">
        <v>94</v>
      </c>
      <c r="F37" t="s">
        <v>94</v>
      </c>
      <c r="I37" t="s">
        <v>97</v>
      </c>
      <c r="M37" t="s">
        <v>101</v>
      </c>
      <c r="R37" t="s">
        <v>106</v>
      </c>
      <c r="T37" t="s">
        <v>407</v>
      </c>
      <c r="U37" t="s">
        <v>249</v>
      </c>
      <c r="V37" t="s">
        <v>238</v>
      </c>
      <c r="AA37" t="s">
        <v>112</v>
      </c>
      <c r="AE37" t="s">
        <v>95</v>
      </c>
      <c r="AH37" t="s">
        <v>95</v>
      </c>
      <c r="AO37" t="s">
        <v>120</v>
      </c>
      <c r="AT37" t="s">
        <v>125</v>
      </c>
      <c r="AU37" t="s">
        <v>408</v>
      </c>
      <c r="AX37" t="s">
        <v>128</v>
      </c>
      <c r="BB37" t="s">
        <v>128</v>
      </c>
      <c r="BE37" t="s">
        <v>127</v>
      </c>
      <c r="BJ37" t="s">
        <v>128</v>
      </c>
      <c r="BN37" t="s">
        <v>128</v>
      </c>
      <c r="BS37" t="s">
        <v>129</v>
      </c>
      <c r="BV37" t="s">
        <v>128</v>
      </c>
      <c r="BY37" t="s">
        <v>127</v>
      </c>
      <c r="CD37" t="s">
        <v>128</v>
      </c>
      <c r="CG37" t="s">
        <v>127</v>
      </c>
      <c r="CK37" t="s">
        <v>127</v>
      </c>
      <c r="CN37" t="s">
        <v>126</v>
      </c>
      <c r="CU37" t="s">
        <v>129</v>
      </c>
      <c r="CW37" t="s">
        <v>127</v>
      </c>
      <c r="DB37" t="s">
        <v>128</v>
      </c>
      <c r="DD37" t="s">
        <v>126</v>
      </c>
      <c r="DH37" t="s">
        <v>126</v>
      </c>
      <c r="DL37" t="s">
        <v>126</v>
      </c>
      <c r="DQ37" t="s">
        <v>127</v>
      </c>
      <c r="DV37" t="s">
        <v>128</v>
      </c>
      <c r="EA37" t="s">
        <v>129</v>
      </c>
      <c r="ED37" t="s">
        <v>128</v>
      </c>
      <c r="EF37" t="s">
        <v>126</v>
      </c>
      <c r="EL37" t="s">
        <v>128</v>
      </c>
      <c r="EQ37" t="s">
        <v>129</v>
      </c>
      <c r="ET37" t="s">
        <v>128</v>
      </c>
      <c r="EV37" t="s">
        <v>126</v>
      </c>
      <c r="FB37" t="s">
        <v>128</v>
      </c>
      <c r="FE37" t="s">
        <v>127</v>
      </c>
      <c r="FH37" t="s">
        <v>126</v>
      </c>
      <c r="FM37" t="s">
        <v>127</v>
      </c>
      <c r="FP37" t="s">
        <v>94</v>
      </c>
      <c r="FS37" t="s">
        <v>95</v>
      </c>
      <c r="FU37" t="s">
        <v>95</v>
      </c>
      <c r="FW37" t="s">
        <v>95</v>
      </c>
      <c r="FY37" t="s">
        <v>95</v>
      </c>
      <c r="GA37" t="s">
        <v>95</v>
      </c>
      <c r="GC37" t="s">
        <v>95</v>
      </c>
      <c r="GE37" t="s">
        <v>95</v>
      </c>
      <c r="GG37" t="s">
        <v>95</v>
      </c>
      <c r="GI37" t="s">
        <v>95</v>
      </c>
      <c r="GK37" t="s">
        <v>95</v>
      </c>
      <c r="GM37" t="s">
        <v>95</v>
      </c>
      <c r="GO37" t="s">
        <v>95</v>
      </c>
      <c r="GQ37" t="s">
        <v>95</v>
      </c>
      <c r="GS37" t="s">
        <v>95</v>
      </c>
      <c r="GU37" t="s">
        <v>95</v>
      </c>
      <c r="GW37" t="s">
        <v>95</v>
      </c>
      <c r="GX37" t="s">
        <v>409</v>
      </c>
      <c r="GZ37" t="s">
        <v>244</v>
      </c>
      <c r="HC37" t="s">
        <v>242</v>
      </c>
      <c r="HG37" t="s">
        <v>242</v>
      </c>
      <c r="HL37" t="s">
        <v>244</v>
      </c>
      <c r="HO37" t="s">
        <v>242</v>
      </c>
      <c r="HV37" t="s">
        <v>241</v>
      </c>
      <c r="HY37" t="s">
        <v>243</v>
      </c>
      <c r="IC37" t="s">
        <v>243</v>
      </c>
      <c r="IG37" t="s">
        <v>243</v>
      </c>
      <c r="IL37" t="s">
        <v>241</v>
      </c>
      <c r="IM37" t="s">
        <v>242</v>
      </c>
      <c r="IQ37" t="s">
        <v>242</v>
      </c>
      <c r="IV37" t="s">
        <v>244</v>
      </c>
      <c r="JB37" t="s">
        <v>253</v>
      </c>
      <c r="JC37" t="s">
        <v>242</v>
      </c>
      <c r="JG37" t="s">
        <v>242</v>
      </c>
      <c r="JM37" t="s">
        <v>245</v>
      </c>
      <c r="JO37" t="s">
        <v>242</v>
      </c>
      <c r="JS37" t="s">
        <v>242</v>
      </c>
      <c r="JW37" t="s">
        <v>242</v>
      </c>
      <c r="KB37" t="s">
        <v>244</v>
      </c>
      <c r="KE37" t="s">
        <v>242</v>
      </c>
      <c r="KI37" t="s">
        <v>242</v>
      </c>
      <c r="KM37" t="s">
        <v>242</v>
      </c>
      <c r="KQ37" t="s">
        <v>242</v>
      </c>
      <c r="KV37" t="s">
        <v>231</v>
      </c>
      <c r="KZ37" t="s">
        <v>231</v>
      </c>
      <c r="LC37" t="s">
        <v>230</v>
      </c>
      <c r="LI37" t="s">
        <v>232</v>
      </c>
      <c r="LK37" t="s">
        <v>230</v>
      </c>
      <c r="LO37" t="s">
        <v>230</v>
      </c>
      <c r="LU37" t="s">
        <v>232</v>
      </c>
      <c r="LW37" t="s">
        <v>230</v>
      </c>
      <c r="MA37" t="s">
        <v>230</v>
      </c>
      <c r="MF37" t="s">
        <v>231</v>
      </c>
      <c r="MI37" t="s">
        <v>230</v>
      </c>
      <c r="MM37" t="s">
        <v>230</v>
      </c>
      <c r="MQ37" t="s">
        <v>230</v>
      </c>
      <c r="MU37" t="s">
        <v>230</v>
      </c>
      <c r="MZ37" t="s">
        <v>231</v>
      </c>
      <c r="NE37" t="s">
        <v>232</v>
      </c>
      <c r="NJ37" t="s">
        <v>233</v>
      </c>
      <c r="NL37" t="s">
        <v>231</v>
      </c>
      <c r="NP37" t="s">
        <v>231</v>
      </c>
      <c r="NS37" t="s">
        <v>230</v>
      </c>
      <c r="NY37" t="s">
        <v>232</v>
      </c>
      <c r="OA37" t="s">
        <v>230</v>
      </c>
      <c r="OF37" t="s">
        <v>231</v>
      </c>
      <c r="OJ37" t="s">
        <v>231</v>
      </c>
    </row>
    <row r="38" spans="1:402">
      <c r="A38" s="6" t="s">
        <v>410</v>
      </c>
      <c r="B38" t="s">
        <v>94</v>
      </c>
      <c r="D38" t="s">
        <v>94</v>
      </c>
      <c r="F38" t="s">
        <v>94</v>
      </c>
      <c r="I38" t="s">
        <v>97</v>
      </c>
      <c r="M38" t="s">
        <v>101</v>
      </c>
      <c r="S38" t="s">
        <v>411</v>
      </c>
      <c r="T38" t="s">
        <v>412</v>
      </c>
      <c r="U38" t="s">
        <v>249</v>
      </c>
      <c r="V38" t="s">
        <v>238</v>
      </c>
      <c r="W38" t="s">
        <v>108</v>
      </c>
      <c r="AE38" t="s">
        <v>95</v>
      </c>
      <c r="AF38">
        <v>0</v>
      </c>
      <c r="AH38" t="s">
        <v>95</v>
      </c>
      <c r="AI38">
        <v>0</v>
      </c>
      <c r="AN38" t="s">
        <v>119</v>
      </c>
      <c r="AS38" t="s">
        <v>124</v>
      </c>
      <c r="AU38" t="s">
        <v>413</v>
      </c>
      <c r="AX38" t="s">
        <v>128</v>
      </c>
      <c r="BA38" t="s">
        <v>127</v>
      </c>
      <c r="BE38" t="s">
        <v>127</v>
      </c>
      <c r="BI38" t="s">
        <v>127</v>
      </c>
      <c r="BN38" t="s">
        <v>128</v>
      </c>
      <c r="BR38" t="s">
        <v>128</v>
      </c>
      <c r="BT38" t="s">
        <v>126</v>
      </c>
      <c r="BX38" t="s">
        <v>126</v>
      </c>
      <c r="CB38" t="s">
        <v>126</v>
      </c>
      <c r="CG38" t="s">
        <v>127</v>
      </c>
      <c r="CJ38" t="s">
        <v>126</v>
      </c>
      <c r="CO38" t="s">
        <v>127</v>
      </c>
      <c r="CS38" t="s">
        <v>127</v>
      </c>
      <c r="CV38" t="s">
        <v>126</v>
      </c>
      <c r="CZ38" t="s">
        <v>126</v>
      </c>
      <c r="DD38" t="s">
        <v>126</v>
      </c>
      <c r="DH38" t="s">
        <v>126</v>
      </c>
      <c r="DL38" t="s">
        <v>126</v>
      </c>
      <c r="DP38" t="s">
        <v>126</v>
      </c>
      <c r="DU38" t="s">
        <v>127</v>
      </c>
      <c r="DY38" t="s">
        <v>127</v>
      </c>
      <c r="EC38" t="s">
        <v>127</v>
      </c>
      <c r="EH38" t="s">
        <v>128</v>
      </c>
      <c r="EM38" t="s">
        <v>129</v>
      </c>
      <c r="EQ38" t="s">
        <v>129</v>
      </c>
      <c r="ES38" t="s">
        <v>127</v>
      </c>
      <c r="EV38" t="s">
        <v>126</v>
      </c>
      <c r="EZ38" t="s">
        <v>126</v>
      </c>
      <c r="FD38" t="s">
        <v>126</v>
      </c>
      <c r="FH38" t="s">
        <v>126</v>
      </c>
      <c r="FM38" t="s">
        <v>127</v>
      </c>
      <c r="FQ38" t="s">
        <v>95</v>
      </c>
      <c r="FS38" t="s">
        <v>95</v>
      </c>
      <c r="FU38" t="s">
        <v>95</v>
      </c>
      <c r="FW38" t="s">
        <v>95</v>
      </c>
      <c r="FY38" t="s">
        <v>95</v>
      </c>
      <c r="GA38" t="s">
        <v>95</v>
      </c>
      <c r="GC38" t="s">
        <v>95</v>
      </c>
      <c r="GE38" t="s">
        <v>95</v>
      </c>
      <c r="GG38" t="s">
        <v>95</v>
      </c>
      <c r="GH38" t="s">
        <v>94</v>
      </c>
      <c r="GJ38" t="s">
        <v>94</v>
      </c>
      <c r="GM38" t="s">
        <v>95</v>
      </c>
      <c r="GO38" t="s">
        <v>95</v>
      </c>
      <c r="GQ38" t="s">
        <v>95</v>
      </c>
      <c r="GS38" t="s">
        <v>95</v>
      </c>
      <c r="GU38" t="s">
        <v>95</v>
      </c>
      <c r="GW38" t="s">
        <v>95</v>
      </c>
      <c r="GX38" t="s">
        <v>414</v>
      </c>
      <c r="GZ38" t="s">
        <v>244</v>
      </c>
      <c r="HC38" t="s">
        <v>242</v>
      </c>
      <c r="HG38" t="s">
        <v>242</v>
      </c>
      <c r="HL38" t="s">
        <v>244</v>
      </c>
      <c r="HP38" t="s">
        <v>244</v>
      </c>
      <c r="HU38" t="s">
        <v>243</v>
      </c>
      <c r="HY38" t="s">
        <v>243</v>
      </c>
      <c r="IB38" t="s">
        <v>244</v>
      </c>
      <c r="IF38" t="s">
        <v>244</v>
      </c>
      <c r="IK38" t="s">
        <v>243</v>
      </c>
      <c r="IM38" t="s">
        <v>242</v>
      </c>
      <c r="IQ38" t="s">
        <v>242</v>
      </c>
      <c r="IV38" t="s">
        <v>244</v>
      </c>
      <c r="JA38" t="s">
        <v>245</v>
      </c>
      <c r="JC38" t="s">
        <v>242</v>
      </c>
      <c r="JG38" t="s">
        <v>242</v>
      </c>
      <c r="JL38" t="s">
        <v>244</v>
      </c>
      <c r="JQ38" t="s">
        <v>245</v>
      </c>
      <c r="JT38" t="s">
        <v>244</v>
      </c>
      <c r="JW38" t="s">
        <v>242</v>
      </c>
      <c r="KC38" t="s">
        <v>243</v>
      </c>
      <c r="KF38" t="s">
        <v>244</v>
      </c>
      <c r="KI38" t="s">
        <v>242</v>
      </c>
      <c r="KM38" t="s">
        <v>242</v>
      </c>
      <c r="KQ38" t="s">
        <v>242</v>
      </c>
      <c r="KV38" t="s">
        <v>231</v>
      </c>
      <c r="KZ38" t="s">
        <v>231</v>
      </c>
      <c r="LC38" t="s">
        <v>230</v>
      </c>
      <c r="LG38" t="s">
        <v>230</v>
      </c>
      <c r="LL38" t="s">
        <v>231</v>
      </c>
      <c r="LO38" t="s">
        <v>230</v>
      </c>
      <c r="LT38" t="s">
        <v>231</v>
      </c>
      <c r="LX38" t="s">
        <v>231</v>
      </c>
      <c r="MA38" t="s">
        <v>230</v>
      </c>
      <c r="MF38" t="s">
        <v>231</v>
      </c>
      <c r="MI38" t="s">
        <v>230</v>
      </c>
      <c r="MN38" t="s">
        <v>231</v>
      </c>
      <c r="MR38" t="s">
        <v>231</v>
      </c>
      <c r="MW38" t="s">
        <v>232</v>
      </c>
      <c r="MY38" t="s">
        <v>230</v>
      </c>
      <c r="ND38" t="s">
        <v>231</v>
      </c>
      <c r="NI38" t="s">
        <v>232</v>
      </c>
      <c r="NM38" t="s">
        <v>232</v>
      </c>
      <c r="NQ38" t="s">
        <v>232</v>
      </c>
      <c r="NT38" t="s">
        <v>231</v>
      </c>
      <c r="NW38" t="s">
        <v>230</v>
      </c>
      <c r="OA38" t="s">
        <v>230</v>
      </c>
      <c r="OF38" t="s">
        <v>231</v>
      </c>
      <c r="OK38" t="s">
        <v>232</v>
      </c>
    </row>
    <row r="39" spans="1:402">
      <c r="A39" t="s">
        <v>415</v>
      </c>
      <c r="B39" t="s">
        <v>94</v>
      </c>
      <c r="D39" t="s">
        <v>94</v>
      </c>
      <c r="F39" t="s">
        <v>94</v>
      </c>
      <c r="H39" t="s">
        <v>96</v>
      </c>
      <c r="L39" t="s">
        <v>100</v>
      </c>
      <c r="R39" t="s">
        <v>106</v>
      </c>
      <c r="T39" t="s">
        <v>416</v>
      </c>
      <c r="U39" t="s">
        <v>249</v>
      </c>
      <c r="V39" t="s">
        <v>238</v>
      </c>
      <c r="AB39" t="s">
        <v>113</v>
      </c>
      <c r="AE39" t="s">
        <v>95</v>
      </c>
      <c r="AH39" t="s">
        <v>95</v>
      </c>
      <c r="AO39" t="s">
        <v>120</v>
      </c>
      <c r="AS39" t="s">
        <v>124</v>
      </c>
      <c r="AU39" t="s">
        <v>417</v>
      </c>
      <c r="AW39" t="s">
        <v>127</v>
      </c>
      <c r="BA39" t="s">
        <v>127</v>
      </c>
      <c r="BE39" t="s">
        <v>127</v>
      </c>
      <c r="BI39" t="s">
        <v>127</v>
      </c>
      <c r="BL39" t="s">
        <v>126</v>
      </c>
      <c r="BR39" t="s">
        <v>128</v>
      </c>
      <c r="BU39" t="s">
        <v>127</v>
      </c>
      <c r="BX39" t="s">
        <v>126</v>
      </c>
      <c r="CB39" t="s">
        <v>126</v>
      </c>
      <c r="CF39" t="s">
        <v>126</v>
      </c>
      <c r="CL39" t="s">
        <v>128</v>
      </c>
      <c r="CO39" t="s">
        <v>127</v>
      </c>
      <c r="CR39" t="s">
        <v>126</v>
      </c>
      <c r="CW39" t="s">
        <v>127</v>
      </c>
      <c r="CZ39" t="s">
        <v>126</v>
      </c>
      <c r="DE39" t="s">
        <v>127</v>
      </c>
      <c r="DH39" t="s">
        <v>126</v>
      </c>
      <c r="DM39" t="s">
        <v>127</v>
      </c>
      <c r="DR39" t="s">
        <v>128</v>
      </c>
      <c r="DV39" t="s">
        <v>128</v>
      </c>
      <c r="EA39" t="s">
        <v>129</v>
      </c>
      <c r="EC39" t="s">
        <v>127</v>
      </c>
      <c r="EI39" t="s">
        <v>129</v>
      </c>
      <c r="EJ39" t="s">
        <v>126</v>
      </c>
      <c r="EP39" t="s">
        <v>128</v>
      </c>
      <c r="ES39" t="s">
        <v>127</v>
      </c>
      <c r="EZ39" t="s">
        <v>126</v>
      </c>
      <c r="FD39" t="s">
        <v>126</v>
      </c>
      <c r="FH39" t="s">
        <v>126</v>
      </c>
      <c r="FM39" t="s">
        <v>127</v>
      </c>
      <c r="FP39" t="s">
        <v>94</v>
      </c>
      <c r="FS39" t="s">
        <v>95</v>
      </c>
      <c r="FU39" t="s">
        <v>95</v>
      </c>
      <c r="FW39" t="s">
        <v>95</v>
      </c>
      <c r="FY39" t="s">
        <v>95</v>
      </c>
      <c r="GA39" t="s">
        <v>95</v>
      </c>
      <c r="GC39" t="s">
        <v>95</v>
      </c>
      <c r="GE39" t="s">
        <v>95</v>
      </c>
      <c r="GG39" t="s">
        <v>95</v>
      </c>
      <c r="GI39" t="s">
        <v>95</v>
      </c>
      <c r="GJ39" t="s">
        <v>94</v>
      </c>
      <c r="GM39" t="s">
        <v>95</v>
      </c>
      <c r="GO39" t="s">
        <v>95</v>
      </c>
      <c r="GQ39" t="s">
        <v>95</v>
      </c>
      <c r="GS39" t="s">
        <v>95</v>
      </c>
      <c r="GU39" t="s">
        <v>95</v>
      </c>
      <c r="GW39" t="s">
        <v>95</v>
      </c>
      <c r="GX39" t="s">
        <v>418</v>
      </c>
      <c r="GY39" t="s">
        <v>242</v>
      </c>
      <c r="HC39" t="s">
        <v>242</v>
      </c>
      <c r="HI39" t="s">
        <v>243</v>
      </c>
      <c r="HM39" t="s">
        <v>243</v>
      </c>
      <c r="HR39" t="s">
        <v>241</v>
      </c>
      <c r="HV39" t="s">
        <v>241</v>
      </c>
      <c r="HZ39" t="s">
        <v>241</v>
      </c>
      <c r="ID39" t="s">
        <v>241</v>
      </c>
      <c r="IH39" t="s">
        <v>241</v>
      </c>
      <c r="IL39" t="s">
        <v>241</v>
      </c>
      <c r="IP39" t="s">
        <v>241</v>
      </c>
      <c r="IR39" t="s">
        <v>244</v>
      </c>
      <c r="IX39" t="s">
        <v>253</v>
      </c>
      <c r="JB39" t="s">
        <v>253</v>
      </c>
      <c r="JF39" t="s">
        <v>253</v>
      </c>
      <c r="JG39" t="s">
        <v>242</v>
      </c>
      <c r="JN39" t="s">
        <v>253</v>
      </c>
      <c r="JQ39" t="s">
        <v>245</v>
      </c>
      <c r="JT39" t="s">
        <v>244</v>
      </c>
      <c r="JZ39" t="s">
        <v>241</v>
      </c>
      <c r="KD39" t="s">
        <v>241</v>
      </c>
      <c r="KE39" t="s">
        <v>242</v>
      </c>
      <c r="KI39" t="s">
        <v>242</v>
      </c>
      <c r="KM39" t="s">
        <v>242</v>
      </c>
      <c r="KS39" t="s">
        <v>243</v>
      </c>
      <c r="KU39" t="s">
        <v>230</v>
      </c>
      <c r="KZ39" t="s">
        <v>231</v>
      </c>
      <c r="LC39" t="s">
        <v>230</v>
      </c>
      <c r="LJ39" t="s">
        <v>233</v>
      </c>
      <c r="LM39" t="s">
        <v>232</v>
      </c>
      <c r="LP39" t="s">
        <v>231</v>
      </c>
      <c r="LV39" t="s">
        <v>233</v>
      </c>
      <c r="LY39" t="s">
        <v>232</v>
      </c>
      <c r="MB39" t="s">
        <v>231</v>
      </c>
      <c r="MH39" t="s">
        <v>233</v>
      </c>
      <c r="MK39" t="s">
        <v>232</v>
      </c>
      <c r="MN39" t="s">
        <v>231</v>
      </c>
      <c r="MR39" t="s">
        <v>231</v>
      </c>
      <c r="MX39" t="s">
        <v>233</v>
      </c>
      <c r="MZ39" t="s">
        <v>231</v>
      </c>
      <c r="NE39" t="s">
        <v>232</v>
      </c>
      <c r="NJ39" t="s">
        <v>233</v>
      </c>
      <c r="NM39" t="s">
        <v>232</v>
      </c>
      <c r="NR39" t="s">
        <v>233</v>
      </c>
      <c r="NU39" t="s">
        <v>232</v>
      </c>
      <c r="NY39" t="s">
        <v>232</v>
      </c>
      <c r="OC39" t="s">
        <v>232</v>
      </c>
      <c r="OG39" t="s">
        <v>232</v>
      </c>
      <c r="OJ39" t="s">
        <v>231</v>
      </c>
    </row>
    <row r="40" spans="1:402">
      <c r="A40" t="s">
        <v>419</v>
      </c>
      <c r="B40" t="s">
        <v>94</v>
      </c>
      <c r="D40" t="s">
        <v>94</v>
      </c>
      <c r="F40" t="s">
        <v>94</v>
      </c>
      <c r="I40" t="s">
        <v>97</v>
      </c>
      <c r="M40" t="s">
        <v>101</v>
      </c>
      <c r="R40" t="s">
        <v>106</v>
      </c>
      <c r="T40" t="s">
        <v>340</v>
      </c>
      <c r="U40" t="s">
        <v>249</v>
      </c>
      <c r="V40" t="s">
        <v>238</v>
      </c>
      <c r="AB40" t="s">
        <v>113</v>
      </c>
      <c r="AE40" t="s">
        <v>95</v>
      </c>
      <c r="AF40" t="s">
        <v>251</v>
      </c>
      <c r="AH40" t="s">
        <v>95</v>
      </c>
      <c r="AI40" t="s">
        <v>251</v>
      </c>
      <c r="AN40" t="s">
        <v>119</v>
      </c>
      <c r="AR40" t="s">
        <v>123</v>
      </c>
      <c r="AU40" t="s">
        <v>420</v>
      </c>
      <c r="AY40" t="s">
        <v>129</v>
      </c>
      <c r="BA40" t="s">
        <v>127</v>
      </c>
      <c r="BE40" t="s">
        <v>127</v>
      </c>
      <c r="BJ40" t="s">
        <v>128</v>
      </c>
      <c r="BM40" t="s">
        <v>127</v>
      </c>
      <c r="BP40" t="s">
        <v>126</v>
      </c>
      <c r="BV40" t="s">
        <v>128</v>
      </c>
      <c r="BZ40" t="s">
        <v>128</v>
      </c>
      <c r="CC40" t="s">
        <v>127</v>
      </c>
      <c r="CH40" t="s">
        <v>128</v>
      </c>
      <c r="CL40" t="s">
        <v>128</v>
      </c>
      <c r="CO40" t="s">
        <v>127</v>
      </c>
      <c r="CS40" t="s">
        <v>127</v>
      </c>
      <c r="CW40" t="s">
        <v>127</v>
      </c>
      <c r="DB40" t="s">
        <v>128</v>
      </c>
      <c r="DE40" t="s">
        <v>127</v>
      </c>
      <c r="DI40" t="s">
        <v>127</v>
      </c>
      <c r="DM40" t="s">
        <v>127</v>
      </c>
      <c r="DP40" t="s">
        <v>126</v>
      </c>
      <c r="DU40" t="s">
        <v>127</v>
      </c>
      <c r="DZ40" t="s">
        <v>128</v>
      </c>
      <c r="EB40" t="s">
        <v>126</v>
      </c>
      <c r="EG40" t="s">
        <v>127</v>
      </c>
      <c r="EK40" t="s">
        <v>127</v>
      </c>
      <c r="EP40" t="s">
        <v>128</v>
      </c>
      <c r="ES40" t="s">
        <v>127</v>
      </c>
      <c r="EV40" t="s">
        <v>126</v>
      </c>
      <c r="FB40" t="s">
        <v>128</v>
      </c>
      <c r="FE40" t="s">
        <v>127</v>
      </c>
      <c r="FI40" t="s">
        <v>127</v>
      </c>
      <c r="FN40" t="s">
        <v>128</v>
      </c>
      <c r="FP40" t="s">
        <v>94</v>
      </c>
      <c r="FS40" t="s">
        <v>95</v>
      </c>
      <c r="FU40" t="s">
        <v>95</v>
      </c>
      <c r="FW40" t="s">
        <v>95</v>
      </c>
      <c r="FY40" t="s">
        <v>95</v>
      </c>
      <c r="GA40" t="s">
        <v>95</v>
      </c>
      <c r="GC40" t="s">
        <v>95</v>
      </c>
      <c r="GE40" t="s">
        <v>95</v>
      </c>
      <c r="GG40" t="s">
        <v>95</v>
      </c>
      <c r="GH40" t="s">
        <v>94</v>
      </c>
      <c r="GJ40" t="s">
        <v>94</v>
      </c>
      <c r="GM40" t="s">
        <v>95</v>
      </c>
      <c r="GO40" t="s">
        <v>95</v>
      </c>
      <c r="GQ40" t="s">
        <v>95</v>
      </c>
      <c r="GS40" t="s">
        <v>95</v>
      </c>
      <c r="GU40" t="s">
        <v>95</v>
      </c>
      <c r="GW40" t="s">
        <v>95</v>
      </c>
      <c r="GX40" t="s">
        <v>421</v>
      </c>
      <c r="GZ40" t="s">
        <v>244</v>
      </c>
      <c r="HC40" t="s">
        <v>242</v>
      </c>
      <c r="HG40" t="s">
        <v>242</v>
      </c>
      <c r="HK40" t="s">
        <v>242</v>
      </c>
      <c r="HO40" t="s">
        <v>242</v>
      </c>
      <c r="HT40" t="s">
        <v>244</v>
      </c>
      <c r="HW40" t="s">
        <v>242</v>
      </c>
      <c r="IB40" t="s">
        <v>244</v>
      </c>
      <c r="IE40" t="s">
        <v>242</v>
      </c>
      <c r="II40" t="s">
        <v>242</v>
      </c>
      <c r="IN40" t="s">
        <v>244</v>
      </c>
      <c r="IQ40" t="s">
        <v>242</v>
      </c>
      <c r="IW40" t="s">
        <v>245</v>
      </c>
      <c r="IZ40" t="s">
        <v>244</v>
      </c>
      <c r="JD40" t="s">
        <v>244</v>
      </c>
      <c r="JG40" t="s">
        <v>242</v>
      </c>
      <c r="JL40" t="s">
        <v>244</v>
      </c>
      <c r="JO40" t="s">
        <v>242</v>
      </c>
      <c r="JS40" t="s">
        <v>242</v>
      </c>
      <c r="JW40" t="s">
        <v>242</v>
      </c>
      <c r="KD40" t="s">
        <v>241</v>
      </c>
      <c r="KH40" t="s">
        <v>241</v>
      </c>
      <c r="KJ40" t="s">
        <v>244</v>
      </c>
      <c r="KM40" t="s">
        <v>242</v>
      </c>
      <c r="KQ40" t="s">
        <v>242</v>
      </c>
      <c r="KU40" t="s">
        <v>230</v>
      </c>
      <c r="KY40" t="s">
        <v>230</v>
      </c>
      <c r="LC40" t="s">
        <v>230</v>
      </c>
      <c r="LG40" t="s">
        <v>230</v>
      </c>
      <c r="LK40" t="s">
        <v>230</v>
      </c>
      <c r="LO40" t="s">
        <v>230</v>
      </c>
      <c r="LS40" t="s">
        <v>230</v>
      </c>
      <c r="LW40" t="s">
        <v>230</v>
      </c>
      <c r="MA40" t="s">
        <v>230</v>
      </c>
      <c r="MF40" t="s">
        <v>231</v>
      </c>
      <c r="MJ40" t="s">
        <v>231</v>
      </c>
      <c r="MM40" t="s">
        <v>230</v>
      </c>
      <c r="MQ40" t="s">
        <v>230</v>
      </c>
      <c r="MV40" t="s">
        <v>231</v>
      </c>
      <c r="MY40" t="s">
        <v>230</v>
      </c>
      <c r="ND40" t="s">
        <v>231</v>
      </c>
      <c r="NH40" t="s">
        <v>231</v>
      </c>
      <c r="NK40" t="s">
        <v>230</v>
      </c>
      <c r="NO40" t="s">
        <v>230</v>
      </c>
      <c r="NT40" t="s">
        <v>231</v>
      </c>
      <c r="NW40" t="s">
        <v>230</v>
      </c>
      <c r="OA40" t="s">
        <v>230</v>
      </c>
      <c r="OF40" t="s">
        <v>231</v>
      </c>
      <c r="OJ40" t="s">
        <v>231</v>
      </c>
    </row>
    <row r="41" spans="1:402">
      <c r="A41" t="s">
        <v>422</v>
      </c>
      <c r="B41" t="s">
        <v>94</v>
      </c>
      <c r="D41" t="s">
        <v>94</v>
      </c>
      <c r="F41" t="s">
        <v>94</v>
      </c>
      <c r="H41" t="s">
        <v>96</v>
      </c>
      <c r="M41" t="s">
        <v>101</v>
      </c>
      <c r="R41" t="s">
        <v>106</v>
      </c>
      <c r="T41" t="s">
        <v>262</v>
      </c>
      <c r="U41" t="s">
        <v>249</v>
      </c>
      <c r="V41" t="s">
        <v>257</v>
      </c>
      <c r="AB41" t="s">
        <v>113</v>
      </c>
      <c r="AE41" t="s">
        <v>95</v>
      </c>
      <c r="AF41">
        <v>0</v>
      </c>
      <c r="AH41" t="s">
        <v>95</v>
      </c>
      <c r="AI41">
        <v>0</v>
      </c>
      <c r="AN41" t="s">
        <v>119</v>
      </c>
      <c r="AS41" t="s">
        <v>124</v>
      </c>
      <c r="AU41" t="s">
        <v>423</v>
      </c>
      <c r="AW41" t="s">
        <v>127</v>
      </c>
      <c r="AZ41" t="s">
        <v>126</v>
      </c>
      <c r="BD41" t="s">
        <v>126</v>
      </c>
      <c r="BH41" t="s">
        <v>126</v>
      </c>
      <c r="BM41" t="s">
        <v>127</v>
      </c>
      <c r="BS41" t="s">
        <v>129</v>
      </c>
      <c r="BT41" t="s">
        <v>126</v>
      </c>
      <c r="BY41" t="s">
        <v>127</v>
      </c>
      <c r="CB41" t="s">
        <v>126</v>
      </c>
      <c r="CH41" t="s">
        <v>128</v>
      </c>
      <c r="CJ41" t="s">
        <v>126</v>
      </c>
      <c r="CO41" t="s">
        <v>127</v>
      </c>
      <c r="CU41" t="s">
        <v>129</v>
      </c>
      <c r="CV41" t="s">
        <v>126</v>
      </c>
      <c r="CZ41" t="s">
        <v>126</v>
      </c>
      <c r="DD41" t="s">
        <v>126</v>
      </c>
      <c r="DH41" t="s">
        <v>126</v>
      </c>
      <c r="DL41" t="s">
        <v>126</v>
      </c>
      <c r="DP41" t="s">
        <v>126</v>
      </c>
      <c r="DU41" t="s">
        <v>127</v>
      </c>
      <c r="EA41" t="s">
        <v>129</v>
      </c>
      <c r="ED41" t="s">
        <v>128</v>
      </c>
      <c r="EI41" t="s">
        <v>129</v>
      </c>
      <c r="EM41" t="s">
        <v>129</v>
      </c>
      <c r="EQ41" t="s">
        <v>129</v>
      </c>
      <c r="EU41" t="s">
        <v>129</v>
      </c>
      <c r="EW41" t="s">
        <v>127</v>
      </c>
      <c r="FC41" t="s">
        <v>129</v>
      </c>
      <c r="FE41" t="s">
        <v>127</v>
      </c>
      <c r="FH41" t="s">
        <v>126</v>
      </c>
      <c r="FN41" t="s">
        <v>128</v>
      </c>
      <c r="FQ41" t="s">
        <v>95</v>
      </c>
      <c r="FS41" t="s">
        <v>95</v>
      </c>
      <c r="FU41" t="s">
        <v>95</v>
      </c>
      <c r="FW41" t="s">
        <v>95</v>
      </c>
      <c r="FY41" t="s">
        <v>95</v>
      </c>
      <c r="GA41" t="s">
        <v>95</v>
      </c>
      <c r="GB41" t="s">
        <v>94</v>
      </c>
      <c r="GE41" t="s">
        <v>95</v>
      </c>
      <c r="GG41" t="s">
        <v>95</v>
      </c>
      <c r="GI41" t="s">
        <v>95</v>
      </c>
      <c r="GJ41" t="s">
        <v>94</v>
      </c>
      <c r="GL41" t="s">
        <v>94</v>
      </c>
      <c r="GO41" t="s">
        <v>95</v>
      </c>
      <c r="GQ41" t="s">
        <v>95</v>
      </c>
      <c r="GS41" t="s">
        <v>95</v>
      </c>
      <c r="GU41" t="s">
        <v>95</v>
      </c>
      <c r="GW41" t="s">
        <v>95</v>
      </c>
      <c r="GX41" t="s">
        <v>424</v>
      </c>
      <c r="GZ41" t="s">
        <v>244</v>
      </c>
      <c r="HC41" t="s">
        <v>242</v>
      </c>
      <c r="HH41" t="s">
        <v>244</v>
      </c>
      <c r="HN41" t="s">
        <v>241</v>
      </c>
      <c r="HR41" t="s">
        <v>241</v>
      </c>
      <c r="HV41" t="s">
        <v>241</v>
      </c>
      <c r="HZ41" t="s">
        <v>241</v>
      </c>
      <c r="ID41" t="s">
        <v>241</v>
      </c>
      <c r="IH41" t="s">
        <v>241</v>
      </c>
      <c r="IL41" t="s">
        <v>241</v>
      </c>
      <c r="IM41" t="s">
        <v>242</v>
      </c>
      <c r="IQ41" t="s">
        <v>242</v>
      </c>
      <c r="IX41" t="s">
        <v>253</v>
      </c>
      <c r="JB41" t="s">
        <v>253</v>
      </c>
      <c r="JE41" t="s">
        <v>245</v>
      </c>
      <c r="JG41" t="s">
        <v>242</v>
      </c>
      <c r="JN41" t="s">
        <v>253</v>
      </c>
      <c r="JO41" t="s">
        <v>242</v>
      </c>
      <c r="JT41" t="s">
        <v>244</v>
      </c>
      <c r="JX41" t="s">
        <v>244</v>
      </c>
      <c r="KD41" t="s">
        <v>241</v>
      </c>
      <c r="KH41" t="s">
        <v>241</v>
      </c>
      <c r="KK41" t="s">
        <v>243</v>
      </c>
      <c r="KM41" t="s">
        <v>242</v>
      </c>
      <c r="KQ41" t="s">
        <v>242</v>
      </c>
      <c r="KV41" t="s">
        <v>231</v>
      </c>
      <c r="KZ41" t="s">
        <v>231</v>
      </c>
      <c r="LC41" t="s">
        <v>230</v>
      </c>
      <c r="LH41" t="s">
        <v>231</v>
      </c>
      <c r="LK41" t="s">
        <v>230</v>
      </c>
      <c r="LO41" t="s">
        <v>230</v>
      </c>
      <c r="LT41" t="s">
        <v>231</v>
      </c>
      <c r="LY41" t="s">
        <v>232</v>
      </c>
      <c r="MC41" t="s">
        <v>232</v>
      </c>
      <c r="MH41" t="s">
        <v>233</v>
      </c>
      <c r="MK41" t="s">
        <v>232</v>
      </c>
      <c r="MP41" t="s">
        <v>233</v>
      </c>
      <c r="MS41" t="s">
        <v>232</v>
      </c>
      <c r="MX41" t="s">
        <v>233</v>
      </c>
      <c r="NA41" t="s">
        <v>232</v>
      </c>
      <c r="NF41" t="s">
        <v>233</v>
      </c>
      <c r="NJ41" t="s">
        <v>233</v>
      </c>
      <c r="NN41" t="s">
        <v>233</v>
      </c>
      <c r="NR41" t="s">
        <v>233</v>
      </c>
      <c r="NV41" t="s">
        <v>233</v>
      </c>
      <c r="NX41" t="s">
        <v>231</v>
      </c>
      <c r="OD41" t="s">
        <v>233</v>
      </c>
      <c r="OH41" t="s">
        <v>233</v>
      </c>
      <c r="OK41" t="s">
        <v>232</v>
      </c>
    </row>
    <row r="42" spans="1:402">
      <c r="A42" t="s">
        <v>425</v>
      </c>
      <c r="B42" t="s">
        <v>94</v>
      </c>
      <c r="D42" t="s">
        <v>94</v>
      </c>
      <c r="F42" t="s">
        <v>94</v>
      </c>
      <c r="H42" t="s">
        <v>96</v>
      </c>
      <c r="L42" t="s">
        <v>100</v>
      </c>
      <c r="R42" t="s">
        <v>106</v>
      </c>
      <c r="T42" t="s">
        <v>426</v>
      </c>
      <c r="U42" t="s">
        <v>249</v>
      </c>
      <c r="V42" t="s">
        <v>427</v>
      </c>
      <c r="W42" t="s">
        <v>108</v>
      </c>
      <c r="AE42" t="s">
        <v>95</v>
      </c>
      <c r="AH42" t="s">
        <v>95</v>
      </c>
      <c r="AL42" t="s">
        <v>117</v>
      </c>
      <c r="AS42" t="s">
        <v>124</v>
      </c>
      <c r="AU42" t="s">
        <v>428</v>
      </c>
      <c r="AW42" t="s">
        <v>127</v>
      </c>
      <c r="AZ42" t="s">
        <v>126</v>
      </c>
      <c r="BF42" t="s">
        <v>128</v>
      </c>
      <c r="BJ42" t="s">
        <v>128</v>
      </c>
      <c r="BN42" t="s">
        <v>128</v>
      </c>
      <c r="BP42" t="s">
        <v>126</v>
      </c>
      <c r="BU42" t="s">
        <v>127</v>
      </c>
      <c r="BZ42" t="s">
        <v>128</v>
      </c>
      <c r="CD42" t="s">
        <v>128</v>
      </c>
      <c r="CG42" t="s">
        <v>127</v>
      </c>
      <c r="CJ42" t="s">
        <v>126</v>
      </c>
      <c r="CO42" t="s">
        <v>127</v>
      </c>
      <c r="CS42" t="s">
        <v>127</v>
      </c>
      <c r="CV42" t="s">
        <v>126</v>
      </c>
      <c r="CZ42" t="s">
        <v>126</v>
      </c>
      <c r="DD42" t="s">
        <v>126</v>
      </c>
      <c r="DI42" t="s">
        <v>127</v>
      </c>
      <c r="DM42" t="s">
        <v>127</v>
      </c>
      <c r="DQ42" t="s">
        <v>127</v>
      </c>
      <c r="DV42" t="s">
        <v>128</v>
      </c>
      <c r="DZ42" t="s">
        <v>128</v>
      </c>
      <c r="EI42" t="s">
        <v>129</v>
      </c>
      <c r="EL42" t="s">
        <v>128</v>
      </c>
      <c r="EQ42" t="s">
        <v>129</v>
      </c>
      <c r="ET42" t="s">
        <v>128</v>
      </c>
      <c r="EX42" t="s">
        <v>128</v>
      </c>
      <c r="FB42" t="s">
        <v>128</v>
      </c>
      <c r="FG42" t="s">
        <v>129</v>
      </c>
      <c r="FH42" t="s">
        <v>126</v>
      </c>
      <c r="FL42" t="s">
        <v>126</v>
      </c>
      <c r="FQ42" t="s">
        <v>95</v>
      </c>
      <c r="FS42" t="s">
        <v>95</v>
      </c>
      <c r="FU42" t="s">
        <v>95</v>
      </c>
      <c r="FW42" t="s">
        <v>95</v>
      </c>
      <c r="FY42" t="s">
        <v>95</v>
      </c>
      <c r="GA42" t="s">
        <v>95</v>
      </c>
      <c r="GC42" t="s">
        <v>95</v>
      </c>
      <c r="GE42" t="s">
        <v>95</v>
      </c>
      <c r="GG42" t="s">
        <v>95</v>
      </c>
      <c r="GI42" t="s">
        <v>95</v>
      </c>
      <c r="GJ42" t="s">
        <v>94</v>
      </c>
      <c r="GM42" t="s">
        <v>95</v>
      </c>
      <c r="GO42" t="s">
        <v>95</v>
      </c>
      <c r="GQ42" t="s">
        <v>95</v>
      </c>
      <c r="GS42" t="s">
        <v>95</v>
      </c>
      <c r="GU42" t="s">
        <v>95</v>
      </c>
      <c r="GW42" t="s">
        <v>95</v>
      </c>
      <c r="GX42" t="s">
        <v>429</v>
      </c>
      <c r="HA42" t="s">
        <v>243</v>
      </c>
      <c r="HD42" t="s">
        <v>244</v>
      </c>
      <c r="HI42" t="s">
        <v>243</v>
      </c>
      <c r="HL42" t="s">
        <v>244</v>
      </c>
      <c r="HO42" t="s">
        <v>242</v>
      </c>
      <c r="HV42" t="s">
        <v>241</v>
      </c>
      <c r="HX42" t="s">
        <v>244</v>
      </c>
      <c r="IC42" t="s">
        <v>243</v>
      </c>
      <c r="IH42" t="s">
        <v>241</v>
      </c>
      <c r="IL42" t="s">
        <v>241</v>
      </c>
      <c r="IO42" t="s">
        <v>243</v>
      </c>
      <c r="IS42" t="s">
        <v>245</v>
      </c>
      <c r="IV42" t="s">
        <v>244</v>
      </c>
      <c r="IY42" t="s">
        <v>242</v>
      </c>
      <c r="JC42" t="s">
        <v>242</v>
      </c>
      <c r="JG42" t="s">
        <v>242</v>
      </c>
      <c r="JL42" t="s">
        <v>244</v>
      </c>
      <c r="JQ42" t="s">
        <v>245</v>
      </c>
      <c r="JU42" t="s">
        <v>243</v>
      </c>
      <c r="JX42" t="s">
        <v>244</v>
      </c>
      <c r="KC42" t="s">
        <v>243</v>
      </c>
      <c r="KG42" t="s">
        <v>243</v>
      </c>
      <c r="KK42" t="s">
        <v>243</v>
      </c>
      <c r="KN42" t="s">
        <v>244</v>
      </c>
      <c r="KR42" t="s">
        <v>244</v>
      </c>
      <c r="KW42" t="s">
        <v>232</v>
      </c>
      <c r="LA42" t="s">
        <v>232</v>
      </c>
      <c r="LE42" t="s">
        <v>232</v>
      </c>
      <c r="LI42" t="s">
        <v>232</v>
      </c>
      <c r="LM42" t="s">
        <v>232</v>
      </c>
      <c r="LP42" t="s">
        <v>231</v>
      </c>
      <c r="LT42" t="s">
        <v>231</v>
      </c>
      <c r="LX42" t="s">
        <v>231</v>
      </c>
      <c r="MC42" t="s">
        <v>232</v>
      </c>
      <c r="MF42" t="s">
        <v>231</v>
      </c>
    </row>
    <row r="43" spans="1:402">
      <c r="A43" s="6" t="s">
        <v>406</v>
      </c>
      <c r="C43" t="s">
        <v>95</v>
      </c>
      <c r="D43" t="s">
        <v>94</v>
      </c>
      <c r="F43" t="s">
        <v>94</v>
      </c>
      <c r="I43" t="s">
        <v>97</v>
      </c>
      <c r="M43" t="s">
        <v>101</v>
      </c>
      <c r="R43" t="s">
        <v>106</v>
      </c>
      <c r="T43" t="s">
        <v>407</v>
      </c>
      <c r="U43" t="s">
        <v>249</v>
      </c>
      <c r="V43" t="s">
        <v>238</v>
      </c>
      <c r="AA43" t="s">
        <v>112</v>
      </c>
      <c r="AE43" t="s">
        <v>95</v>
      </c>
      <c r="AH43" t="s">
        <v>95</v>
      </c>
      <c r="AO43" t="s">
        <v>120</v>
      </c>
      <c r="AT43" t="s">
        <v>125</v>
      </c>
      <c r="AU43" t="s">
        <v>430</v>
      </c>
    </row>
    <row r="44" spans="1:402">
      <c r="A44" s="6" t="s">
        <v>410</v>
      </c>
      <c r="B44" t="s">
        <v>94</v>
      </c>
      <c r="D44" t="s">
        <v>94</v>
      </c>
      <c r="F44" t="s">
        <v>94</v>
      </c>
      <c r="I44" t="s">
        <v>97</v>
      </c>
      <c r="N44" t="s">
        <v>102</v>
      </c>
      <c r="S44" t="s">
        <v>431</v>
      </c>
      <c r="T44" t="s">
        <v>432</v>
      </c>
      <c r="U44" t="s">
        <v>433</v>
      </c>
      <c r="V44" t="s">
        <v>434</v>
      </c>
      <c r="AA44" t="s">
        <v>112</v>
      </c>
      <c r="AE44" t="s">
        <v>95</v>
      </c>
      <c r="AF44">
        <v>0</v>
      </c>
      <c r="AG44" t="s">
        <v>94</v>
      </c>
      <c r="AI44" t="s">
        <v>435</v>
      </c>
      <c r="AO44" t="s">
        <v>120</v>
      </c>
      <c r="AS44" t="s">
        <v>124</v>
      </c>
      <c r="AU44" t="s">
        <v>436</v>
      </c>
      <c r="AX44" t="s">
        <v>128</v>
      </c>
      <c r="BB44" t="s">
        <v>128</v>
      </c>
      <c r="BF44" t="s">
        <v>128</v>
      </c>
      <c r="BJ44" t="s">
        <v>128</v>
      </c>
      <c r="BM44" t="s">
        <v>127</v>
      </c>
      <c r="BR44" t="s">
        <v>128</v>
      </c>
      <c r="BV44" t="s">
        <v>128</v>
      </c>
      <c r="BY44" t="s">
        <v>127</v>
      </c>
      <c r="CD44" t="s">
        <v>128</v>
      </c>
      <c r="CH44" t="s">
        <v>128</v>
      </c>
      <c r="CK44" t="s">
        <v>127</v>
      </c>
      <c r="CP44" t="s">
        <v>128</v>
      </c>
      <c r="CT44" t="s">
        <v>128</v>
      </c>
      <c r="CW44" t="s">
        <v>127</v>
      </c>
      <c r="DB44" t="s">
        <v>128</v>
      </c>
      <c r="DF44" t="s">
        <v>128</v>
      </c>
      <c r="DI44" t="s">
        <v>127</v>
      </c>
      <c r="DM44" t="s">
        <v>127</v>
      </c>
      <c r="DR44" t="s">
        <v>128</v>
      </c>
      <c r="DV44" t="s">
        <v>128</v>
      </c>
      <c r="EA44" t="s">
        <v>129</v>
      </c>
      <c r="ED44" t="s">
        <v>128</v>
      </c>
      <c r="EH44" t="s">
        <v>128</v>
      </c>
      <c r="EL44" t="s">
        <v>128</v>
      </c>
      <c r="EP44" t="s">
        <v>128</v>
      </c>
      <c r="ET44" t="s">
        <v>128</v>
      </c>
      <c r="EW44" t="s">
        <v>127</v>
      </c>
      <c r="FB44" t="s">
        <v>128</v>
      </c>
      <c r="FF44" t="s">
        <v>128</v>
      </c>
      <c r="FI44" t="s">
        <v>127</v>
      </c>
      <c r="FM44" t="s">
        <v>127</v>
      </c>
      <c r="FP44" t="s">
        <v>94</v>
      </c>
      <c r="FS44" t="s">
        <v>95</v>
      </c>
      <c r="FU44" t="s">
        <v>95</v>
      </c>
      <c r="FV44" t="s">
        <v>94</v>
      </c>
      <c r="FY44" t="s">
        <v>95</v>
      </c>
      <c r="GA44" t="s">
        <v>95</v>
      </c>
      <c r="GC44" t="s">
        <v>95</v>
      </c>
      <c r="GD44" t="s">
        <v>94</v>
      </c>
      <c r="GF44" t="s">
        <v>94</v>
      </c>
      <c r="GI44" t="s">
        <v>95</v>
      </c>
      <c r="GK44" t="s">
        <v>95</v>
      </c>
      <c r="GL44" t="s">
        <v>94</v>
      </c>
      <c r="GO44" t="s">
        <v>95</v>
      </c>
      <c r="GQ44" t="s">
        <v>95</v>
      </c>
      <c r="GS44" t="s">
        <v>95</v>
      </c>
      <c r="GU44" t="s">
        <v>95</v>
      </c>
      <c r="GW44" t="s">
        <v>95</v>
      </c>
      <c r="GX44" t="s">
        <v>437</v>
      </c>
    </row>
    <row r="45" spans="1:402">
      <c r="A45" t="s">
        <v>438</v>
      </c>
      <c r="B45" t="s">
        <v>94</v>
      </c>
      <c r="D45" t="s">
        <v>94</v>
      </c>
      <c r="F45" t="s">
        <v>94</v>
      </c>
      <c r="J45" t="s">
        <v>98</v>
      </c>
      <c r="M45" t="s">
        <v>101</v>
      </c>
      <c r="R45" t="s">
        <v>106</v>
      </c>
      <c r="T45" t="s">
        <v>407</v>
      </c>
      <c r="U45" t="s">
        <v>249</v>
      </c>
      <c r="V45" t="s">
        <v>257</v>
      </c>
      <c r="AA45" t="s">
        <v>112</v>
      </c>
      <c r="AE45" t="s">
        <v>95</v>
      </c>
      <c r="AF45">
        <v>0</v>
      </c>
      <c r="AH45" t="s">
        <v>95</v>
      </c>
      <c r="AI45">
        <v>0</v>
      </c>
      <c r="AM45" t="s">
        <v>118</v>
      </c>
      <c r="AR45" t="s">
        <v>123</v>
      </c>
      <c r="AU45" t="s">
        <v>439</v>
      </c>
      <c r="AW45" t="s">
        <v>127</v>
      </c>
      <c r="BA45" t="s">
        <v>127</v>
      </c>
      <c r="BD45" t="s">
        <v>126</v>
      </c>
      <c r="BI45" t="s">
        <v>127</v>
      </c>
      <c r="BN45" t="s">
        <v>128</v>
      </c>
      <c r="BS45" t="s">
        <v>129</v>
      </c>
      <c r="BV45" t="s">
        <v>128</v>
      </c>
      <c r="BX45" t="s">
        <v>126</v>
      </c>
      <c r="CE45" t="s">
        <v>129</v>
      </c>
      <c r="CG45" t="s">
        <v>127</v>
      </c>
      <c r="CK45" t="s">
        <v>127</v>
      </c>
      <c r="CN45" t="s">
        <v>126</v>
      </c>
      <c r="CS45" t="s">
        <v>127</v>
      </c>
      <c r="CX45" t="s">
        <v>128</v>
      </c>
      <c r="DA45" t="s">
        <v>127</v>
      </c>
      <c r="DF45" t="s">
        <v>128</v>
      </c>
      <c r="DI45" t="s">
        <v>127</v>
      </c>
      <c r="DL45" t="s">
        <v>126</v>
      </c>
      <c r="DQ45" t="s">
        <v>127</v>
      </c>
      <c r="DV45" t="s">
        <v>128</v>
      </c>
      <c r="EA45" t="s">
        <v>129</v>
      </c>
      <c r="EE45" t="s">
        <v>129</v>
      </c>
      <c r="EI45" t="s">
        <v>129</v>
      </c>
      <c r="EM45" t="s">
        <v>129</v>
      </c>
      <c r="EO45" t="s">
        <v>127</v>
      </c>
      <c r="EU45" t="s">
        <v>129</v>
      </c>
      <c r="EW45" t="s">
        <v>127</v>
      </c>
      <c r="FC45" t="s">
        <v>129</v>
      </c>
      <c r="FE45" t="s">
        <v>127</v>
      </c>
      <c r="FJ45" t="s">
        <v>128</v>
      </c>
      <c r="FM45" t="s">
        <v>127</v>
      </c>
      <c r="FQ45" t="s">
        <v>95</v>
      </c>
      <c r="FS45" t="s">
        <v>95</v>
      </c>
      <c r="FU45" t="s">
        <v>95</v>
      </c>
      <c r="FW45" t="s">
        <v>95</v>
      </c>
      <c r="FY45" t="s">
        <v>95</v>
      </c>
      <c r="GA45" t="s">
        <v>95</v>
      </c>
      <c r="GC45" t="s">
        <v>95</v>
      </c>
      <c r="GE45" t="s">
        <v>95</v>
      </c>
      <c r="GG45" t="s">
        <v>95</v>
      </c>
      <c r="GI45" t="s">
        <v>95</v>
      </c>
      <c r="GJ45" t="s">
        <v>94</v>
      </c>
      <c r="GM45" t="s">
        <v>95</v>
      </c>
      <c r="GO45" t="s">
        <v>95</v>
      </c>
      <c r="GQ45" t="s">
        <v>95</v>
      </c>
      <c r="GS45" t="s">
        <v>95</v>
      </c>
      <c r="GU45" t="s">
        <v>95</v>
      </c>
      <c r="GW45" t="s">
        <v>95</v>
      </c>
      <c r="GX45" t="s">
        <v>440</v>
      </c>
      <c r="GY45" t="s">
        <v>242</v>
      </c>
      <c r="HC45" t="s">
        <v>242</v>
      </c>
      <c r="HG45" t="s">
        <v>242</v>
      </c>
      <c r="HM45" t="s">
        <v>243</v>
      </c>
      <c r="HP45" t="s">
        <v>244</v>
      </c>
      <c r="HS45" t="s">
        <v>242</v>
      </c>
      <c r="HZ45" t="s">
        <v>241</v>
      </c>
      <c r="IB45" t="s">
        <v>244</v>
      </c>
      <c r="IE45" t="s">
        <v>242</v>
      </c>
      <c r="IJ45" t="s">
        <v>244</v>
      </c>
      <c r="IO45" t="s">
        <v>243</v>
      </c>
      <c r="IQ45" t="s">
        <v>242</v>
      </c>
      <c r="IW45" t="s">
        <v>245</v>
      </c>
      <c r="IZ45" t="s">
        <v>244</v>
      </c>
      <c r="JE45" t="s">
        <v>245</v>
      </c>
      <c r="JG45" t="s">
        <v>242</v>
      </c>
      <c r="JL45" t="s">
        <v>244</v>
      </c>
      <c r="JP45" t="s">
        <v>244</v>
      </c>
      <c r="JT45" t="s">
        <v>244</v>
      </c>
      <c r="JW45" t="s">
        <v>242</v>
      </c>
      <c r="KC45" t="s">
        <v>243</v>
      </c>
      <c r="KE45" t="s">
        <v>242</v>
      </c>
      <c r="KI45" t="s">
        <v>242</v>
      </c>
      <c r="KM45" t="s">
        <v>242</v>
      </c>
      <c r="KQ45" t="s">
        <v>242</v>
      </c>
      <c r="KU45" t="s">
        <v>230</v>
      </c>
      <c r="KY45" t="s">
        <v>230</v>
      </c>
      <c r="LC45" t="s">
        <v>230</v>
      </c>
      <c r="LG45" t="s">
        <v>230</v>
      </c>
      <c r="LK45" t="s">
        <v>230</v>
      </c>
      <c r="LO45" t="s">
        <v>230</v>
      </c>
      <c r="LS45" t="s">
        <v>230</v>
      </c>
      <c r="LW45" t="s">
        <v>230</v>
      </c>
      <c r="MA45" t="s">
        <v>230</v>
      </c>
      <c r="ME45" t="s">
        <v>230</v>
      </c>
      <c r="ML45" t="s">
        <v>233</v>
      </c>
      <c r="MO45" t="s">
        <v>232</v>
      </c>
      <c r="MQ45" t="s">
        <v>230</v>
      </c>
      <c r="MU45" t="s">
        <v>230</v>
      </c>
      <c r="MY45" t="s">
        <v>230</v>
      </c>
      <c r="ND45" t="s">
        <v>231</v>
      </c>
      <c r="NI45" t="s">
        <v>232</v>
      </c>
      <c r="NM45" t="s">
        <v>232</v>
      </c>
      <c r="NQ45" t="s">
        <v>232</v>
      </c>
      <c r="NS45" t="s">
        <v>230</v>
      </c>
      <c r="NX45" t="s">
        <v>231</v>
      </c>
      <c r="OC45" t="s">
        <v>232</v>
      </c>
      <c r="OH45" t="s">
        <v>233</v>
      </c>
      <c r="OK45" t="s">
        <v>232</v>
      </c>
    </row>
    <row r="46" spans="1:402">
      <c r="A46" t="s">
        <v>441</v>
      </c>
      <c r="B46" t="s">
        <v>94</v>
      </c>
      <c r="D46" t="s">
        <v>94</v>
      </c>
      <c r="F46" t="s">
        <v>94</v>
      </c>
      <c r="H46" t="s">
        <v>96</v>
      </c>
      <c r="N46" t="s">
        <v>102</v>
      </c>
      <c r="R46" t="s">
        <v>106</v>
      </c>
      <c r="T46" t="s">
        <v>442</v>
      </c>
      <c r="U46" t="s">
        <v>237</v>
      </c>
      <c r="V46" t="s">
        <v>238</v>
      </c>
      <c r="AB46" t="s">
        <v>113</v>
      </c>
      <c r="AE46" t="s">
        <v>95</v>
      </c>
      <c r="AF46" t="s">
        <v>264</v>
      </c>
      <c r="AH46" t="s">
        <v>95</v>
      </c>
      <c r="AI46" t="s">
        <v>264</v>
      </c>
      <c r="AM46" t="s">
        <v>118</v>
      </c>
      <c r="AR46" t="s">
        <v>123</v>
      </c>
      <c r="AU46" t="s">
        <v>443</v>
      </c>
      <c r="AX46" t="s">
        <v>128</v>
      </c>
      <c r="BA46" t="s">
        <v>127</v>
      </c>
      <c r="BF46" t="s">
        <v>128</v>
      </c>
      <c r="BK46" t="s">
        <v>129</v>
      </c>
      <c r="BM46" t="s">
        <v>127</v>
      </c>
      <c r="BR46" t="s">
        <v>128</v>
      </c>
      <c r="BU46" t="s">
        <v>127</v>
      </c>
      <c r="BY46" t="s">
        <v>127</v>
      </c>
      <c r="CD46" t="s">
        <v>128</v>
      </c>
      <c r="CG46" t="s">
        <v>127</v>
      </c>
      <c r="CL46" t="s">
        <v>128</v>
      </c>
      <c r="CQ46" t="s">
        <v>129</v>
      </c>
      <c r="CR46" t="s">
        <v>126</v>
      </c>
      <c r="CX46" t="s">
        <v>128</v>
      </c>
      <c r="DB46" t="s">
        <v>128</v>
      </c>
      <c r="DD46" t="s">
        <v>126</v>
      </c>
      <c r="DI46" t="s">
        <v>127</v>
      </c>
      <c r="DL46" t="s">
        <v>126</v>
      </c>
      <c r="DP46" t="s">
        <v>126</v>
      </c>
      <c r="DU46" t="s">
        <v>127</v>
      </c>
      <c r="EA46" t="s">
        <v>129</v>
      </c>
      <c r="EE46" t="s">
        <v>129</v>
      </c>
      <c r="EI46" t="s">
        <v>129</v>
      </c>
      <c r="EJ46" t="s">
        <v>126</v>
      </c>
      <c r="EQ46" t="s">
        <v>129</v>
      </c>
      <c r="ET46" t="s">
        <v>128</v>
      </c>
      <c r="EV46" t="s">
        <v>126</v>
      </c>
      <c r="FA46" t="s">
        <v>127</v>
      </c>
      <c r="FF46" t="s">
        <v>128</v>
      </c>
      <c r="FH46" t="s">
        <v>126</v>
      </c>
      <c r="FM46" t="s">
        <v>127</v>
      </c>
      <c r="FP46" t="s">
        <v>94</v>
      </c>
      <c r="FS46" t="s">
        <v>95</v>
      </c>
      <c r="FU46" t="s">
        <v>95</v>
      </c>
      <c r="FW46" t="s">
        <v>95</v>
      </c>
      <c r="FY46" t="s">
        <v>95</v>
      </c>
      <c r="GA46" t="s">
        <v>95</v>
      </c>
      <c r="GC46" t="s">
        <v>95</v>
      </c>
      <c r="GE46" t="s">
        <v>95</v>
      </c>
      <c r="GG46" t="s">
        <v>95</v>
      </c>
      <c r="GI46" t="s">
        <v>95</v>
      </c>
      <c r="GK46" t="s">
        <v>95</v>
      </c>
      <c r="GL46" t="s">
        <v>94</v>
      </c>
      <c r="GO46" t="s">
        <v>95</v>
      </c>
      <c r="GQ46" t="s">
        <v>95</v>
      </c>
      <c r="GS46" t="s">
        <v>95</v>
      </c>
      <c r="GU46" t="s">
        <v>95</v>
      </c>
      <c r="GW46" t="s">
        <v>95</v>
      </c>
      <c r="GX46" t="s">
        <v>444</v>
      </c>
      <c r="GZ46" t="s">
        <v>244</v>
      </c>
      <c r="HE46" t="s">
        <v>243</v>
      </c>
      <c r="HI46" t="s">
        <v>243</v>
      </c>
      <c r="HN46" t="s">
        <v>241</v>
      </c>
      <c r="HR46" t="s">
        <v>241</v>
      </c>
      <c r="HU46" t="s">
        <v>243</v>
      </c>
      <c r="HZ46" t="s">
        <v>241</v>
      </c>
      <c r="ID46" t="s">
        <v>241</v>
      </c>
      <c r="IG46" t="s">
        <v>243</v>
      </c>
      <c r="IK46" t="s">
        <v>243</v>
      </c>
      <c r="IO46" t="s">
        <v>243</v>
      </c>
      <c r="IR46" t="s">
        <v>244</v>
      </c>
      <c r="IW46" t="s">
        <v>245</v>
      </c>
      <c r="JB46" t="s">
        <v>253</v>
      </c>
      <c r="JE46" t="s">
        <v>245</v>
      </c>
      <c r="JI46" t="s">
        <v>245</v>
      </c>
      <c r="JM46" t="s">
        <v>245</v>
      </c>
      <c r="JP46" t="s">
        <v>244</v>
      </c>
      <c r="JT46" t="s">
        <v>244</v>
      </c>
      <c r="JX46" t="s">
        <v>244</v>
      </c>
      <c r="KD46" t="s">
        <v>241</v>
      </c>
      <c r="KE46" t="s">
        <v>242</v>
      </c>
      <c r="KK46" t="s">
        <v>243</v>
      </c>
      <c r="KP46" t="s">
        <v>241</v>
      </c>
      <c r="KS46" t="s">
        <v>243</v>
      </c>
      <c r="KV46" t="s">
        <v>231</v>
      </c>
      <c r="LA46" t="s">
        <v>232</v>
      </c>
      <c r="LD46" t="s">
        <v>231</v>
      </c>
      <c r="LI46" t="s">
        <v>232</v>
      </c>
      <c r="LL46" t="s">
        <v>231</v>
      </c>
      <c r="LO46" t="s">
        <v>230</v>
      </c>
      <c r="LT46" t="s">
        <v>231</v>
      </c>
      <c r="LY46" t="s">
        <v>232</v>
      </c>
      <c r="MB46" t="s">
        <v>231</v>
      </c>
      <c r="MG46" t="s">
        <v>232</v>
      </c>
      <c r="ML46" t="s">
        <v>233</v>
      </c>
      <c r="MM46" t="s">
        <v>230</v>
      </c>
      <c r="MT46" t="s">
        <v>233</v>
      </c>
      <c r="MX46" t="s">
        <v>233</v>
      </c>
      <c r="NB46" t="s">
        <v>233</v>
      </c>
      <c r="NF46" t="s">
        <v>233</v>
      </c>
      <c r="NJ46" t="s">
        <v>233</v>
      </c>
      <c r="NN46" t="s">
        <v>233</v>
      </c>
      <c r="NQ46" t="s">
        <v>232</v>
      </c>
      <c r="NV46" t="s">
        <v>233</v>
      </c>
      <c r="NX46" t="s">
        <v>231</v>
      </c>
      <c r="OC46" t="s">
        <v>232</v>
      </c>
      <c r="OF46" t="s">
        <v>231</v>
      </c>
      <c r="OL46" t="s">
        <v>233</v>
      </c>
    </row>
    <row r="47" spans="1:402">
      <c r="A47" t="s">
        <v>445</v>
      </c>
      <c r="B47" t="s">
        <v>94</v>
      </c>
      <c r="D47" t="s">
        <v>94</v>
      </c>
      <c r="F47" t="s">
        <v>94</v>
      </c>
      <c r="I47" t="s">
        <v>97</v>
      </c>
      <c r="N47" t="s">
        <v>102</v>
      </c>
      <c r="R47" t="s">
        <v>106</v>
      </c>
      <c r="T47" t="s">
        <v>262</v>
      </c>
      <c r="U47" t="s">
        <v>446</v>
      </c>
      <c r="V47" t="s">
        <v>263</v>
      </c>
      <c r="W47" t="s">
        <v>108</v>
      </c>
      <c r="AD47" t="s">
        <v>94</v>
      </c>
      <c r="AF47">
        <v>2</v>
      </c>
      <c r="AH47" t="s">
        <v>95</v>
      </c>
      <c r="AI47">
        <v>0</v>
      </c>
      <c r="AP47" t="s">
        <v>121</v>
      </c>
      <c r="AT47" t="s">
        <v>125</v>
      </c>
      <c r="AU47" t="s">
        <v>447</v>
      </c>
      <c r="AX47" t="s">
        <v>128</v>
      </c>
      <c r="BC47" t="s">
        <v>129</v>
      </c>
      <c r="BE47" t="s">
        <v>127</v>
      </c>
      <c r="BH47" t="s">
        <v>126</v>
      </c>
      <c r="BM47" t="s">
        <v>127</v>
      </c>
      <c r="BS47" t="s">
        <v>129</v>
      </c>
      <c r="BV47" t="s">
        <v>128</v>
      </c>
      <c r="BX47" t="s">
        <v>126</v>
      </c>
      <c r="CC47" t="s">
        <v>127</v>
      </c>
      <c r="CH47" t="s">
        <v>128</v>
      </c>
      <c r="CJ47" t="s">
        <v>126</v>
      </c>
      <c r="CN47" t="s">
        <v>126</v>
      </c>
      <c r="CT47" t="s">
        <v>128</v>
      </c>
      <c r="CX47" t="s">
        <v>128</v>
      </c>
      <c r="DA47" t="s">
        <v>127</v>
      </c>
      <c r="DF47" t="s">
        <v>128</v>
      </c>
      <c r="DH47" t="s">
        <v>126</v>
      </c>
      <c r="DM47" t="s">
        <v>127</v>
      </c>
      <c r="DQ47" t="s">
        <v>127</v>
      </c>
      <c r="DT47" t="s">
        <v>126</v>
      </c>
      <c r="DZ47" t="s">
        <v>128</v>
      </c>
      <c r="EC47" t="s">
        <v>127</v>
      </c>
      <c r="EF47" t="s">
        <v>126</v>
      </c>
      <c r="EL47" t="s">
        <v>128</v>
      </c>
      <c r="EQ47" t="s">
        <v>129</v>
      </c>
      <c r="ET47" t="s">
        <v>128</v>
      </c>
      <c r="EV47" t="s">
        <v>126</v>
      </c>
      <c r="FA47" t="s">
        <v>127</v>
      </c>
      <c r="FF47" t="s">
        <v>128</v>
      </c>
      <c r="FI47" t="s">
        <v>127</v>
      </c>
      <c r="FL47" t="s">
        <v>126</v>
      </c>
      <c r="FQ47" t="s">
        <v>95</v>
      </c>
      <c r="FS47" t="s">
        <v>95</v>
      </c>
      <c r="FT47" t="s">
        <v>94</v>
      </c>
      <c r="FW47" t="s">
        <v>95</v>
      </c>
      <c r="FY47" t="s">
        <v>95</v>
      </c>
      <c r="GA47" t="s">
        <v>95</v>
      </c>
      <c r="GC47" t="s">
        <v>95</v>
      </c>
      <c r="GE47" t="s">
        <v>95</v>
      </c>
      <c r="GG47" t="s">
        <v>95</v>
      </c>
      <c r="GI47" t="s">
        <v>95</v>
      </c>
      <c r="GK47" t="s">
        <v>95</v>
      </c>
      <c r="GM47" t="s">
        <v>95</v>
      </c>
      <c r="GO47" t="s">
        <v>95</v>
      </c>
      <c r="GQ47" t="s">
        <v>95</v>
      </c>
      <c r="GS47" t="s">
        <v>95</v>
      </c>
      <c r="GU47" t="s">
        <v>95</v>
      </c>
      <c r="GW47" t="s">
        <v>95</v>
      </c>
      <c r="GX47" t="s">
        <v>448</v>
      </c>
      <c r="HB47" t="s">
        <v>241</v>
      </c>
      <c r="HD47" t="s">
        <v>244</v>
      </c>
      <c r="HG47" t="s">
        <v>242</v>
      </c>
      <c r="HN47" t="s">
        <v>241</v>
      </c>
      <c r="HR47" t="s">
        <v>241</v>
      </c>
      <c r="HV47" t="s">
        <v>241</v>
      </c>
      <c r="HZ47" t="s">
        <v>241</v>
      </c>
      <c r="ID47" t="s">
        <v>241</v>
      </c>
      <c r="IG47" t="s">
        <v>243</v>
      </c>
      <c r="IJ47" t="s">
        <v>244</v>
      </c>
      <c r="IP47" t="s">
        <v>241</v>
      </c>
      <c r="IR47" t="s">
        <v>244</v>
      </c>
      <c r="IX47" t="s">
        <v>253</v>
      </c>
      <c r="JB47" t="s">
        <v>253</v>
      </c>
      <c r="JE47" t="s">
        <v>245</v>
      </c>
      <c r="JJ47" t="s">
        <v>253</v>
      </c>
      <c r="JN47" t="s">
        <v>253</v>
      </c>
      <c r="JR47" t="s">
        <v>253</v>
      </c>
      <c r="JV47" t="s">
        <v>241</v>
      </c>
      <c r="JZ47" t="s">
        <v>241</v>
      </c>
      <c r="KD47" t="s">
        <v>241</v>
      </c>
      <c r="KE47" t="s">
        <v>242</v>
      </c>
      <c r="KK47" t="s">
        <v>243</v>
      </c>
      <c r="KO47" t="s">
        <v>243</v>
      </c>
      <c r="KT47" t="s">
        <v>241</v>
      </c>
      <c r="KW47" t="s">
        <v>232</v>
      </c>
      <c r="LB47" t="s">
        <v>233</v>
      </c>
      <c r="LE47" t="s">
        <v>232</v>
      </c>
      <c r="LJ47" t="s">
        <v>233</v>
      </c>
      <c r="LM47" t="s">
        <v>232</v>
      </c>
      <c r="LP47" t="s">
        <v>231</v>
      </c>
      <c r="LV47" t="s">
        <v>233</v>
      </c>
      <c r="LY47" t="s">
        <v>232</v>
      </c>
      <c r="MC47" t="s">
        <v>232</v>
      </c>
      <c r="MG47" t="s">
        <v>232</v>
      </c>
      <c r="MK47" t="s">
        <v>232</v>
      </c>
      <c r="MP47" t="s">
        <v>233</v>
      </c>
      <c r="MR47" t="s">
        <v>231</v>
      </c>
      <c r="MV47" t="s">
        <v>231</v>
      </c>
      <c r="MZ47" t="s">
        <v>231</v>
      </c>
      <c r="NF47" t="s">
        <v>233</v>
      </c>
      <c r="NJ47" t="s">
        <v>233</v>
      </c>
      <c r="NN47" t="s">
        <v>233</v>
      </c>
      <c r="NR47" t="s">
        <v>233</v>
      </c>
      <c r="NV47" t="s">
        <v>233</v>
      </c>
      <c r="NY47" t="s">
        <v>232</v>
      </c>
      <c r="OB47" t="s">
        <v>231</v>
      </c>
      <c r="OH47" t="s">
        <v>233</v>
      </c>
      <c r="OL47" t="s">
        <v>233</v>
      </c>
    </row>
    <row r="48" spans="1:402">
      <c r="A48" t="s">
        <v>449</v>
      </c>
      <c r="B48" t="s">
        <v>94</v>
      </c>
      <c r="D48" t="s">
        <v>94</v>
      </c>
      <c r="F48" t="s">
        <v>94</v>
      </c>
      <c r="I48" t="s">
        <v>97</v>
      </c>
      <c r="L48" t="s">
        <v>100</v>
      </c>
      <c r="R48" t="s">
        <v>106</v>
      </c>
      <c r="T48" t="s">
        <v>327</v>
      </c>
      <c r="U48" t="s">
        <v>450</v>
      </c>
      <c r="V48" t="s">
        <v>257</v>
      </c>
      <c r="W48" t="s">
        <v>108</v>
      </c>
      <c r="AE48" t="s">
        <v>95</v>
      </c>
      <c r="AF48" t="s">
        <v>258</v>
      </c>
      <c r="AH48" t="s">
        <v>95</v>
      </c>
      <c r="AI48" t="s">
        <v>258</v>
      </c>
      <c r="AK48" t="s">
        <v>116</v>
      </c>
      <c r="AS48" t="s">
        <v>124</v>
      </c>
      <c r="AU48" t="s">
        <v>451</v>
      </c>
      <c r="AY48" t="s">
        <v>129</v>
      </c>
      <c r="AZ48" t="s">
        <v>126</v>
      </c>
      <c r="BF48" t="s">
        <v>128</v>
      </c>
      <c r="BJ48" t="s">
        <v>128</v>
      </c>
      <c r="BN48" t="s">
        <v>128</v>
      </c>
      <c r="BR48" t="s">
        <v>128</v>
      </c>
      <c r="BW48" t="s">
        <v>129</v>
      </c>
      <c r="BZ48" t="s">
        <v>128</v>
      </c>
      <c r="CB48" t="s">
        <v>126</v>
      </c>
      <c r="CI48" t="s">
        <v>129</v>
      </c>
      <c r="CL48" t="s">
        <v>128</v>
      </c>
      <c r="CO48" t="s">
        <v>127</v>
      </c>
      <c r="CU48" t="s">
        <v>129</v>
      </c>
      <c r="CY48" t="s">
        <v>129</v>
      </c>
      <c r="DC48" t="s">
        <v>129</v>
      </c>
      <c r="DG48" t="s">
        <v>129</v>
      </c>
      <c r="DH48" t="s">
        <v>126</v>
      </c>
      <c r="DM48" t="s">
        <v>127</v>
      </c>
      <c r="DR48" t="s">
        <v>128</v>
      </c>
      <c r="DV48" t="s">
        <v>128</v>
      </c>
      <c r="EA48" t="s">
        <v>129</v>
      </c>
      <c r="EC48" t="s">
        <v>127</v>
      </c>
      <c r="EI48" t="s">
        <v>129</v>
      </c>
      <c r="EM48" t="s">
        <v>129</v>
      </c>
      <c r="EQ48" t="s">
        <v>129</v>
      </c>
      <c r="EU48" t="s">
        <v>129</v>
      </c>
      <c r="EY48" t="s">
        <v>129</v>
      </c>
      <c r="FB48" t="s">
        <v>128</v>
      </c>
      <c r="FG48" t="s">
        <v>129</v>
      </c>
      <c r="FI48" t="s">
        <v>127</v>
      </c>
      <c r="FN48" t="s">
        <v>128</v>
      </c>
      <c r="FQ48" t="s">
        <v>95</v>
      </c>
      <c r="FS48" t="s">
        <v>95</v>
      </c>
      <c r="FU48" t="s">
        <v>95</v>
      </c>
      <c r="FW48" t="s">
        <v>95</v>
      </c>
      <c r="FY48" t="s">
        <v>95</v>
      </c>
      <c r="GA48" t="s">
        <v>95</v>
      </c>
      <c r="GC48" t="s">
        <v>95</v>
      </c>
      <c r="GE48" t="s">
        <v>95</v>
      </c>
      <c r="GG48" t="s">
        <v>95</v>
      </c>
      <c r="GI48" t="s">
        <v>95</v>
      </c>
      <c r="GK48" t="s">
        <v>95</v>
      </c>
      <c r="GM48" t="s">
        <v>95</v>
      </c>
      <c r="GO48" t="s">
        <v>95</v>
      </c>
      <c r="GQ48" t="s">
        <v>95</v>
      </c>
      <c r="GS48" t="s">
        <v>95</v>
      </c>
      <c r="GU48" t="s">
        <v>95</v>
      </c>
      <c r="GW48" t="s">
        <v>95</v>
      </c>
      <c r="GX48" t="s">
        <v>452</v>
      </c>
      <c r="GY48" t="s">
        <v>242</v>
      </c>
      <c r="HC48" t="s">
        <v>242</v>
      </c>
      <c r="HH48" t="s">
        <v>244</v>
      </c>
      <c r="HM48" t="s">
        <v>243</v>
      </c>
      <c r="HO48" t="s">
        <v>242</v>
      </c>
      <c r="HU48" t="s">
        <v>243</v>
      </c>
      <c r="HX48" t="s">
        <v>244</v>
      </c>
      <c r="IB48" t="s">
        <v>244</v>
      </c>
      <c r="IG48" t="s">
        <v>243</v>
      </c>
      <c r="IL48" t="s">
        <v>241</v>
      </c>
      <c r="IM48" t="s">
        <v>242</v>
      </c>
      <c r="IQ48" t="s">
        <v>242</v>
      </c>
      <c r="IU48" t="s">
        <v>242</v>
      </c>
      <c r="IZ48" t="s">
        <v>244</v>
      </c>
      <c r="JC48" t="s">
        <v>242</v>
      </c>
      <c r="JG48" t="s">
        <v>242</v>
      </c>
      <c r="JL48" t="s">
        <v>244</v>
      </c>
      <c r="JO48" t="s">
        <v>242</v>
      </c>
      <c r="JS48" t="s">
        <v>242</v>
      </c>
      <c r="JW48" t="s">
        <v>242</v>
      </c>
      <c r="KB48" t="s">
        <v>244</v>
      </c>
      <c r="KF48" t="s">
        <v>244</v>
      </c>
      <c r="KI48" t="s">
        <v>242</v>
      </c>
      <c r="KM48" t="s">
        <v>242</v>
      </c>
      <c r="KQ48" t="s">
        <v>242</v>
      </c>
      <c r="KV48" t="s">
        <v>231</v>
      </c>
      <c r="KZ48" t="s">
        <v>231</v>
      </c>
      <c r="LD48" t="s">
        <v>231</v>
      </c>
      <c r="LI48" t="s">
        <v>232</v>
      </c>
      <c r="LK48" t="s">
        <v>230</v>
      </c>
      <c r="LO48" t="s">
        <v>230</v>
      </c>
      <c r="LV48" t="s">
        <v>233</v>
      </c>
      <c r="LY48" t="s">
        <v>232</v>
      </c>
      <c r="MA48" t="s">
        <v>230</v>
      </c>
      <c r="MG48" t="s">
        <v>232</v>
      </c>
      <c r="MJ48" t="s">
        <v>231</v>
      </c>
      <c r="MM48" t="s">
        <v>230</v>
      </c>
      <c r="MS48" t="s">
        <v>232</v>
      </c>
      <c r="MU48" t="s">
        <v>230</v>
      </c>
      <c r="MY48" t="s">
        <v>230</v>
      </c>
      <c r="ND48" t="s">
        <v>231</v>
      </c>
      <c r="NH48" t="s">
        <v>231</v>
      </c>
      <c r="NP48" t="s">
        <v>231</v>
      </c>
      <c r="NT48" t="s">
        <v>231</v>
      </c>
      <c r="NX48" t="s">
        <v>231</v>
      </c>
      <c r="OA48" t="s">
        <v>230</v>
      </c>
      <c r="OF48" t="s">
        <v>231</v>
      </c>
      <c r="OI48" t="s">
        <v>230</v>
      </c>
    </row>
    <row r="49" spans="1:402">
      <c r="A49" t="s">
        <v>453</v>
      </c>
      <c r="B49" t="s">
        <v>94</v>
      </c>
      <c r="D49" t="s">
        <v>94</v>
      </c>
      <c r="F49" t="s">
        <v>94</v>
      </c>
      <c r="I49" t="s">
        <v>97</v>
      </c>
      <c r="L49" t="s">
        <v>100</v>
      </c>
      <c r="R49" t="s">
        <v>106</v>
      </c>
      <c r="T49" t="s">
        <v>454</v>
      </c>
      <c r="U49" t="s">
        <v>455</v>
      </c>
      <c r="V49" t="s">
        <v>456</v>
      </c>
      <c r="AB49" t="s">
        <v>113</v>
      </c>
      <c r="AE49" t="s">
        <v>95</v>
      </c>
      <c r="AF49" t="s">
        <v>251</v>
      </c>
      <c r="AH49" t="s">
        <v>95</v>
      </c>
      <c r="AI49" t="s">
        <v>251</v>
      </c>
      <c r="AJ49" t="s">
        <v>115</v>
      </c>
      <c r="AR49" t="s">
        <v>123</v>
      </c>
      <c r="AU49" t="s">
        <v>457</v>
      </c>
      <c r="AW49" t="s">
        <v>127</v>
      </c>
      <c r="BB49" t="s">
        <v>128</v>
      </c>
      <c r="BF49" t="s">
        <v>128</v>
      </c>
      <c r="BH49" t="s">
        <v>126</v>
      </c>
      <c r="BM49" t="s">
        <v>127</v>
      </c>
      <c r="BS49" t="s">
        <v>129</v>
      </c>
      <c r="BU49" t="s">
        <v>127</v>
      </c>
      <c r="BY49" t="s">
        <v>127</v>
      </c>
      <c r="CC49" t="s">
        <v>127</v>
      </c>
      <c r="CG49" t="s">
        <v>127</v>
      </c>
      <c r="CL49" t="s">
        <v>128</v>
      </c>
      <c r="CO49" t="s">
        <v>127</v>
      </c>
      <c r="CS49" t="s">
        <v>127</v>
      </c>
      <c r="CX49" t="s">
        <v>128</v>
      </c>
      <c r="DB49" t="s">
        <v>128</v>
      </c>
      <c r="DE49" t="s">
        <v>127</v>
      </c>
      <c r="DI49" t="s">
        <v>127</v>
      </c>
      <c r="DM49" t="s">
        <v>127</v>
      </c>
      <c r="DQ49" t="s">
        <v>127</v>
      </c>
      <c r="DT49" t="s">
        <v>126</v>
      </c>
      <c r="DZ49" t="s">
        <v>128</v>
      </c>
      <c r="ED49" t="s">
        <v>128</v>
      </c>
      <c r="EH49" t="s">
        <v>128</v>
      </c>
      <c r="EL49" t="s">
        <v>128</v>
      </c>
      <c r="EP49" t="s">
        <v>128</v>
      </c>
      <c r="ET49" t="s">
        <v>128</v>
      </c>
      <c r="EX49" t="s">
        <v>128</v>
      </c>
      <c r="FA49" t="s">
        <v>127</v>
      </c>
      <c r="FF49" t="s">
        <v>128</v>
      </c>
      <c r="FI49" t="s">
        <v>127</v>
      </c>
      <c r="FM49" t="s">
        <v>127</v>
      </c>
      <c r="FP49" t="s">
        <v>94</v>
      </c>
      <c r="FR49" t="s">
        <v>94</v>
      </c>
      <c r="FT49" t="s">
        <v>94</v>
      </c>
      <c r="FW49" t="s">
        <v>95</v>
      </c>
      <c r="FY49" t="s">
        <v>95</v>
      </c>
      <c r="GA49" t="s">
        <v>95</v>
      </c>
      <c r="GC49" t="s">
        <v>95</v>
      </c>
      <c r="GE49" t="s">
        <v>95</v>
      </c>
      <c r="GG49" t="s">
        <v>95</v>
      </c>
      <c r="GI49" t="s">
        <v>95</v>
      </c>
      <c r="GJ49" t="s">
        <v>94</v>
      </c>
      <c r="GM49" t="s">
        <v>95</v>
      </c>
      <c r="GO49" t="s">
        <v>95</v>
      </c>
      <c r="GQ49" t="s">
        <v>95</v>
      </c>
      <c r="GS49" t="s">
        <v>95</v>
      </c>
      <c r="GU49" t="s">
        <v>95</v>
      </c>
      <c r="GV49" t="s">
        <v>94</v>
      </c>
      <c r="GX49" t="s">
        <v>458</v>
      </c>
      <c r="GZ49" t="s">
        <v>244</v>
      </c>
      <c r="HD49" t="s">
        <v>244</v>
      </c>
      <c r="HG49" t="s">
        <v>242</v>
      </c>
      <c r="HM49" t="s">
        <v>243</v>
      </c>
      <c r="HQ49" t="s">
        <v>243</v>
      </c>
      <c r="HU49" t="s">
        <v>243</v>
      </c>
      <c r="HY49" t="s">
        <v>243</v>
      </c>
      <c r="IC49" t="s">
        <v>243</v>
      </c>
      <c r="IG49" t="s">
        <v>243</v>
      </c>
      <c r="IK49" t="s">
        <v>243</v>
      </c>
      <c r="IN49" t="s">
        <v>244</v>
      </c>
      <c r="IQ49" t="s">
        <v>242</v>
      </c>
      <c r="IW49" t="s">
        <v>245</v>
      </c>
      <c r="JB49" t="s">
        <v>253</v>
      </c>
      <c r="JE49" t="s">
        <v>245</v>
      </c>
      <c r="JI49" t="s">
        <v>245</v>
      </c>
      <c r="JM49" t="s">
        <v>245</v>
      </c>
      <c r="JQ49" t="s">
        <v>245</v>
      </c>
      <c r="JU49" t="s">
        <v>243</v>
      </c>
      <c r="JY49" t="s">
        <v>243</v>
      </c>
      <c r="KD49" t="s">
        <v>241</v>
      </c>
      <c r="KE49" t="s">
        <v>242</v>
      </c>
      <c r="KK49" t="s">
        <v>243</v>
      </c>
      <c r="KM49" t="s">
        <v>242</v>
      </c>
      <c r="KR49" t="s">
        <v>244</v>
      </c>
      <c r="KU49" t="s">
        <v>230</v>
      </c>
      <c r="KZ49" t="s">
        <v>231</v>
      </c>
      <c r="LC49" t="s">
        <v>230</v>
      </c>
      <c r="LI49" t="s">
        <v>232</v>
      </c>
      <c r="LL49" t="s">
        <v>231</v>
      </c>
      <c r="LP49" t="s">
        <v>231</v>
      </c>
      <c r="LU49" t="s">
        <v>232</v>
      </c>
      <c r="LW49" t="s">
        <v>230</v>
      </c>
      <c r="MB49" t="s">
        <v>231</v>
      </c>
      <c r="MF49" t="s">
        <v>231</v>
      </c>
      <c r="MK49" t="s">
        <v>232</v>
      </c>
      <c r="MO49" t="s">
        <v>232</v>
      </c>
      <c r="MS49" t="s">
        <v>232</v>
      </c>
      <c r="MW49" t="s">
        <v>232</v>
      </c>
      <c r="MY49" t="s">
        <v>230</v>
      </c>
      <c r="NE49" t="s">
        <v>232</v>
      </c>
      <c r="NJ49" t="s">
        <v>233</v>
      </c>
      <c r="NN49" t="s">
        <v>233</v>
      </c>
      <c r="NR49" t="s">
        <v>233</v>
      </c>
      <c r="NV49" t="s">
        <v>233</v>
      </c>
      <c r="NY49" t="s">
        <v>232</v>
      </c>
      <c r="OD49" t="s">
        <v>233</v>
      </c>
      <c r="OH49" t="s">
        <v>233</v>
      </c>
      <c r="OL49" t="s">
        <v>233</v>
      </c>
    </row>
    <row r="50" spans="1:402">
      <c r="A50" t="s">
        <v>459</v>
      </c>
      <c r="B50" t="s">
        <v>94</v>
      </c>
      <c r="D50" t="s">
        <v>94</v>
      </c>
      <c r="F50" t="s">
        <v>94</v>
      </c>
      <c r="H50" t="s">
        <v>96</v>
      </c>
      <c r="O50" t="s">
        <v>103</v>
      </c>
      <c r="R50" t="s">
        <v>106</v>
      </c>
      <c r="T50" t="s">
        <v>327</v>
      </c>
      <c r="U50" t="s">
        <v>460</v>
      </c>
      <c r="V50" t="s">
        <v>461</v>
      </c>
      <c r="W50" t="s">
        <v>108</v>
      </c>
      <c r="AD50" t="s">
        <v>94</v>
      </c>
      <c r="AF50">
        <v>1</v>
      </c>
      <c r="AG50" t="s">
        <v>94</v>
      </c>
      <c r="AI50">
        <v>1</v>
      </c>
      <c r="AN50" t="s">
        <v>119</v>
      </c>
      <c r="AS50" t="s">
        <v>124</v>
      </c>
      <c r="AU50" t="s">
        <v>462</v>
      </c>
      <c r="AY50" t="s">
        <v>129</v>
      </c>
      <c r="BC50" t="s">
        <v>129</v>
      </c>
      <c r="BF50" t="s">
        <v>128</v>
      </c>
      <c r="BI50" t="s">
        <v>127</v>
      </c>
      <c r="BL50" t="s">
        <v>126</v>
      </c>
      <c r="BS50" t="s">
        <v>129</v>
      </c>
      <c r="BV50" t="s">
        <v>128</v>
      </c>
      <c r="BY50" t="s">
        <v>127</v>
      </c>
      <c r="CC50" t="s">
        <v>127</v>
      </c>
      <c r="CH50" t="s">
        <v>128</v>
      </c>
      <c r="CM50" t="s">
        <v>129</v>
      </c>
      <c r="CN50" t="s">
        <v>126</v>
      </c>
      <c r="CU50" t="s">
        <v>129</v>
      </c>
      <c r="CX50" t="s">
        <v>128</v>
      </c>
      <c r="DC50" t="s">
        <v>129</v>
      </c>
      <c r="DF50" t="s">
        <v>128</v>
      </c>
      <c r="DI50" t="s">
        <v>127</v>
      </c>
      <c r="DN50" t="s">
        <v>128</v>
      </c>
      <c r="DQ50" t="s">
        <v>127</v>
      </c>
      <c r="DU50" t="s">
        <v>127</v>
      </c>
      <c r="EA50" t="s">
        <v>129</v>
      </c>
      <c r="ED50" t="s">
        <v>128</v>
      </c>
      <c r="EI50" t="s">
        <v>129</v>
      </c>
      <c r="EM50" t="s">
        <v>129</v>
      </c>
      <c r="EP50" t="s">
        <v>128</v>
      </c>
      <c r="ET50" t="s">
        <v>128</v>
      </c>
      <c r="EV50" t="s">
        <v>126</v>
      </c>
      <c r="FC50" t="s">
        <v>129</v>
      </c>
      <c r="FG50" t="s">
        <v>129</v>
      </c>
      <c r="FH50" t="s">
        <v>126</v>
      </c>
      <c r="FL50" t="s">
        <v>126</v>
      </c>
      <c r="FP50" t="s">
        <v>94</v>
      </c>
      <c r="FR50" t="s">
        <v>94</v>
      </c>
      <c r="FU50" t="s">
        <v>95</v>
      </c>
      <c r="FW50" t="s">
        <v>95</v>
      </c>
      <c r="FY50" t="s">
        <v>95</v>
      </c>
      <c r="FZ50" t="s">
        <v>94</v>
      </c>
      <c r="GB50" t="s">
        <v>94</v>
      </c>
      <c r="GE50" t="s">
        <v>95</v>
      </c>
      <c r="GG50" t="s">
        <v>95</v>
      </c>
      <c r="GH50" t="s">
        <v>94</v>
      </c>
      <c r="GK50" t="s">
        <v>95</v>
      </c>
      <c r="GL50" t="s">
        <v>94</v>
      </c>
      <c r="GO50" t="s">
        <v>95</v>
      </c>
      <c r="GQ50" t="s">
        <v>95</v>
      </c>
      <c r="GS50" t="s">
        <v>95</v>
      </c>
      <c r="GU50" t="s">
        <v>95</v>
      </c>
      <c r="GW50" t="s">
        <v>95</v>
      </c>
      <c r="GX50" t="s">
        <v>463</v>
      </c>
      <c r="GZ50" t="s">
        <v>244</v>
      </c>
      <c r="HD50" t="s">
        <v>244</v>
      </c>
      <c r="HG50" t="s">
        <v>242</v>
      </c>
      <c r="HN50" t="s">
        <v>241</v>
      </c>
      <c r="HR50" t="s">
        <v>241</v>
      </c>
      <c r="HT50" t="s">
        <v>244</v>
      </c>
      <c r="HZ50" t="s">
        <v>241</v>
      </c>
      <c r="IB50" t="s">
        <v>244</v>
      </c>
      <c r="IF50" t="s">
        <v>244</v>
      </c>
      <c r="II50" t="s">
        <v>242</v>
      </c>
      <c r="IO50" t="s">
        <v>243</v>
      </c>
      <c r="IS50" t="s">
        <v>245</v>
      </c>
      <c r="IX50" t="s">
        <v>253</v>
      </c>
      <c r="IZ50" t="s">
        <v>244</v>
      </c>
      <c r="JE50" t="s">
        <v>245</v>
      </c>
      <c r="JH50" t="s">
        <v>244</v>
      </c>
      <c r="JM50" t="s">
        <v>245</v>
      </c>
      <c r="JO50" t="s">
        <v>242</v>
      </c>
      <c r="JT50" t="s">
        <v>244</v>
      </c>
      <c r="JX50" t="s">
        <v>244</v>
      </c>
      <c r="KD50" t="s">
        <v>241</v>
      </c>
      <c r="KE50" t="s">
        <v>242</v>
      </c>
      <c r="KJ50" t="s">
        <v>244</v>
      </c>
      <c r="KM50" t="s">
        <v>242</v>
      </c>
      <c r="KQ50" t="s">
        <v>242</v>
      </c>
      <c r="KU50" t="s">
        <v>230</v>
      </c>
      <c r="KY50" t="s">
        <v>230</v>
      </c>
      <c r="LD50" t="s">
        <v>231</v>
      </c>
      <c r="LG50" t="s">
        <v>230</v>
      </c>
      <c r="LL50" t="s">
        <v>231</v>
      </c>
      <c r="LP50" t="s">
        <v>231</v>
      </c>
      <c r="LS50" t="s">
        <v>230</v>
      </c>
      <c r="LX50" t="s">
        <v>231</v>
      </c>
      <c r="MA50" t="s">
        <v>230</v>
      </c>
      <c r="MF50" t="s">
        <v>231</v>
      </c>
      <c r="MJ50" t="s">
        <v>231</v>
      </c>
      <c r="MN50" t="s">
        <v>231</v>
      </c>
      <c r="MQ50" t="s">
        <v>230</v>
      </c>
      <c r="MX50" t="s">
        <v>233</v>
      </c>
      <c r="MY50" t="s">
        <v>230</v>
      </c>
      <c r="ND50" t="s">
        <v>231</v>
      </c>
      <c r="NI50" t="s">
        <v>232</v>
      </c>
      <c r="NM50" t="s">
        <v>232</v>
      </c>
      <c r="NQ50" t="s">
        <v>232</v>
      </c>
      <c r="NT50" t="s">
        <v>231</v>
      </c>
      <c r="NW50" t="s">
        <v>230</v>
      </c>
      <c r="OC50" t="s">
        <v>232</v>
      </c>
      <c r="OH50" t="s">
        <v>233</v>
      </c>
      <c r="OI50" t="s">
        <v>230</v>
      </c>
    </row>
    <row r="51" spans="1:402">
      <c r="A51" t="s">
        <v>464</v>
      </c>
      <c r="B51" t="s">
        <v>94</v>
      </c>
      <c r="D51" t="s">
        <v>94</v>
      </c>
      <c r="F51" t="s">
        <v>94</v>
      </c>
      <c r="I51" t="s">
        <v>97</v>
      </c>
      <c r="M51" t="s">
        <v>101</v>
      </c>
      <c r="R51" t="s">
        <v>106</v>
      </c>
      <c r="T51" t="s">
        <v>327</v>
      </c>
      <c r="U51" t="s">
        <v>465</v>
      </c>
      <c r="V51" t="s">
        <v>350</v>
      </c>
      <c r="W51" t="s">
        <v>108</v>
      </c>
      <c r="AE51" t="s">
        <v>95</v>
      </c>
      <c r="AF51">
        <v>0</v>
      </c>
      <c r="AH51" t="s">
        <v>95</v>
      </c>
      <c r="AI51">
        <v>0</v>
      </c>
      <c r="AL51" t="s">
        <v>117</v>
      </c>
      <c r="AR51" t="s">
        <v>123</v>
      </c>
      <c r="AU51" t="s">
        <v>466</v>
      </c>
      <c r="AY51" t="s">
        <v>129</v>
      </c>
      <c r="BA51" t="s">
        <v>127</v>
      </c>
      <c r="BF51" t="s">
        <v>128</v>
      </c>
      <c r="BK51" t="s">
        <v>129</v>
      </c>
      <c r="BN51" t="s">
        <v>128</v>
      </c>
      <c r="BS51" t="s">
        <v>129</v>
      </c>
      <c r="BU51" t="s">
        <v>127</v>
      </c>
      <c r="BZ51" t="s">
        <v>128</v>
      </c>
      <c r="CC51" t="s">
        <v>127</v>
      </c>
      <c r="CI51" t="s">
        <v>129</v>
      </c>
      <c r="CK51" t="s">
        <v>127</v>
      </c>
      <c r="CP51" t="s">
        <v>128</v>
      </c>
      <c r="CS51" t="s">
        <v>127</v>
      </c>
      <c r="CV51" t="s">
        <v>126</v>
      </c>
      <c r="CZ51" t="s">
        <v>126</v>
      </c>
      <c r="DD51" t="s">
        <v>126</v>
      </c>
      <c r="DI51" t="s">
        <v>127</v>
      </c>
      <c r="DN51" t="s">
        <v>128</v>
      </c>
      <c r="DP51" t="s">
        <v>126</v>
      </c>
      <c r="DU51" t="s">
        <v>127</v>
      </c>
      <c r="EA51" t="s">
        <v>129</v>
      </c>
      <c r="ED51" t="s">
        <v>128</v>
      </c>
      <c r="EG51" t="s">
        <v>127</v>
      </c>
      <c r="EM51" t="s">
        <v>129</v>
      </c>
      <c r="EQ51" t="s">
        <v>129</v>
      </c>
      <c r="EU51" t="s">
        <v>129</v>
      </c>
      <c r="EW51" t="s">
        <v>127</v>
      </c>
      <c r="FB51" t="s">
        <v>128</v>
      </c>
      <c r="FG51" t="s">
        <v>129</v>
      </c>
      <c r="FK51" t="s">
        <v>129</v>
      </c>
      <c r="FN51" t="s">
        <v>128</v>
      </c>
      <c r="FQ51" t="s">
        <v>95</v>
      </c>
      <c r="FS51" t="s">
        <v>95</v>
      </c>
      <c r="FU51" t="s">
        <v>95</v>
      </c>
      <c r="FW51" t="s">
        <v>95</v>
      </c>
      <c r="FY51" t="s">
        <v>95</v>
      </c>
      <c r="GA51" t="s">
        <v>95</v>
      </c>
      <c r="GC51" t="s">
        <v>95</v>
      </c>
      <c r="GE51" t="s">
        <v>95</v>
      </c>
      <c r="GG51" t="s">
        <v>95</v>
      </c>
      <c r="GI51" t="s">
        <v>95</v>
      </c>
      <c r="GJ51" t="s">
        <v>94</v>
      </c>
      <c r="GM51" t="s">
        <v>95</v>
      </c>
      <c r="GO51" t="s">
        <v>95</v>
      </c>
      <c r="GQ51" t="s">
        <v>95</v>
      </c>
      <c r="GS51" t="s">
        <v>95</v>
      </c>
      <c r="GU51" t="s">
        <v>95</v>
      </c>
      <c r="GW51" t="s">
        <v>95</v>
      </c>
      <c r="GX51" t="s">
        <v>467</v>
      </c>
      <c r="GZ51" t="s">
        <v>244</v>
      </c>
      <c r="HC51" t="s">
        <v>242</v>
      </c>
      <c r="HH51" t="s">
        <v>244</v>
      </c>
      <c r="HL51" t="s">
        <v>244</v>
      </c>
      <c r="HP51" t="s">
        <v>244</v>
      </c>
      <c r="HT51" t="s">
        <v>244</v>
      </c>
      <c r="HY51" t="s">
        <v>243</v>
      </c>
      <c r="IB51" t="s">
        <v>244</v>
      </c>
      <c r="IF51" t="s">
        <v>244</v>
      </c>
      <c r="IK51" t="s">
        <v>243</v>
      </c>
      <c r="IM51" t="s">
        <v>242</v>
      </c>
      <c r="IQ51" t="s">
        <v>242</v>
      </c>
      <c r="IV51" t="s">
        <v>244</v>
      </c>
      <c r="JA51" t="s">
        <v>245</v>
      </c>
      <c r="JD51" t="s">
        <v>244</v>
      </c>
      <c r="JH51" t="s">
        <v>244</v>
      </c>
      <c r="JM51" t="s">
        <v>245</v>
      </c>
      <c r="JQ51" t="s">
        <v>245</v>
      </c>
      <c r="JU51" t="s">
        <v>243</v>
      </c>
      <c r="JY51" t="s">
        <v>243</v>
      </c>
      <c r="KB51" t="s">
        <v>244</v>
      </c>
      <c r="KE51" t="s">
        <v>242</v>
      </c>
      <c r="KJ51" t="s">
        <v>244</v>
      </c>
      <c r="KM51" t="s">
        <v>242</v>
      </c>
      <c r="KR51" t="s">
        <v>244</v>
      </c>
      <c r="KW51" t="s">
        <v>232</v>
      </c>
      <c r="KZ51" t="s">
        <v>231</v>
      </c>
      <c r="LD51" t="s">
        <v>231</v>
      </c>
      <c r="LH51" t="s">
        <v>231</v>
      </c>
      <c r="LK51" t="s">
        <v>230</v>
      </c>
      <c r="LP51" t="s">
        <v>231</v>
      </c>
      <c r="LT51" t="s">
        <v>231</v>
      </c>
      <c r="LY51" t="s">
        <v>232</v>
      </c>
      <c r="MB51" t="s">
        <v>231</v>
      </c>
      <c r="MF51" t="s">
        <v>231</v>
      </c>
      <c r="MJ51" t="s">
        <v>231</v>
      </c>
      <c r="MO51" t="s">
        <v>232</v>
      </c>
      <c r="MT51" t="s">
        <v>233</v>
      </c>
      <c r="MV51" t="s">
        <v>231</v>
      </c>
      <c r="MY51" t="s">
        <v>230</v>
      </c>
      <c r="ND51" t="s">
        <v>231</v>
      </c>
      <c r="NI51" t="s">
        <v>232</v>
      </c>
      <c r="NL51" t="s">
        <v>231</v>
      </c>
      <c r="NP51" t="s">
        <v>231</v>
      </c>
      <c r="NS51" t="s">
        <v>230</v>
      </c>
      <c r="NX51" t="s">
        <v>231</v>
      </c>
      <c r="OA51" t="s">
        <v>230</v>
      </c>
      <c r="OF51" t="s">
        <v>231</v>
      </c>
      <c r="OL51" t="s">
        <v>233</v>
      </c>
    </row>
    <row r="52" spans="1:402">
      <c r="A52" t="s">
        <v>468</v>
      </c>
      <c r="B52" t="s">
        <v>94</v>
      </c>
      <c r="D52" t="s">
        <v>94</v>
      </c>
      <c r="F52" t="s">
        <v>94</v>
      </c>
      <c r="H52" t="s">
        <v>96</v>
      </c>
      <c r="M52" t="s">
        <v>101</v>
      </c>
      <c r="S52" t="s">
        <v>469</v>
      </c>
      <c r="T52" t="s">
        <v>470</v>
      </c>
      <c r="U52" t="s">
        <v>388</v>
      </c>
      <c r="V52" t="s">
        <v>350</v>
      </c>
      <c r="AA52" t="s">
        <v>112</v>
      </c>
      <c r="AE52" t="s">
        <v>95</v>
      </c>
      <c r="AF52" t="s">
        <v>310</v>
      </c>
      <c r="AH52" t="s">
        <v>95</v>
      </c>
      <c r="AI52" t="s">
        <v>310</v>
      </c>
      <c r="AL52" t="s">
        <v>117</v>
      </c>
      <c r="AS52" t="s">
        <v>124</v>
      </c>
      <c r="AU52" t="s">
        <v>471</v>
      </c>
      <c r="AX52" t="s">
        <v>128</v>
      </c>
      <c r="BA52" t="s">
        <v>127</v>
      </c>
      <c r="BF52" t="s">
        <v>128</v>
      </c>
      <c r="BI52" t="s">
        <v>127</v>
      </c>
      <c r="BN52" t="s">
        <v>128</v>
      </c>
      <c r="BR52" t="s">
        <v>128</v>
      </c>
      <c r="BT52" t="s">
        <v>126</v>
      </c>
      <c r="BY52" t="s">
        <v>127</v>
      </c>
      <c r="CC52" t="s">
        <v>127</v>
      </c>
      <c r="CH52" t="s">
        <v>128</v>
      </c>
      <c r="CK52" t="s">
        <v>127</v>
      </c>
      <c r="CO52" t="s">
        <v>127</v>
      </c>
      <c r="CT52" t="s">
        <v>128</v>
      </c>
      <c r="CW52" t="s">
        <v>127</v>
      </c>
      <c r="DA52" t="s">
        <v>127</v>
      </c>
      <c r="DE52" t="s">
        <v>127</v>
      </c>
      <c r="DI52" t="s">
        <v>127</v>
      </c>
      <c r="DM52" t="s">
        <v>127</v>
      </c>
      <c r="DR52" t="s">
        <v>128</v>
      </c>
      <c r="DU52" t="s">
        <v>127</v>
      </c>
      <c r="DY52" t="s">
        <v>127</v>
      </c>
      <c r="ED52" t="s">
        <v>128</v>
      </c>
      <c r="EH52" t="s">
        <v>128</v>
      </c>
      <c r="EL52" t="s">
        <v>128</v>
      </c>
      <c r="EP52" t="s">
        <v>128</v>
      </c>
      <c r="ET52" t="s">
        <v>128</v>
      </c>
      <c r="EW52" t="s">
        <v>127</v>
      </c>
      <c r="FB52" t="s">
        <v>128</v>
      </c>
      <c r="FF52" t="s">
        <v>128</v>
      </c>
      <c r="FI52" t="s">
        <v>127</v>
      </c>
      <c r="FN52" t="s">
        <v>128</v>
      </c>
      <c r="FQ52" t="s">
        <v>95</v>
      </c>
      <c r="FS52" t="s">
        <v>95</v>
      </c>
      <c r="FU52" t="s">
        <v>95</v>
      </c>
      <c r="FW52" t="s">
        <v>95</v>
      </c>
      <c r="FX52" t="s">
        <v>94</v>
      </c>
      <c r="FZ52" t="s">
        <v>94</v>
      </c>
      <c r="GB52" t="s">
        <v>94</v>
      </c>
      <c r="GE52" t="s">
        <v>95</v>
      </c>
      <c r="GG52" t="s">
        <v>95</v>
      </c>
      <c r="GH52" t="s">
        <v>94</v>
      </c>
      <c r="GJ52" t="s">
        <v>94</v>
      </c>
      <c r="GL52" t="s">
        <v>94</v>
      </c>
      <c r="GN52" t="s">
        <v>94</v>
      </c>
      <c r="GQ52" t="s">
        <v>95</v>
      </c>
      <c r="GS52" t="s">
        <v>95</v>
      </c>
      <c r="GU52" t="s">
        <v>95</v>
      </c>
      <c r="GW52" t="s">
        <v>95</v>
      </c>
      <c r="GX52" t="s">
        <v>472</v>
      </c>
      <c r="GZ52" t="s">
        <v>244</v>
      </c>
      <c r="HD52" t="s">
        <v>244</v>
      </c>
      <c r="HH52" t="s">
        <v>244</v>
      </c>
      <c r="HM52" t="s">
        <v>243</v>
      </c>
      <c r="HP52" t="s">
        <v>244</v>
      </c>
      <c r="HT52" t="s">
        <v>244</v>
      </c>
      <c r="HY52" t="s">
        <v>243</v>
      </c>
      <c r="IB52" t="s">
        <v>244</v>
      </c>
      <c r="IF52" t="s">
        <v>244</v>
      </c>
      <c r="IK52" t="s">
        <v>243</v>
      </c>
      <c r="IO52" t="s">
        <v>243</v>
      </c>
      <c r="IS52" t="s">
        <v>245</v>
      </c>
      <c r="IW52" t="s">
        <v>245</v>
      </c>
      <c r="IZ52" t="s">
        <v>244</v>
      </c>
      <c r="JE52" t="s">
        <v>245</v>
      </c>
      <c r="JI52" t="s">
        <v>245</v>
      </c>
      <c r="JM52" t="s">
        <v>245</v>
      </c>
      <c r="JQ52" t="s">
        <v>245</v>
      </c>
      <c r="JT52" t="s">
        <v>244</v>
      </c>
      <c r="JY52" t="s">
        <v>243</v>
      </c>
      <c r="KC52" t="s">
        <v>243</v>
      </c>
      <c r="KE52" t="s">
        <v>242</v>
      </c>
      <c r="KK52" t="s">
        <v>243</v>
      </c>
      <c r="KO52" t="s">
        <v>243</v>
      </c>
      <c r="KR52" t="s">
        <v>244</v>
      </c>
      <c r="KW52" t="s">
        <v>232</v>
      </c>
      <c r="LA52" t="s">
        <v>232</v>
      </c>
      <c r="LD52" t="s">
        <v>231</v>
      </c>
      <c r="LH52" t="s">
        <v>231</v>
      </c>
      <c r="LM52" t="s">
        <v>232</v>
      </c>
      <c r="LO52" t="s">
        <v>230</v>
      </c>
      <c r="LU52" t="s">
        <v>232</v>
      </c>
      <c r="LX52" t="s">
        <v>231</v>
      </c>
      <c r="MB52" t="s">
        <v>231</v>
      </c>
      <c r="MF52" t="s">
        <v>231</v>
      </c>
      <c r="MJ52" t="s">
        <v>231</v>
      </c>
      <c r="MO52" t="s">
        <v>232</v>
      </c>
      <c r="MS52" t="s">
        <v>232</v>
      </c>
      <c r="MW52" t="s">
        <v>232</v>
      </c>
      <c r="MZ52" t="s">
        <v>231</v>
      </c>
      <c r="NE52" t="s">
        <v>232</v>
      </c>
      <c r="NI52" t="s">
        <v>232</v>
      </c>
      <c r="NM52" t="s">
        <v>232</v>
      </c>
      <c r="NQ52" t="s">
        <v>232</v>
      </c>
      <c r="NU52" t="s">
        <v>232</v>
      </c>
      <c r="NY52" t="s">
        <v>232</v>
      </c>
      <c r="OC52" t="s">
        <v>232</v>
      </c>
      <c r="OG52" t="s">
        <v>232</v>
      </c>
      <c r="OK52" t="s">
        <v>232</v>
      </c>
    </row>
    <row r="53" spans="1:402">
      <c r="A53" t="s">
        <v>473</v>
      </c>
      <c r="B53" t="s">
        <v>94</v>
      </c>
      <c r="D53" t="s">
        <v>94</v>
      </c>
      <c r="F53" t="s">
        <v>94</v>
      </c>
      <c r="H53" t="s">
        <v>96</v>
      </c>
      <c r="L53" t="s">
        <v>100</v>
      </c>
      <c r="R53" t="s">
        <v>106</v>
      </c>
      <c r="T53" t="s">
        <v>474</v>
      </c>
      <c r="U53" t="s">
        <v>249</v>
      </c>
      <c r="V53" t="s">
        <v>475</v>
      </c>
      <c r="AB53" t="s">
        <v>113</v>
      </c>
      <c r="AE53" t="s">
        <v>95</v>
      </c>
      <c r="AF53">
        <v>0</v>
      </c>
      <c r="AH53" t="s">
        <v>95</v>
      </c>
      <c r="AI53">
        <v>0</v>
      </c>
      <c r="AM53" t="s">
        <v>118</v>
      </c>
      <c r="AR53" t="s">
        <v>123</v>
      </c>
      <c r="AU53" t="s">
        <v>476</v>
      </c>
      <c r="AW53" t="s">
        <v>127</v>
      </c>
      <c r="BC53" t="s">
        <v>129</v>
      </c>
      <c r="BF53" t="s">
        <v>128</v>
      </c>
      <c r="BK53" t="s">
        <v>129</v>
      </c>
      <c r="BL53" t="s">
        <v>126</v>
      </c>
      <c r="BS53" t="s">
        <v>129</v>
      </c>
      <c r="BV53" t="s">
        <v>128</v>
      </c>
      <c r="BX53" t="s">
        <v>126</v>
      </c>
      <c r="CB53" t="s">
        <v>126</v>
      </c>
      <c r="CH53" t="s">
        <v>128</v>
      </c>
      <c r="CM53" t="s">
        <v>129</v>
      </c>
      <c r="CN53" t="s">
        <v>126</v>
      </c>
      <c r="CT53" t="s">
        <v>128</v>
      </c>
      <c r="CY53" t="s">
        <v>129</v>
      </c>
      <c r="DC53" t="s">
        <v>129</v>
      </c>
      <c r="DD53" t="s">
        <v>126</v>
      </c>
      <c r="DH53" t="s">
        <v>126</v>
      </c>
      <c r="DL53" t="s">
        <v>126</v>
      </c>
      <c r="DP53" t="s">
        <v>126</v>
      </c>
      <c r="DU53" t="s">
        <v>127</v>
      </c>
      <c r="EA53" t="s">
        <v>129</v>
      </c>
      <c r="EB53" t="s">
        <v>126</v>
      </c>
      <c r="EI53" t="s">
        <v>129</v>
      </c>
      <c r="EM53" t="s">
        <v>129</v>
      </c>
      <c r="EQ53" t="s">
        <v>129</v>
      </c>
      <c r="EU53" t="s">
        <v>129</v>
      </c>
      <c r="EV53" t="s">
        <v>126</v>
      </c>
      <c r="FB53" t="s">
        <v>128</v>
      </c>
      <c r="FD53" t="s">
        <v>126</v>
      </c>
      <c r="FI53" t="s">
        <v>127</v>
      </c>
      <c r="FL53" t="s">
        <v>126</v>
      </c>
      <c r="FQ53" t="s">
        <v>95</v>
      </c>
      <c r="FS53" t="s">
        <v>95</v>
      </c>
      <c r="FU53" t="s">
        <v>95</v>
      </c>
      <c r="FW53" t="s">
        <v>95</v>
      </c>
      <c r="FY53" t="s">
        <v>95</v>
      </c>
      <c r="GA53" t="s">
        <v>95</v>
      </c>
      <c r="GC53" t="s">
        <v>95</v>
      </c>
      <c r="GE53" t="s">
        <v>95</v>
      </c>
      <c r="GG53" t="s">
        <v>95</v>
      </c>
      <c r="GH53" t="s">
        <v>94</v>
      </c>
      <c r="GK53" t="s">
        <v>95</v>
      </c>
      <c r="GL53" t="s">
        <v>94</v>
      </c>
      <c r="GO53" t="s">
        <v>95</v>
      </c>
      <c r="GQ53" t="s">
        <v>95</v>
      </c>
      <c r="GS53" t="s">
        <v>95</v>
      </c>
      <c r="GU53" t="s">
        <v>95</v>
      </c>
      <c r="GW53" t="s">
        <v>95</v>
      </c>
      <c r="GX53" t="s">
        <v>477</v>
      </c>
      <c r="GY53" t="s">
        <v>242</v>
      </c>
      <c r="HC53" t="s">
        <v>242</v>
      </c>
      <c r="HG53" t="s">
        <v>242</v>
      </c>
      <c r="HL53" t="s">
        <v>244</v>
      </c>
      <c r="HP53" t="s">
        <v>244</v>
      </c>
      <c r="HV53" t="s">
        <v>241</v>
      </c>
      <c r="HZ53" t="s">
        <v>241</v>
      </c>
      <c r="IA53" t="s">
        <v>242</v>
      </c>
      <c r="IH53" t="s">
        <v>241</v>
      </c>
      <c r="IJ53" t="s">
        <v>244</v>
      </c>
      <c r="IM53" t="s">
        <v>242</v>
      </c>
      <c r="IT53" t="s">
        <v>253</v>
      </c>
      <c r="IX53" t="s">
        <v>253</v>
      </c>
      <c r="JB53" t="s">
        <v>253</v>
      </c>
      <c r="JC53" t="s">
        <v>242</v>
      </c>
      <c r="JJ53" t="s">
        <v>253</v>
      </c>
      <c r="JL53" t="s">
        <v>244</v>
      </c>
      <c r="JQ53" t="s">
        <v>245</v>
      </c>
      <c r="JT53" t="s">
        <v>244</v>
      </c>
      <c r="JW53" t="s">
        <v>242</v>
      </c>
      <c r="KA53" t="s">
        <v>242</v>
      </c>
      <c r="KE53" t="s">
        <v>242</v>
      </c>
      <c r="KI53" t="s">
        <v>242</v>
      </c>
      <c r="KM53" t="s">
        <v>242</v>
      </c>
      <c r="KQ53" t="s">
        <v>242</v>
      </c>
      <c r="KW53" t="s">
        <v>232</v>
      </c>
      <c r="LB53" t="s">
        <v>233</v>
      </c>
      <c r="LD53" t="s">
        <v>231</v>
      </c>
      <c r="LJ53" t="s">
        <v>233</v>
      </c>
      <c r="LL53" t="s">
        <v>231</v>
      </c>
      <c r="LO53" t="s">
        <v>230</v>
      </c>
      <c r="LU53" t="s">
        <v>232</v>
      </c>
      <c r="LZ53" t="s">
        <v>233</v>
      </c>
      <c r="MB53" t="s">
        <v>231</v>
      </c>
      <c r="MH53" t="s">
        <v>233</v>
      </c>
      <c r="ML53" t="s">
        <v>233</v>
      </c>
      <c r="MP53" t="s">
        <v>233</v>
      </c>
      <c r="MT53" t="s">
        <v>233</v>
      </c>
      <c r="MU53" t="s">
        <v>230</v>
      </c>
      <c r="MY53" t="s">
        <v>230</v>
      </c>
      <c r="NC53" t="s">
        <v>230</v>
      </c>
      <c r="NJ53" t="s">
        <v>233</v>
      </c>
      <c r="NN53" t="s">
        <v>233</v>
      </c>
      <c r="NR53" t="s">
        <v>233</v>
      </c>
      <c r="NV53" t="s">
        <v>233</v>
      </c>
      <c r="NZ53" t="s">
        <v>233</v>
      </c>
      <c r="OB53" t="s">
        <v>231</v>
      </c>
      <c r="OH53" t="s">
        <v>233</v>
      </c>
      <c r="OK53" t="s">
        <v>232</v>
      </c>
    </row>
    <row r="54" spans="1:402">
      <c r="A54" t="s">
        <v>478</v>
      </c>
      <c r="B54" t="s">
        <v>94</v>
      </c>
      <c r="D54" t="s">
        <v>94</v>
      </c>
      <c r="F54" t="s">
        <v>94</v>
      </c>
      <c r="I54" t="s">
        <v>97</v>
      </c>
      <c r="M54" t="s">
        <v>101</v>
      </c>
      <c r="S54" t="s">
        <v>479</v>
      </c>
      <c r="T54" t="s">
        <v>480</v>
      </c>
      <c r="U54" t="s">
        <v>481</v>
      </c>
      <c r="V54" t="s">
        <v>238</v>
      </c>
      <c r="AA54" t="s">
        <v>112</v>
      </c>
      <c r="AE54" t="s">
        <v>95</v>
      </c>
      <c r="AH54" t="s">
        <v>95</v>
      </c>
      <c r="AM54" t="s">
        <v>118</v>
      </c>
      <c r="AR54" t="s">
        <v>123</v>
      </c>
      <c r="AU54" t="s">
        <v>482</v>
      </c>
      <c r="AX54" t="s">
        <v>128</v>
      </c>
      <c r="BA54" t="s">
        <v>127</v>
      </c>
      <c r="BD54" t="s">
        <v>126</v>
      </c>
      <c r="BI54" t="s">
        <v>127</v>
      </c>
      <c r="BM54" t="s">
        <v>127</v>
      </c>
      <c r="BS54" t="s">
        <v>129</v>
      </c>
      <c r="BT54" t="s">
        <v>126</v>
      </c>
      <c r="BX54" t="s">
        <v>126</v>
      </c>
      <c r="CB54" t="s">
        <v>126</v>
      </c>
      <c r="CG54" t="s">
        <v>127</v>
      </c>
      <c r="CL54" t="s">
        <v>128</v>
      </c>
      <c r="CN54" t="s">
        <v>126</v>
      </c>
      <c r="CR54" t="s">
        <v>126</v>
      </c>
      <c r="CY54" t="s">
        <v>129</v>
      </c>
      <c r="DA54" t="s">
        <v>127</v>
      </c>
      <c r="DE54" t="s">
        <v>127</v>
      </c>
      <c r="DH54" t="s">
        <v>126</v>
      </c>
      <c r="DM54" t="s">
        <v>127</v>
      </c>
      <c r="DP54" t="s">
        <v>126</v>
      </c>
      <c r="DT54" t="s">
        <v>126</v>
      </c>
      <c r="DZ54" t="s">
        <v>128</v>
      </c>
      <c r="EC54" t="s">
        <v>127</v>
      </c>
      <c r="EI54" t="s">
        <v>129</v>
      </c>
      <c r="EM54" t="s">
        <v>129</v>
      </c>
      <c r="EQ54" t="s">
        <v>129</v>
      </c>
      <c r="ER54" t="s">
        <v>126</v>
      </c>
      <c r="EV54" t="s">
        <v>126</v>
      </c>
      <c r="FA54" t="s">
        <v>127</v>
      </c>
      <c r="FG54" t="s">
        <v>129</v>
      </c>
      <c r="FK54" t="s">
        <v>129</v>
      </c>
      <c r="FL54" t="s">
        <v>126</v>
      </c>
      <c r="FQ54" t="s">
        <v>95</v>
      </c>
      <c r="FS54" t="s">
        <v>95</v>
      </c>
      <c r="FU54" t="s">
        <v>95</v>
      </c>
      <c r="FW54" t="s">
        <v>95</v>
      </c>
      <c r="FY54" t="s">
        <v>95</v>
      </c>
      <c r="GA54" t="s">
        <v>95</v>
      </c>
      <c r="GC54" t="s">
        <v>95</v>
      </c>
      <c r="GE54" t="s">
        <v>95</v>
      </c>
      <c r="GG54" t="s">
        <v>95</v>
      </c>
      <c r="GI54" t="s">
        <v>95</v>
      </c>
      <c r="GK54" t="s">
        <v>95</v>
      </c>
      <c r="GM54" t="s">
        <v>95</v>
      </c>
      <c r="GO54" t="s">
        <v>95</v>
      </c>
      <c r="GQ54" t="s">
        <v>95</v>
      </c>
      <c r="GS54" t="s">
        <v>95</v>
      </c>
      <c r="GU54" t="s">
        <v>95</v>
      </c>
      <c r="GW54" t="s">
        <v>95</v>
      </c>
      <c r="GX54" t="s">
        <v>483</v>
      </c>
      <c r="HA54" t="s">
        <v>243</v>
      </c>
      <c r="HD54" t="s">
        <v>244</v>
      </c>
      <c r="HI54" t="s">
        <v>243</v>
      </c>
      <c r="HM54" t="s">
        <v>243</v>
      </c>
      <c r="HR54" t="s">
        <v>241</v>
      </c>
      <c r="HT54" t="s">
        <v>244</v>
      </c>
      <c r="HW54" t="s">
        <v>242</v>
      </c>
      <c r="ID54" t="s">
        <v>241</v>
      </c>
      <c r="IH54" t="s">
        <v>241</v>
      </c>
      <c r="II54" t="s">
        <v>242</v>
      </c>
      <c r="IN54" t="s">
        <v>244</v>
      </c>
      <c r="IT54" t="s">
        <v>253</v>
      </c>
      <c r="IX54" t="s">
        <v>253</v>
      </c>
      <c r="JB54" t="s">
        <v>253</v>
      </c>
      <c r="JE54" t="s">
        <v>245</v>
      </c>
      <c r="JI54" t="s">
        <v>245</v>
      </c>
      <c r="JM54" t="s">
        <v>245</v>
      </c>
      <c r="JO54" t="s">
        <v>242</v>
      </c>
      <c r="JT54" t="s">
        <v>244</v>
      </c>
      <c r="JZ54" t="s">
        <v>241</v>
      </c>
      <c r="KC54" t="s">
        <v>243</v>
      </c>
      <c r="KE54" t="s">
        <v>242</v>
      </c>
      <c r="KJ54" t="s">
        <v>244</v>
      </c>
      <c r="KM54" t="s">
        <v>242</v>
      </c>
      <c r="KQ54" t="s">
        <v>242</v>
      </c>
      <c r="KU54" t="s">
        <v>230</v>
      </c>
      <c r="KY54" t="s">
        <v>230</v>
      </c>
      <c r="LD54" t="s">
        <v>231</v>
      </c>
      <c r="LG54" t="s">
        <v>230</v>
      </c>
      <c r="LL54" t="s">
        <v>231</v>
      </c>
      <c r="LP54" t="s">
        <v>231</v>
      </c>
      <c r="LS54" t="s">
        <v>230</v>
      </c>
      <c r="LX54" t="s">
        <v>231</v>
      </c>
      <c r="MA54" t="s">
        <v>230</v>
      </c>
      <c r="MF54" t="s">
        <v>231</v>
      </c>
      <c r="MI54" t="s">
        <v>230</v>
      </c>
      <c r="MM54" t="s">
        <v>230</v>
      </c>
      <c r="MQ54" t="s">
        <v>230</v>
      </c>
      <c r="MU54" t="s">
        <v>230</v>
      </c>
      <c r="MZ54" t="s">
        <v>231</v>
      </c>
      <c r="NE54" t="s">
        <v>232</v>
      </c>
      <c r="NJ54" t="s">
        <v>233</v>
      </c>
      <c r="NN54" t="s">
        <v>233</v>
      </c>
      <c r="NQ54" t="s">
        <v>232</v>
      </c>
      <c r="NT54" t="s">
        <v>231</v>
      </c>
      <c r="NW54" t="s">
        <v>230</v>
      </c>
      <c r="OC54" t="s">
        <v>232</v>
      </c>
      <c r="OH54" t="s">
        <v>233</v>
      </c>
      <c r="OL54" t="s">
        <v>233</v>
      </c>
    </row>
    <row r="55" spans="1:402">
      <c r="A55" t="s">
        <v>484</v>
      </c>
      <c r="B55" t="s">
        <v>94</v>
      </c>
      <c r="D55" t="s">
        <v>94</v>
      </c>
      <c r="F55" t="s">
        <v>94</v>
      </c>
      <c r="H55" t="s">
        <v>96</v>
      </c>
      <c r="O55" t="s">
        <v>103</v>
      </c>
      <c r="S55" t="s">
        <v>485</v>
      </c>
      <c r="T55" t="s">
        <v>486</v>
      </c>
      <c r="U55" t="s">
        <v>487</v>
      </c>
      <c r="V55" t="s">
        <v>250</v>
      </c>
      <c r="W55" t="s">
        <v>108</v>
      </c>
      <c r="AE55" t="s">
        <v>95</v>
      </c>
      <c r="AH55" t="s">
        <v>95</v>
      </c>
      <c r="AN55" t="s">
        <v>119</v>
      </c>
      <c r="AS55" t="s">
        <v>124</v>
      </c>
      <c r="AU55" t="s">
        <v>488</v>
      </c>
      <c r="AY55" t="s">
        <v>129</v>
      </c>
      <c r="BA55" t="s">
        <v>127</v>
      </c>
      <c r="BF55" t="s">
        <v>128</v>
      </c>
      <c r="BJ55" t="s">
        <v>128</v>
      </c>
      <c r="BM55" t="s">
        <v>127</v>
      </c>
      <c r="BR55" t="s">
        <v>128</v>
      </c>
      <c r="BV55" t="s">
        <v>128</v>
      </c>
      <c r="BY55" t="s">
        <v>127</v>
      </c>
      <c r="CC55" t="s">
        <v>127</v>
      </c>
      <c r="CH55" t="s">
        <v>128</v>
      </c>
      <c r="CJ55" t="s">
        <v>126</v>
      </c>
      <c r="CO55" t="s">
        <v>127</v>
      </c>
      <c r="CR55" t="s">
        <v>126</v>
      </c>
      <c r="CW55" t="s">
        <v>127</v>
      </c>
      <c r="DA55" t="s">
        <v>127</v>
      </c>
      <c r="DD55" t="s">
        <v>126</v>
      </c>
      <c r="DI55" t="s">
        <v>127</v>
      </c>
      <c r="DN55" t="s">
        <v>128</v>
      </c>
      <c r="DP55" t="s">
        <v>126</v>
      </c>
      <c r="DV55" t="s">
        <v>128</v>
      </c>
      <c r="EA55" t="s">
        <v>129</v>
      </c>
      <c r="ED55" t="s">
        <v>128</v>
      </c>
      <c r="EF55" t="s">
        <v>126</v>
      </c>
      <c r="EL55" t="s">
        <v>128</v>
      </c>
      <c r="EP55" t="s">
        <v>128</v>
      </c>
      <c r="ES55" t="s">
        <v>127</v>
      </c>
      <c r="EV55" t="s">
        <v>126</v>
      </c>
      <c r="FB55" t="s">
        <v>128</v>
      </c>
      <c r="FE55" t="s">
        <v>127</v>
      </c>
      <c r="FH55" t="s">
        <v>126</v>
      </c>
      <c r="FM55" t="s">
        <v>127</v>
      </c>
      <c r="FP55" t="s">
        <v>94</v>
      </c>
      <c r="FS55" t="s">
        <v>95</v>
      </c>
      <c r="FU55" t="s">
        <v>95</v>
      </c>
      <c r="FW55" t="s">
        <v>95</v>
      </c>
      <c r="FY55" t="s">
        <v>95</v>
      </c>
      <c r="GA55" t="s">
        <v>95</v>
      </c>
      <c r="GC55" t="s">
        <v>95</v>
      </c>
      <c r="GE55" t="s">
        <v>95</v>
      </c>
      <c r="GG55" t="s">
        <v>95</v>
      </c>
      <c r="GI55" t="s">
        <v>95</v>
      </c>
      <c r="GJ55" t="s">
        <v>94</v>
      </c>
      <c r="GL55" t="s">
        <v>94</v>
      </c>
      <c r="GO55" t="s">
        <v>95</v>
      </c>
      <c r="GQ55" t="s">
        <v>95</v>
      </c>
      <c r="GS55" t="s">
        <v>95</v>
      </c>
      <c r="GU55" t="s">
        <v>95</v>
      </c>
      <c r="GW55" t="s">
        <v>95</v>
      </c>
      <c r="GZ55" t="s">
        <v>244</v>
      </c>
      <c r="HD55" t="s">
        <v>244</v>
      </c>
      <c r="HH55" t="s">
        <v>244</v>
      </c>
      <c r="HM55" t="s">
        <v>243</v>
      </c>
      <c r="HQ55" t="s">
        <v>243</v>
      </c>
      <c r="HT55" t="s">
        <v>244</v>
      </c>
      <c r="HY55" t="s">
        <v>243</v>
      </c>
      <c r="IC55" t="s">
        <v>243</v>
      </c>
      <c r="IF55" t="s">
        <v>244</v>
      </c>
      <c r="II55" t="s">
        <v>242</v>
      </c>
      <c r="IO55" t="s">
        <v>243</v>
      </c>
      <c r="IQ55" t="s">
        <v>242</v>
      </c>
      <c r="IV55" t="s">
        <v>244</v>
      </c>
      <c r="JA55" t="s">
        <v>245</v>
      </c>
      <c r="JE55" t="s">
        <v>245</v>
      </c>
      <c r="JH55" t="s">
        <v>244</v>
      </c>
      <c r="JK55" t="s">
        <v>242</v>
      </c>
      <c r="JO55" t="s">
        <v>242</v>
      </c>
      <c r="JT55" t="s">
        <v>244</v>
      </c>
      <c r="JX55" t="s">
        <v>244</v>
      </c>
      <c r="KC55" t="s">
        <v>243</v>
      </c>
      <c r="KE55" t="s">
        <v>242</v>
      </c>
      <c r="KJ55" t="s">
        <v>244</v>
      </c>
      <c r="KM55" t="s">
        <v>242</v>
      </c>
      <c r="KQ55" t="s">
        <v>242</v>
      </c>
      <c r="KU55" t="s">
        <v>230</v>
      </c>
      <c r="KY55" t="s">
        <v>230</v>
      </c>
      <c r="LD55" t="s">
        <v>231</v>
      </c>
      <c r="LH55" t="s">
        <v>231</v>
      </c>
      <c r="LM55" t="s">
        <v>232</v>
      </c>
      <c r="LP55" t="s">
        <v>231</v>
      </c>
      <c r="LU55" t="s">
        <v>232</v>
      </c>
      <c r="LZ55" t="s">
        <v>233</v>
      </c>
      <c r="MA55" t="s">
        <v>230</v>
      </c>
      <c r="MG55" t="s">
        <v>232</v>
      </c>
      <c r="MK55" t="s">
        <v>232</v>
      </c>
      <c r="MN55" t="s">
        <v>231</v>
      </c>
      <c r="MS55" t="s">
        <v>232</v>
      </c>
      <c r="MW55" t="s">
        <v>232</v>
      </c>
      <c r="MY55" t="s">
        <v>230</v>
      </c>
      <c r="NE55" t="s">
        <v>232</v>
      </c>
      <c r="NI55" t="s">
        <v>232</v>
      </c>
      <c r="NL55" t="s">
        <v>231</v>
      </c>
      <c r="NQ55" t="s">
        <v>232</v>
      </c>
      <c r="NT55" t="s">
        <v>231</v>
      </c>
      <c r="NW55" t="s">
        <v>230</v>
      </c>
      <c r="OC55" t="s">
        <v>232</v>
      </c>
      <c r="OG55" t="s">
        <v>232</v>
      </c>
      <c r="OJ55" t="s">
        <v>231</v>
      </c>
    </row>
    <row r="56" spans="1:402">
      <c r="A56" t="s">
        <v>489</v>
      </c>
      <c r="B56" t="s">
        <v>94</v>
      </c>
      <c r="D56" t="s">
        <v>94</v>
      </c>
      <c r="F56" t="s">
        <v>94</v>
      </c>
      <c r="I56" t="s">
        <v>97</v>
      </c>
      <c r="M56" t="s">
        <v>101</v>
      </c>
      <c r="S56" t="s">
        <v>490</v>
      </c>
      <c r="T56" t="s">
        <v>491</v>
      </c>
      <c r="U56" t="s">
        <v>237</v>
      </c>
      <c r="V56" t="s">
        <v>268</v>
      </c>
      <c r="AA56" t="s">
        <v>112</v>
      </c>
      <c r="AE56" t="s">
        <v>95</v>
      </c>
      <c r="AF56">
        <v>0</v>
      </c>
      <c r="AG56" t="s">
        <v>94</v>
      </c>
      <c r="AI56">
        <v>2</v>
      </c>
      <c r="AM56" t="s">
        <v>118</v>
      </c>
      <c r="AR56" t="s">
        <v>123</v>
      </c>
      <c r="AU56" t="s">
        <v>492</v>
      </c>
      <c r="AX56" t="s">
        <v>128</v>
      </c>
      <c r="BA56" t="s">
        <v>127</v>
      </c>
      <c r="BF56" t="s">
        <v>128</v>
      </c>
      <c r="BJ56" t="s">
        <v>128</v>
      </c>
      <c r="BM56" t="s">
        <v>127</v>
      </c>
      <c r="BS56" t="s">
        <v>129</v>
      </c>
      <c r="BU56" t="s">
        <v>127</v>
      </c>
      <c r="BY56" t="s">
        <v>127</v>
      </c>
      <c r="CD56" t="s">
        <v>128</v>
      </c>
      <c r="CI56" t="s">
        <v>129</v>
      </c>
      <c r="CL56" t="s">
        <v>128</v>
      </c>
      <c r="CN56" t="s">
        <v>126</v>
      </c>
      <c r="CS56" t="s">
        <v>127</v>
      </c>
      <c r="CW56" t="s">
        <v>127</v>
      </c>
      <c r="DB56" t="s">
        <v>128</v>
      </c>
      <c r="DD56" t="s">
        <v>126</v>
      </c>
      <c r="DH56" t="s">
        <v>126</v>
      </c>
      <c r="DL56" t="s">
        <v>126</v>
      </c>
      <c r="DQ56" t="s">
        <v>127</v>
      </c>
      <c r="DV56" t="s">
        <v>128</v>
      </c>
      <c r="EA56" t="s">
        <v>129</v>
      </c>
      <c r="EE56" t="s">
        <v>129</v>
      </c>
      <c r="EG56" t="s">
        <v>127</v>
      </c>
      <c r="EK56" t="s">
        <v>127</v>
      </c>
      <c r="EP56" t="s">
        <v>128</v>
      </c>
      <c r="ET56" t="s">
        <v>128</v>
      </c>
      <c r="EV56" t="s">
        <v>126</v>
      </c>
      <c r="FB56" t="s">
        <v>128</v>
      </c>
      <c r="FF56" t="s">
        <v>128</v>
      </c>
      <c r="FI56" t="s">
        <v>127</v>
      </c>
      <c r="FL56" t="s">
        <v>126</v>
      </c>
      <c r="FP56" t="s">
        <v>94</v>
      </c>
      <c r="FS56" t="s">
        <v>95</v>
      </c>
      <c r="FU56" t="s">
        <v>95</v>
      </c>
      <c r="FW56" t="s">
        <v>95</v>
      </c>
      <c r="FX56" t="s">
        <v>94</v>
      </c>
      <c r="FZ56" t="s">
        <v>94</v>
      </c>
      <c r="GB56" t="s">
        <v>94</v>
      </c>
      <c r="GD56" t="s">
        <v>94</v>
      </c>
      <c r="GF56" t="s">
        <v>94</v>
      </c>
      <c r="GH56" t="s">
        <v>94</v>
      </c>
      <c r="GJ56" t="s">
        <v>94</v>
      </c>
      <c r="GM56" t="s">
        <v>95</v>
      </c>
      <c r="GN56" t="s">
        <v>94</v>
      </c>
      <c r="GP56" t="s">
        <v>94</v>
      </c>
      <c r="GR56" t="s">
        <v>94</v>
      </c>
      <c r="GU56" t="s">
        <v>95</v>
      </c>
      <c r="GW56" t="s">
        <v>95</v>
      </c>
      <c r="HA56" t="s">
        <v>243</v>
      </c>
      <c r="HD56" t="s">
        <v>244</v>
      </c>
      <c r="HI56" t="s">
        <v>243</v>
      </c>
      <c r="HL56" t="s">
        <v>244</v>
      </c>
      <c r="HQ56" t="s">
        <v>243</v>
      </c>
      <c r="HU56" t="s">
        <v>243</v>
      </c>
      <c r="HY56" t="s">
        <v>243</v>
      </c>
      <c r="IC56" t="s">
        <v>243</v>
      </c>
      <c r="IG56" t="s">
        <v>243</v>
      </c>
      <c r="IJ56" t="s">
        <v>244</v>
      </c>
      <c r="IP56" t="s">
        <v>241</v>
      </c>
      <c r="IR56" t="s">
        <v>244</v>
      </c>
      <c r="IV56" t="s">
        <v>244</v>
      </c>
      <c r="JA56" t="s">
        <v>245</v>
      </c>
      <c r="JE56" t="s">
        <v>245</v>
      </c>
      <c r="JI56" t="s">
        <v>245</v>
      </c>
      <c r="JM56" t="s">
        <v>245</v>
      </c>
      <c r="JP56" t="s">
        <v>244</v>
      </c>
      <c r="JS56" t="s">
        <v>242</v>
      </c>
      <c r="JX56" t="s">
        <v>244</v>
      </c>
      <c r="KC56" t="s">
        <v>243</v>
      </c>
      <c r="KH56" t="s">
        <v>241</v>
      </c>
      <c r="KL56" t="s">
        <v>241</v>
      </c>
      <c r="KO56" t="s">
        <v>243</v>
      </c>
      <c r="KQ56" t="s">
        <v>242</v>
      </c>
      <c r="KW56" t="s">
        <v>232</v>
      </c>
      <c r="LA56" t="s">
        <v>232</v>
      </c>
      <c r="LD56" t="s">
        <v>231</v>
      </c>
      <c r="LI56" t="s">
        <v>232</v>
      </c>
      <c r="LM56" t="s">
        <v>232</v>
      </c>
      <c r="LQ56" t="s">
        <v>232</v>
      </c>
      <c r="LU56" t="s">
        <v>232</v>
      </c>
      <c r="LW56" t="s">
        <v>230</v>
      </c>
      <c r="MC56" t="s">
        <v>232</v>
      </c>
      <c r="MG56" t="s">
        <v>232</v>
      </c>
      <c r="MK56" t="s">
        <v>232</v>
      </c>
      <c r="MN56" t="s">
        <v>231</v>
      </c>
      <c r="MS56" t="s">
        <v>232</v>
      </c>
      <c r="MW56" t="s">
        <v>232</v>
      </c>
      <c r="MY56" t="s">
        <v>230</v>
      </c>
      <c r="ND56" t="s">
        <v>231</v>
      </c>
      <c r="NI56" t="s">
        <v>232</v>
      </c>
      <c r="NM56" t="s">
        <v>232</v>
      </c>
      <c r="NP56" t="s">
        <v>231</v>
      </c>
      <c r="NU56" t="s">
        <v>232</v>
      </c>
      <c r="NY56" t="s">
        <v>232</v>
      </c>
      <c r="OB56" t="s">
        <v>231</v>
      </c>
      <c r="OG56" t="s">
        <v>232</v>
      </c>
      <c r="OI56" t="s">
        <v>230</v>
      </c>
    </row>
    <row r="57" spans="1:402">
      <c r="A57" t="s">
        <v>493</v>
      </c>
      <c r="B57" t="s">
        <v>94</v>
      </c>
      <c r="D57" t="s">
        <v>94</v>
      </c>
      <c r="F57" t="s">
        <v>94</v>
      </c>
      <c r="I57" t="s">
        <v>97</v>
      </c>
      <c r="M57" t="s">
        <v>101</v>
      </c>
      <c r="S57" t="s">
        <v>494</v>
      </c>
      <c r="T57" t="s">
        <v>375</v>
      </c>
      <c r="U57" t="s">
        <v>277</v>
      </c>
      <c r="V57" t="s">
        <v>495</v>
      </c>
      <c r="AB57" t="s">
        <v>113</v>
      </c>
      <c r="AE57" t="s">
        <v>95</v>
      </c>
      <c r="AF57">
        <v>0</v>
      </c>
      <c r="AH57" t="s">
        <v>95</v>
      </c>
      <c r="AI57">
        <v>0</v>
      </c>
      <c r="AM57" t="s">
        <v>118</v>
      </c>
      <c r="AR57" t="s">
        <v>123</v>
      </c>
      <c r="AU57" t="s">
        <v>496</v>
      </c>
      <c r="AX57" t="s">
        <v>128</v>
      </c>
      <c r="BA57" t="s">
        <v>127</v>
      </c>
      <c r="BE57" t="s">
        <v>127</v>
      </c>
      <c r="BI57" t="s">
        <v>127</v>
      </c>
      <c r="BN57" t="s">
        <v>128</v>
      </c>
      <c r="BR57" t="s">
        <v>128</v>
      </c>
      <c r="BU57" t="s">
        <v>127</v>
      </c>
      <c r="BY57" t="s">
        <v>127</v>
      </c>
      <c r="CC57" t="s">
        <v>127</v>
      </c>
      <c r="CH57" t="s">
        <v>128</v>
      </c>
      <c r="CK57" t="s">
        <v>127</v>
      </c>
      <c r="CO57" t="s">
        <v>127</v>
      </c>
      <c r="CS57" t="s">
        <v>127</v>
      </c>
      <c r="CY57" t="s">
        <v>129</v>
      </c>
      <c r="DC57" t="s">
        <v>129</v>
      </c>
      <c r="DE57" t="s">
        <v>127</v>
      </c>
      <c r="DI57" t="s">
        <v>127</v>
      </c>
      <c r="DM57" t="s">
        <v>127</v>
      </c>
      <c r="DP57" t="s">
        <v>126</v>
      </c>
      <c r="DU57" t="s">
        <v>127</v>
      </c>
      <c r="DZ57" t="s">
        <v>128</v>
      </c>
      <c r="EE57" t="s">
        <v>129</v>
      </c>
      <c r="EI57" t="s">
        <v>129</v>
      </c>
      <c r="EL57" t="s">
        <v>128</v>
      </c>
      <c r="EQ57" t="s">
        <v>129</v>
      </c>
      <c r="ES57" t="s">
        <v>127</v>
      </c>
      <c r="EV57" t="s">
        <v>126</v>
      </c>
      <c r="FB57" t="s">
        <v>128</v>
      </c>
      <c r="FG57" t="s">
        <v>129</v>
      </c>
      <c r="FI57" t="s">
        <v>127</v>
      </c>
      <c r="FM57" t="s">
        <v>127</v>
      </c>
      <c r="FQ57" t="s">
        <v>95</v>
      </c>
      <c r="FS57" t="s">
        <v>95</v>
      </c>
      <c r="FU57" t="s">
        <v>95</v>
      </c>
      <c r="FW57" t="s">
        <v>95</v>
      </c>
      <c r="FY57" t="s">
        <v>95</v>
      </c>
      <c r="GA57" t="s">
        <v>95</v>
      </c>
      <c r="GC57" t="s">
        <v>95</v>
      </c>
      <c r="GE57" t="s">
        <v>95</v>
      </c>
      <c r="GG57" t="s">
        <v>95</v>
      </c>
      <c r="GH57" t="s">
        <v>94</v>
      </c>
      <c r="GK57" t="s">
        <v>95</v>
      </c>
      <c r="GM57" t="s">
        <v>95</v>
      </c>
      <c r="GO57" t="s">
        <v>95</v>
      </c>
      <c r="GQ57" t="s">
        <v>95</v>
      </c>
      <c r="GS57" t="s">
        <v>95</v>
      </c>
      <c r="GU57" t="s">
        <v>95</v>
      </c>
      <c r="GW57" t="s">
        <v>95</v>
      </c>
      <c r="GX57" t="s">
        <v>497</v>
      </c>
      <c r="GY57" t="s">
        <v>242</v>
      </c>
      <c r="HC57" t="s">
        <v>242</v>
      </c>
      <c r="HG57" t="s">
        <v>242</v>
      </c>
      <c r="HL57" t="s">
        <v>244</v>
      </c>
      <c r="HO57" t="s">
        <v>242</v>
      </c>
      <c r="HS57" t="s">
        <v>242</v>
      </c>
      <c r="HW57" t="s">
        <v>242</v>
      </c>
      <c r="IA57" t="s">
        <v>242</v>
      </c>
      <c r="IE57" t="s">
        <v>242</v>
      </c>
      <c r="II57" t="s">
        <v>242</v>
      </c>
      <c r="IM57" t="s">
        <v>242</v>
      </c>
      <c r="IQ57" t="s">
        <v>242</v>
      </c>
      <c r="IU57" t="s">
        <v>242</v>
      </c>
      <c r="IZ57" t="s">
        <v>244</v>
      </c>
      <c r="JC57" t="s">
        <v>242</v>
      </c>
      <c r="JG57" t="s">
        <v>242</v>
      </c>
      <c r="JK57" t="s">
        <v>242</v>
      </c>
      <c r="JO57" t="s">
        <v>242</v>
      </c>
      <c r="JS57" t="s">
        <v>242</v>
      </c>
      <c r="JW57" t="s">
        <v>242</v>
      </c>
      <c r="KB57" t="s">
        <v>244</v>
      </c>
      <c r="KE57" t="s">
        <v>242</v>
      </c>
      <c r="KI57" t="s">
        <v>242</v>
      </c>
      <c r="KM57" t="s">
        <v>242</v>
      </c>
      <c r="KQ57" t="s">
        <v>242</v>
      </c>
      <c r="KU57" t="s">
        <v>230</v>
      </c>
      <c r="KY57" t="s">
        <v>230</v>
      </c>
      <c r="LC57" t="s">
        <v>230</v>
      </c>
      <c r="LG57" t="s">
        <v>230</v>
      </c>
      <c r="LK57" t="s">
        <v>230</v>
      </c>
      <c r="LO57" t="s">
        <v>230</v>
      </c>
      <c r="LS57" t="s">
        <v>230</v>
      </c>
      <c r="LW57" t="s">
        <v>230</v>
      </c>
      <c r="MA57" t="s">
        <v>230</v>
      </c>
      <c r="MF57" t="s">
        <v>231</v>
      </c>
      <c r="MI57" t="s">
        <v>230</v>
      </c>
      <c r="MM57" t="s">
        <v>230</v>
      </c>
      <c r="MQ57" t="s">
        <v>230</v>
      </c>
      <c r="MU57" t="s">
        <v>230</v>
      </c>
      <c r="MY57" t="s">
        <v>230</v>
      </c>
      <c r="NC57" t="s">
        <v>230</v>
      </c>
      <c r="NH57" t="s">
        <v>231</v>
      </c>
      <c r="NL57" t="s">
        <v>231</v>
      </c>
      <c r="NP57" t="s">
        <v>231</v>
      </c>
      <c r="NS57" t="s">
        <v>230</v>
      </c>
      <c r="NW57" t="s">
        <v>230</v>
      </c>
      <c r="OA57" t="s">
        <v>230</v>
      </c>
      <c r="OF57" t="s">
        <v>231</v>
      </c>
      <c r="OI57" t="s">
        <v>230</v>
      </c>
    </row>
    <row r="58" spans="1:402">
      <c r="A58" t="s">
        <v>498</v>
      </c>
      <c r="B58" t="s">
        <v>94</v>
      </c>
      <c r="D58" t="s">
        <v>94</v>
      </c>
      <c r="F58" t="s">
        <v>94</v>
      </c>
      <c r="I58" t="s">
        <v>97</v>
      </c>
      <c r="L58" t="s">
        <v>100</v>
      </c>
      <c r="R58" t="s">
        <v>106</v>
      </c>
      <c r="T58" t="s">
        <v>381</v>
      </c>
      <c r="U58" t="s">
        <v>249</v>
      </c>
      <c r="V58" t="s">
        <v>350</v>
      </c>
      <c r="AA58" t="s">
        <v>112</v>
      </c>
      <c r="AE58" t="s">
        <v>95</v>
      </c>
      <c r="AF58">
        <v>0</v>
      </c>
      <c r="AG58" t="s">
        <v>94</v>
      </c>
      <c r="AI58">
        <v>1</v>
      </c>
      <c r="AM58" t="s">
        <v>118</v>
      </c>
      <c r="AS58" t="s">
        <v>124</v>
      </c>
      <c r="AU58" t="s">
        <v>499</v>
      </c>
      <c r="AV58" t="s">
        <v>126</v>
      </c>
      <c r="BB58" t="s">
        <v>128</v>
      </c>
      <c r="BG58" t="s">
        <v>129</v>
      </c>
      <c r="BJ58" t="s">
        <v>128</v>
      </c>
      <c r="BO58" t="s">
        <v>129</v>
      </c>
      <c r="BS58" t="s">
        <v>129</v>
      </c>
      <c r="BW58" t="s">
        <v>129</v>
      </c>
      <c r="BZ58" t="s">
        <v>128</v>
      </c>
      <c r="CD58" t="s">
        <v>128</v>
      </c>
      <c r="CI58" t="s">
        <v>129</v>
      </c>
      <c r="CL58" t="s">
        <v>128</v>
      </c>
      <c r="CQ58" t="s">
        <v>129</v>
      </c>
      <c r="CT58" t="s">
        <v>128</v>
      </c>
      <c r="CX58" t="s">
        <v>128</v>
      </c>
      <c r="DC58" t="s">
        <v>129</v>
      </c>
      <c r="DE58" t="s">
        <v>127</v>
      </c>
      <c r="DI58" t="s">
        <v>127</v>
      </c>
      <c r="DM58" t="s">
        <v>127</v>
      </c>
      <c r="DR58" t="s">
        <v>128</v>
      </c>
      <c r="DW58" t="s">
        <v>129</v>
      </c>
      <c r="EA58" t="s">
        <v>129</v>
      </c>
      <c r="ED58" t="s">
        <v>128</v>
      </c>
      <c r="EG58" t="s">
        <v>127</v>
      </c>
      <c r="EM58" t="s">
        <v>129</v>
      </c>
      <c r="EQ58" t="s">
        <v>129</v>
      </c>
      <c r="EU58" t="s">
        <v>129</v>
      </c>
      <c r="EX58" t="s">
        <v>128</v>
      </c>
      <c r="FC58" t="s">
        <v>129</v>
      </c>
      <c r="FG58" t="s">
        <v>129</v>
      </c>
      <c r="FK58" t="s">
        <v>129</v>
      </c>
      <c r="FM58" t="s">
        <v>127</v>
      </c>
      <c r="FP58" t="s">
        <v>94</v>
      </c>
      <c r="FS58" t="s">
        <v>95</v>
      </c>
      <c r="FU58" t="s">
        <v>95</v>
      </c>
      <c r="FW58" t="s">
        <v>95</v>
      </c>
      <c r="FY58" t="s">
        <v>95</v>
      </c>
      <c r="GA58" t="s">
        <v>95</v>
      </c>
      <c r="GC58" t="s">
        <v>95</v>
      </c>
      <c r="GE58" t="s">
        <v>95</v>
      </c>
      <c r="GG58" t="s">
        <v>95</v>
      </c>
      <c r="GH58" t="s">
        <v>94</v>
      </c>
      <c r="GJ58" t="s">
        <v>94</v>
      </c>
      <c r="GM58" t="s">
        <v>95</v>
      </c>
      <c r="GO58" t="s">
        <v>95</v>
      </c>
      <c r="GQ58" t="s">
        <v>95</v>
      </c>
      <c r="GS58" t="s">
        <v>95</v>
      </c>
      <c r="GU58" t="s">
        <v>95</v>
      </c>
      <c r="GW58" t="s">
        <v>95</v>
      </c>
      <c r="GX58" t="s">
        <v>251</v>
      </c>
      <c r="GZ58" t="s">
        <v>244</v>
      </c>
      <c r="HC58" t="s">
        <v>242</v>
      </c>
      <c r="HH58" t="s">
        <v>244</v>
      </c>
      <c r="HL58" t="s">
        <v>244</v>
      </c>
      <c r="HP58" t="s">
        <v>244</v>
      </c>
      <c r="HS58" t="s">
        <v>242</v>
      </c>
      <c r="HX58" t="s">
        <v>244</v>
      </c>
      <c r="IC58" t="s">
        <v>243</v>
      </c>
      <c r="IG58" t="s">
        <v>243</v>
      </c>
      <c r="IL58" t="s">
        <v>241</v>
      </c>
      <c r="IM58" t="s">
        <v>242</v>
      </c>
      <c r="IQ58" t="s">
        <v>242</v>
      </c>
      <c r="IV58" t="s">
        <v>244</v>
      </c>
      <c r="IZ58" t="s">
        <v>244</v>
      </c>
      <c r="JC58" t="s">
        <v>242</v>
      </c>
      <c r="JG58" t="s">
        <v>242</v>
      </c>
      <c r="JM58" t="s">
        <v>245</v>
      </c>
      <c r="JQ58" t="s">
        <v>245</v>
      </c>
      <c r="JS58" t="s">
        <v>242</v>
      </c>
      <c r="JW58" t="s">
        <v>242</v>
      </c>
      <c r="KA58" t="s">
        <v>242</v>
      </c>
      <c r="KF58" t="s">
        <v>244</v>
      </c>
      <c r="KI58" t="s">
        <v>242</v>
      </c>
      <c r="KM58" t="s">
        <v>242</v>
      </c>
      <c r="KQ58" t="s">
        <v>242</v>
      </c>
      <c r="KU58" t="s">
        <v>230</v>
      </c>
      <c r="KY58" t="s">
        <v>230</v>
      </c>
      <c r="LC58" t="s">
        <v>230</v>
      </c>
      <c r="LG58" t="s">
        <v>230</v>
      </c>
      <c r="LL58" t="s">
        <v>231</v>
      </c>
      <c r="LO58" t="s">
        <v>230</v>
      </c>
      <c r="LT58" t="s">
        <v>231</v>
      </c>
      <c r="LW58" t="s">
        <v>230</v>
      </c>
      <c r="MA58" t="s">
        <v>230</v>
      </c>
      <c r="MF58" t="s">
        <v>231</v>
      </c>
      <c r="MJ58" t="s">
        <v>231</v>
      </c>
      <c r="MN58" t="s">
        <v>231</v>
      </c>
      <c r="MQ58" t="s">
        <v>230</v>
      </c>
      <c r="MU58" t="s">
        <v>230</v>
      </c>
      <c r="MY58" t="s">
        <v>230</v>
      </c>
      <c r="ND58" t="s">
        <v>231</v>
      </c>
      <c r="NG58" t="s">
        <v>230</v>
      </c>
      <c r="NK58" t="s">
        <v>230</v>
      </c>
      <c r="NO58" t="s">
        <v>230</v>
      </c>
      <c r="NS58" t="s">
        <v>230</v>
      </c>
      <c r="NW58" t="s">
        <v>230</v>
      </c>
      <c r="OB58" t="s">
        <v>231</v>
      </c>
      <c r="OE58" t="s">
        <v>230</v>
      </c>
      <c r="OI58" t="s">
        <v>230</v>
      </c>
    </row>
    <row r="59" spans="1:402">
      <c r="A59" t="s">
        <v>500</v>
      </c>
      <c r="B59" t="s">
        <v>94</v>
      </c>
      <c r="D59" t="s">
        <v>94</v>
      </c>
      <c r="F59" t="s">
        <v>94</v>
      </c>
      <c r="H59" t="s">
        <v>96</v>
      </c>
      <c r="M59" t="s">
        <v>101</v>
      </c>
      <c r="R59" t="s">
        <v>106</v>
      </c>
      <c r="T59" t="s">
        <v>501</v>
      </c>
      <c r="U59" t="s">
        <v>502</v>
      </c>
      <c r="V59" t="s">
        <v>350</v>
      </c>
      <c r="AB59" t="s">
        <v>113</v>
      </c>
      <c r="AE59" t="s">
        <v>95</v>
      </c>
      <c r="AF59" t="s">
        <v>258</v>
      </c>
      <c r="AH59" t="s">
        <v>95</v>
      </c>
      <c r="AI59" t="s">
        <v>258</v>
      </c>
      <c r="AM59" t="s">
        <v>118</v>
      </c>
      <c r="AS59" t="s">
        <v>124</v>
      </c>
      <c r="AU59" t="s">
        <v>503</v>
      </c>
      <c r="AX59" t="s">
        <v>128</v>
      </c>
      <c r="BA59" t="s">
        <v>127</v>
      </c>
      <c r="BF59" t="s">
        <v>128</v>
      </c>
      <c r="BI59" t="s">
        <v>127</v>
      </c>
      <c r="BM59" t="s">
        <v>127</v>
      </c>
      <c r="BS59" t="s">
        <v>129</v>
      </c>
      <c r="BV59" t="s">
        <v>128</v>
      </c>
      <c r="BY59" t="s">
        <v>127</v>
      </c>
      <c r="CC59" t="s">
        <v>127</v>
      </c>
      <c r="CH59" t="s">
        <v>128</v>
      </c>
      <c r="CK59" t="s">
        <v>127</v>
      </c>
      <c r="CN59" t="s">
        <v>126</v>
      </c>
      <c r="CS59" t="s">
        <v>127</v>
      </c>
      <c r="CV59" t="s">
        <v>126</v>
      </c>
      <c r="CZ59" t="s">
        <v>126</v>
      </c>
      <c r="DD59" t="s">
        <v>126</v>
      </c>
      <c r="DI59" t="s">
        <v>127</v>
      </c>
      <c r="DM59" t="s">
        <v>127</v>
      </c>
      <c r="DR59" t="s">
        <v>128</v>
      </c>
      <c r="DU59" t="s">
        <v>127</v>
      </c>
      <c r="DY59" t="s">
        <v>127</v>
      </c>
      <c r="EE59" t="s">
        <v>129</v>
      </c>
      <c r="EI59" t="s">
        <v>129</v>
      </c>
      <c r="EJ59" t="s">
        <v>126</v>
      </c>
      <c r="EO59" t="s">
        <v>127</v>
      </c>
      <c r="ET59" t="s">
        <v>128</v>
      </c>
      <c r="EW59" t="s">
        <v>127</v>
      </c>
      <c r="FA59" t="s">
        <v>127</v>
      </c>
      <c r="FE59" t="s">
        <v>127</v>
      </c>
      <c r="FH59" t="s">
        <v>126</v>
      </c>
      <c r="FL59" t="s">
        <v>126</v>
      </c>
      <c r="FQ59" t="s">
        <v>95</v>
      </c>
      <c r="FS59" t="s">
        <v>95</v>
      </c>
      <c r="FT59" t="s">
        <v>94</v>
      </c>
      <c r="FV59" t="s">
        <v>94</v>
      </c>
      <c r="FY59" t="s">
        <v>95</v>
      </c>
      <c r="GA59" t="s">
        <v>95</v>
      </c>
      <c r="GC59" t="s">
        <v>95</v>
      </c>
      <c r="GE59" t="s">
        <v>95</v>
      </c>
      <c r="GG59" t="s">
        <v>95</v>
      </c>
      <c r="GH59" t="s">
        <v>94</v>
      </c>
      <c r="GJ59" t="s">
        <v>94</v>
      </c>
      <c r="GL59" t="s">
        <v>94</v>
      </c>
      <c r="GO59" t="s">
        <v>95</v>
      </c>
      <c r="GQ59" t="s">
        <v>95</v>
      </c>
      <c r="GS59" t="s">
        <v>95</v>
      </c>
      <c r="GU59" t="s">
        <v>95</v>
      </c>
      <c r="GW59" t="s">
        <v>95</v>
      </c>
      <c r="GX59" t="s">
        <v>504</v>
      </c>
      <c r="GZ59" t="s">
        <v>244</v>
      </c>
      <c r="HD59" t="s">
        <v>244</v>
      </c>
      <c r="HG59" t="s">
        <v>242</v>
      </c>
      <c r="HM59" t="s">
        <v>243</v>
      </c>
      <c r="HO59" t="s">
        <v>242</v>
      </c>
      <c r="HT59" t="s">
        <v>244</v>
      </c>
      <c r="HX59" t="s">
        <v>244</v>
      </c>
      <c r="IC59" t="s">
        <v>243</v>
      </c>
      <c r="IG59" t="s">
        <v>243</v>
      </c>
      <c r="IK59" t="s">
        <v>243</v>
      </c>
      <c r="IN59" t="s">
        <v>244</v>
      </c>
      <c r="IQ59" t="s">
        <v>242</v>
      </c>
      <c r="IV59" t="s">
        <v>244</v>
      </c>
      <c r="JA59" t="s">
        <v>245</v>
      </c>
      <c r="JD59" t="s">
        <v>244</v>
      </c>
      <c r="JH59" t="s">
        <v>244</v>
      </c>
      <c r="JL59" t="s">
        <v>244</v>
      </c>
      <c r="JR59" t="s">
        <v>253</v>
      </c>
      <c r="JU59" t="s">
        <v>243</v>
      </c>
      <c r="JZ59" t="s">
        <v>241</v>
      </c>
      <c r="KB59" t="s">
        <v>244</v>
      </c>
      <c r="KE59" t="s">
        <v>242</v>
      </c>
      <c r="KL59" t="s">
        <v>241</v>
      </c>
      <c r="KN59" t="s">
        <v>244</v>
      </c>
      <c r="KQ59" t="s">
        <v>242</v>
      </c>
      <c r="KU59" t="s">
        <v>230</v>
      </c>
      <c r="KZ59" t="s">
        <v>231</v>
      </c>
      <c r="LC59" t="s">
        <v>230</v>
      </c>
      <c r="LH59" t="s">
        <v>231</v>
      </c>
      <c r="LL59" t="s">
        <v>231</v>
      </c>
      <c r="LO59" t="s">
        <v>230</v>
      </c>
      <c r="LT59" t="s">
        <v>231</v>
      </c>
      <c r="LY59" t="s">
        <v>232</v>
      </c>
      <c r="MA59" t="s">
        <v>230</v>
      </c>
      <c r="MG59" t="s">
        <v>232</v>
      </c>
      <c r="MJ59" t="s">
        <v>231</v>
      </c>
      <c r="MP59" t="s">
        <v>233</v>
      </c>
      <c r="MS59" t="s">
        <v>232</v>
      </c>
      <c r="MV59" t="s">
        <v>231</v>
      </c>
      <c r="MZ59" t="s">
        <v>231</v>
      </c>
      <c r="NE59" t="s">
        <v>232</v>
      </c>
      <c r="NJ59" t="s">
        <v>233</v>
      </c>
      <c r="NM59" t="s">
        <v>232</v>
      </c>
      <c r="NR59" t="s">
        <v>233</v>
      </c>
      <c r="NT59" t="s">
        <v>231</v>
      </c>
      <c r="NX59" t="s">
        <v>231</v>
      </c>
      <c r="OB59" t="s">
        <v>231</v>
      </c>
      <c r="OF59" t="s">
        <v>231</v>
      </c>
      <c r="OL59" t="s">
        <v>233</v>
      </c>
    </row>
    <row r="60" spans="1:402">
      <c r="A60" t="s">
        <v>505</v>
      </c>
      <c r="B60" t="s">
        <v>94</v>
      </c>
      <c r="D60" t="s">
        <v>94</v>
      </c>
      <c r="F60" t="s">
        <v>94</v>
      </c>
      <c r="H60" t="s">
        <v>96</v>
      </c>
      <c r="N60" t="s">
        <v>102</v>
      </c>
      <c r="R60" t="s">
        <v>106</v>
      </c>
      <c r="T60" t="s">
        <v>416</v>
      </c>
      <c r="U60" t="s">
        <v>506</v>
      </c>
      <c r="V60" t="s">
        <v>507</v>
      </c>
      <c r="W60" t="s">
        <v>108</v>
      </c>
      <c r="AE60" t="s">
        <v>95</v>
      </c>
      <c r="AG60" t="s">
        <v>94</v>
      </c>
      <c r="AI60">
        <v>1</v>
      </c>
      <c r="AP60" t="s">
        <v>121</v>
      </c>
      <c r="AU60" t="s">
        <v>508</v>
      </c>
      <c r="AW60" t="s">
        <v>127</v>
      </c>
      <c r="BA60" t="s">
        <v>127</v>
      </c>
      <c r="BG60" t="s">
        <v>129</v>
      </c>
      <c r="BI60" t="s">
        <v>127</v>
      </c>
      <c r="BL60" t="s">
        <v>126</v>
      </c>
      <c r="BS60" t="s">
        <v>129</v>
      </c>
      <c r="BV60" t="s">
        <v>128</v>
      </c>
      <c r="BZ60" t="s">
        <v>128</v>
      </c>
      <c r="CE60" t="s">
        <v>129</v>
      </c>
      <c r="CI60" t="s">
        <v>129</v>
      </c>
      <c r="CJ60" t="s">
        <v>126</v>
      </c>
      <c r="CP60" t="s">
        <v>128</v>
      </c>
      <c r="CR60" t="s">
        <v>126</v>
      </c>
      <c r="CY60" t="s">
        <v>129</v>
      </c>
      <c r="DC60" t="s">
        <v>129</v>
      </c>
      <c r="DE60" t="s">
        <v>127</v>
      </c>
      <c r="DH60" t="s">
        <v>126</v>
      </c>
      <c r="DL60" t="s">
        <v>126</v>
      </c>
      <c r="DP60" t="s">
        <v>126</v>
      </c>
      <c r="DU60" t="s">
        <v>127</v>
      </c>
      <c r="EA60" t="s">
        <v>129</v>
      </c>
      <c r="EC60" t="s">
        <v>127</v>
      </c>
      <c r="EI60" t="s">
        <v>129</v>
      </c>
      <c r="EM60" t="s">
        <v>129</v>
      </c>
      <c r="EQ60" t="s">
        <v>129</v>
      </c>
      <c r="ET60" t="s">
        <v>128</v>
      </c>
      <c r="EW60" t="s">
        <v>127</v>
      </c>
      <c r="FA60" t="s">
        <v>127</v>
      </c>
      <c r="FF60" t="s">
        <v>128</v>
      </c>
      <c r="FI60" t="s">
        <v>127</v>
      </c>
      <c r="FM60" t="s">
        <v>127</v>
      </c>
      <c r="FP60" t="s">
        <v>94</v>
      </c>
      <c r="FS60" t="s">
        <v>95</v>
      </c>
      <c r="FU60" t="s">
        <v>95</v>
      </c>
      <c r="FW60" t="s">
        <v>95</v>
      </c>
      <c r="FY60" t="s">
        <v>95</v>
      </c>
      <c r="GA60" t="s">
        <v>95</v>
      </c>
      <c r="GC60" t="s">
        <v>95</v>
      </c>
      <c r="GD60" t="s">
        <v>94</v>
      </c>
      <c r="GG60" t="s">
        <v>95</v>
      </c>
      <c r="GI60" t="s">
        <v>95</v>
      </c>
      <c r="GK60" t="s">
        <v>95</v>
      </c>
      <c r="GM60" t="s">
        <v>95</v>
      </c>
      <c r="GO60" t="s">
        <v>95</v>
      </c>
      <c r="GQ60" t="s">
        <v>95</v>
      </c>
      <c r="GS60" t="s">
        <v>95</v>
      </c>
      <c r="GU60" t="s">
        <v>95</v>
      </c>
      <c r="GW60" t="s">
        <v>95</v>
      </c>
      <c r="GX60" t="s">
        <v>509</v>
      </c>
      <c r="GZ60" t="s">
        <v>244</v>
      </c>
      <c r="HC60" t="s">
        <v>242</v>
      </c>
      <c r="HG60" t="s">
        <v>242</v>
      </c>
      <c r="HL60" t="s">
        <v>244</v>
      </c>
      <c r="HO60" t="s">
        <v>242</v>
      </c>
      <c r="HT60" t="s">
        <v>244</v>
      </c>
      <c r="HY60" t="s">
        <v>243</v>
      </c>
      <c r="ID60" t="s">
        <v>241</v>
      </c>
      <c r="IF60" t="s">
        <v>244</v>
      </c>
      <c r="IK60" t="s">
        <v>243</v>
      </c>
      <c r="IM60" t="s">
        <v>242</v>
      </c>
      <c r="IQ60" t="s">
        <v>242</v>
      </c>
      <c r="IV60" t="s">
        <v>244</v>
      </c>
      <c r="JB60" t="s">
        <v>253</v>
      </c>
      <c r="JC60" t="s">
        <v>242</v>
      </c>
      <c r="JG60" t="s">
        <v>242</v>
      </c>
      <c r="JK60" t="s">
        <v>242</v>
      </c>
      <c r="JO60" t="s">
        <v>242</v>
      </c>
      <c r="JS60" t="s">
        <v>242</v>
      </c>
      <c r="JW60" t="s">
        <v>242</v>
      </c>
      <c r="KC60" t="s">
        <v>243</v>
      </c>
      <c r="KE60" t="s">
        <v>242</v>
      </c>
      <c r="KK60" t="s">
        <v>243</v>
      </c>
      <c r="KM60" t="s">
        <v>242</v>
      </c>
      <c r="KQ60" t="s">
        <v>242</v>
      </c>
      <c r="KU60" t="s">
        <v>230</v>
      </c>
      <c r="KY60" t="s">
        <v>230</v>
      </c>
      <c r="LD60" t="s">
        <v>231</v>
      </c>
      <c r="LH60" t="s">
        <v>231</v>
      </c>
      <c r="LK60" t="s">
        <v>230</v>
      </c>
      <c r="LO60" t="s">
        <v>230</v>
      </c>
      <c r="LU60" t="s">
        <v>232</v>
      </c>
      <c r="LX60" t="s">
        <v>231</v>
      </c>
      <c r="MA60" t="s">
        <v>230</v>
      </c>
      <c r="ME60" t="s">
        <v>230</v>
      </c>
      <c r="MK60" t="s">
        <v>232</v>
      </c>
      <c r="MM60" t="s">
        <v>230</v>
      </c>
      <c r="MT60" t="s">
        <v>233</v>
      </c>
      <c r="MV60" t="s">
        <v>231</v>
      </c>
      <c r="MZ60" t="s">
        <v>231</v>
      </c>
      <c r="NF60" t="s">
        <v>233</v>
      </c>
      <c r="NI60" t="s">
        <v>232</v>
      </c>
      <c r="NM60" t="s">
        <v>232</v>
      </c>
      <c r="NP60" t="s">
        <v>231</v>
      </c>
      <c r="NT60" t="s">
        <v>231</v>
      </c>
      <c r="NY60" t="s">
        <v>232</v>
      </c>
      <c r="OB60" t="s">
        <v>231</v>
      </c>
      <c r="OG60" t="s">
        <v>232</v>
      </c>
      <c r="OJ60" t="s">
        <v>231</v>
      </c>
    </row>
    <row r="61" spans="1:402">
      <c r="A61" t="s">
        <v>510</v>
      </c>
      <c r="B61" t="s">
        <v>94</v>
      </c>
      <c r="D61" t="s">
        <v>94</v>
      </c>
      <c r="F61" t="s">
        <v>94</v>
      </c>
      <c r="H61" t="s">
        <v>96</v>
      </c>
      <c r="L61" t="s">
        <v>100</v>
      </c>
      <c r="S61" t="s">
        <v>511</v>
      </c>
      <c r="T61" t="s">
        <v>512</v>
      </c>
      <c r="U61" t="s">
        <v>513</v>
      </c>
      <c r="V61" t="s">
        <v>514</v>
      </c>
      <c r="AB61" t="s">
        <v>113</v>
      </c>
      <c r="AE61" t="s">
        <v>95</v>
      </c>
      <c r="AF61" t="s">
        <v>264</v>
      </c>
      <c r="AH61" t="s">
        <v>95</v>
      </c>
      <c r="AI61">
        <v>0</v>
      </c>
      <c r="AM61" t="s">
        <v>118</v>
      </c>
      <c r="AS61" t="s">
        <v>124</v>
      </c>
      <c r="AU61" t="s">
        <v>515</v>
      </c>
      <c r="AV61" t="s">
        <v>126</v>
      </c>
      <c r="BB61" t="s">
        <v>128</v>
      </c>
      <c r="BF61" t="s">
        <v>128</v>
      </c>
      <c r="BJ61" t="s">
        <v>128</v>
      </c>
      <c r="BN61" t="s">
        <v>128</v>
      </c>
      <c r="BS61" t="s">
        <v>129</v>
      </c>
      <c r="BV61" t="s">
        <v>128</v>
      </c>
      <c r="BY61" t="s">
        <v>127</v>
      </c>
      <c r="CC61" t="s">
        <v>127</v>
      </c>
      <c r="CH61" t="s">
        <v>128</v>
      </c>
      <c r="CL61" t="s">
        <v>128</v>
      </c>
      <c r="CQ61" t="s">
        <v>129</v>
      </c>
      <c r="CU61" t="s">
        <v>129</v>
      </c>
      <c r="CX61" t="s">
        <v>128</v>
      </c>
      <c r="DB61" t="s">
        <v>128</v>
      </c>
      <c r="DD61" t="s">
        <v>126</v>
      </c>
      <c r="DI61" t="s">
        <v>127</v>
      </c>
      <c r="DM61" t="s">
        <v>127</v>
      </c>
      <c r="DR61" t="s">
        <v>128</v>
      </c>
      <c r="DV61" t="s">
        <v>128</v>
      </c>
      <c r="DZ61" t="s">
        <v>128</v>
      </c>
      <c r="ED61" t="s">
        <v>128</v>
      </c>
      <c r="EG61" t="s">
        <v>127</v>
      </c>
      <c r="EM61" t="s">
        <v>129</v>
      </c>
      <c r="EQ61" t="s">
        <v>129</v>
      </c>
      <c r="EU61" t="s">
        <v>129</v>
      </c>
      <c r="EW61" t="s">
        <v>127</v>
      </c>
      <c r="FB61" t="s">
        <v>128</v>
      </c>
      <c r="FF61" t="s">
        <v>128</v>
      </c>
      <c r="FJ61" t="s">
        <v>128</v>
      </c>
      <c r="FM61" t="s">
        <v>127</v>
      </c>
      <c r="FQ61" t="s">
        <v>95</v>
      </c>
      <c r="FS61" t="s">
        <v>95</v>
      </c>
      <c r="FU61" t="s">
        <v>95</v>
      </c>
      <c r="FW61" t="s">
        <v>95</v>
      </c>
      <c r="FY61" t="s">
        <v>95</v>
      </c>
      <c r="GA61" t="s">
        <v>95</v>
      </c>
      <c r="GC61" t="s">
        <v>95</v>
      </c>
      <c r="GE61" t="s">
        <v>95</v>
      </c>
      <c r="GG61" t="s">
        <v>95</v>
      </c>
      <c r="GH61" t="s">
        <v>94</v>
      </c>
      <c r="GJ61" t="s">
        <v>94</v>
      </c>
      <c r="GM61" t="s">
        <v>95</v>
      </c>
      <c r="GO61" t="s">
        <v>95</v>
      </c>
      <c r="GQ61" t="s">
        <v>95</v>
      </c>
      <c r="GS61" t="s">
        <v>95</v>
      </c>
      <c r="GU61" t="s">
        <v>95</v>
      </c>
      <c r="GW61" t="s">
        <v>95</v>
      </c>
      <c r="GX61" t="s">
        <v>516</v>
      </c>
      <c r="GZ61" t="s">
        <v>244</v>
      </c>
      <c r="HF61" t="s">
        <v>241</v>
      </c>
      <c r="HH61" t="s">
        <v>244</v>
      </c>
      <c r="HM61" t="s">
        <v>243</v>
      </c>
      <c r="HP61" t="s">
        <v>244</v>
      </c>
      <c r="HV61" t="s">
        <v>241</v>
      </c>
      <c r="HY61" t="s">
        <v>243</v>
      </c>
      <c r="IC61" t="s">
        <v>243</v>
      </c>
      <c r="IG61" t="s">
        <v>243</v>
      </c>
      <c r="IL61" t="s">
        <v>241</v>
      </c>
      <c r="IP61" t="s">
        <v>241</v>
      </c>
      <c r="IQ61" t="s">
        <v>242</v>
      </c>
      <c r="IV61" t="s">
        <v>244</v>
      </c>
      <c r="IZ61" t="s">
        <v>244</v>
      </c>
      <c r="JE61" t="s">
        <v>245</v>
      </c>
      <c r="JJ61" t="s">
        <v>253</v>
      </c>
      <c r="JL61" t="s">
        <v>244</v>
      </c>
      <c r="JO61" t="s">
        <v>242</v>
      </c>
      <c r="JS61" t="s">
        <v>242</v>
      </c>
      <c r="JX61" t="s">
        <v>244</v>
      </c>
      <c r="KD61" t="s">
        <v>241</v>
      </c>
      <c r="KF61" t="s">
        <v>244</v>
      </c>
      <c r="KK61" t="s">
        <v>243</v>
      </c>
      <c r="KM61" t="s">
        <v>242</v>
      </c>
      <c r="KS61" t="s">
        <v>243</v>
      </c>
      <c r="KX61" t="s">
        <v>233</v>
      </c>
      <c r="KZ61" t="s">
        <v>231</v>
      </c>
      <c r="LC61" t="s">
        <v>230</v>
      </c>
      <c r="LJ61" t="s">
        <v>233</v>
      </c>
      <c r="LM61" t="s">
        <v>232</v>
      </c>
      <c r="LP61" t="s">
        <v>231</v>
      </c>
      <c r="LV61" t="s">
        <v>233</v>
      </c>
      <c r="LX61" t="s">
        <v>231</v>
      </c>
      <c r="MD61" t="s">
        <v>233</v>
      </c>
      <c r="MG61" t="s">
        <v>232</v>
      </c>
      <c r="MK61" t="s">
        <v>232</v>
      </c>
      <c r="MP61" t="s">
        <v>233</v>
      </c>
      <c r="MT61" t="s">
        <v>233</v>
      </c>
      <c r="MW61" t="s">
        <v>232</v>
      </c>
      <c r="MY61" t="s">
        <v>230</v>
      </c>
      <c r="NE61" t="s">
        <v>232</v>
      </c>
      <c r="NI61" t="s">
        <v>232</v>
      </c>
      <c r="NM61" t="s">
        <v>232</v>
      </c>
      <c r="NP61" t="s">
        <v>231</v>
      </c>
      <c r="NU61" t="s">
        <v>232</v>
      </c>
      <c r="NZ61" t="s">
        <v>233</v>
      </c>
      <c r="OC61" t="s">
        <v>232</v>
      </c>
      <c r="OF61" t="s">
        <v>231</v>
      </c>
      <c r="OJ61" t="s">
        <v>231</v>
      </c>
    </row>
    <row r="62" spans="1:402">
      <c r="A62" t="s">
        <v>517</v>
      </c>
      <c r="B62" t="s">
        <v>94</v>
      </c>
      <c r="D62" t="s">
        <v>94</v>
      </c>
      <c r="F62" t="s">
        <v>94</v>
      </c>
      <c r="I62" t="s">
        <v>97</v>
      </c>
      <c r="N62" t="s">
        <v>102</v>
      </c>
      <c r="R62" t="s">
        <v>106</v>
      </c>
      <c r="T62" t="s">
        <v>290</v>
      </c>
      <c r="U62" t="s">
        <v>518</v>
      </c>
      <c r="V62" t="s">
        <v>519</v>
      </c>
      <c r="W62" t="s">
        <v>108</v>
      </c>
      <c r="AD62" t="s">
        <v>94</v>
      </c>
      <c r="AF62">
        <v>1</v>
      </c>
      <c r="AG62" t="s">
        <v>94</v>
      </c>
      <c r="AI62">
        <v>1</v>
      </c>
      <c r="AK62" t="s">
        <v>116</v>
      </c>
      <c r="AR62" t="s">
        <v>123</v>
      </c>
      <c r="AU62" t="s">
        <v>520</v>
      </c>
      <c r="AX62" t="s">
        <v>128</v>
      </c>
      <c r="BA62" t="s">
        <v>127</v>
      </c>
      <c r="BE62" t="s">
        <v>127</v>
      </c>
      <c r="BK62" t="s">
        <v>129</v>
      </c>
      <c r="BN62" t="s">
        <v>128</v>
      </c>
      <c r="BQ62" t="s">
        <v>127</v>
      </c>
      <c r="BV62" t="s">
        <v>128</v>
      </c>
      <c r="BY62" t="s">
        <v>127</v>
      </c>
      <c r="CC62" t="s">
        <v>127</v>
      </c>
      <c r="CH62" t="s">
        <v>128</v>
      </c>
      <c r="CK62" t="s">
        <v>127</v>
      </c>
      <c r="CO62" t="s">
        <v>127</v>
      </c>
      <c r="CR62" t="s">
        <v>126</v>
      </c>
      <c r="CV62" t="s">
        <v>126</v>
      </c>
      <c r="CZ62" t="s">
        <v>126</v>
      </c>
      <c r="DD62" t="s">
        <v>126</v>
      </c>
      <c r="DH62" t="s">
        <v>126</v>
      </c>
      <c r="DL62" t="s">
        <v>126</v>
      </c>
      <c r="DP62" t="s">
        <v>126</v>
      </c>
      <c r="DU62" t="s">
        <v>127</v>
      </c>
      <c r="DY62" t="s">
        <v>127</v>
      </c>
      <c r="EB62" t="s">
        <v>126</v>
      </c>
      <c r="EI62" t="s">
        <v>129</v>
      </c>
      <c r="EJ62" t="s">
        <v>126</v>
      </c>
      <c r="EQ62" t="s">
        <v>129</v>
      </c>
      <c r="ER62" t="s">
        <v>126</v>
      </c>
      <c r="EV62" t="s">
        <v>126</v>
      </c>
      <c r="FA62" t="s">
        <v>127</v>
      </c>
      <c r="FG62" t="s">
        <v>129</v>
      </c>
      <c r="FJ62" t="s">
        <v>128</v>
      </c>
      <c r="FN62" t="s">
        <v>128</v>
      </c>
      <c r="FP62" t="s">
        <v>94</v>
      </c>
      <c r="FR62" t="s">
        <v>94</v>
      </c>
      <c r="FT62" t="s">
        <v>94</v>
      </c>
      <c r="FW62" t="s">
        <v>95</v>
      </c>
      <c r="FY62" t="s">
        <v>95</v>
      </c>
      <c r="GA62" t="s">
        <v>95</v>
      </c>
      <c r="GC62" t="s">
        <v>95</v>
      </c>
      <c r="GE62" t="s">
        <v>95</v>
      </c>
      <c r="GF62" t="s">
        <v>94</v>
      </c>
      <c r="GH62" t="s">
        <v>94</v>
      </c>
      <c r="GJ62" t="s">
        <v>94</v>
      </c>
      <c r="GL62" t="s">
        <v>94</v>
      </c>
      <c r="GN62" t="s">
        <v>94</v>
      </c>
      <c r="GQ62" t="s">
        <v>95</v>
      </c>
      <c r="GR62" t="s">
        <v>94</v>
      </c>
      <c r="GU62" t="s">
        <v>95</v>
      </c>
      <c r="GV62" t="s">
        <v>94</v>
      </c>
      <c r="GZ62" t="s">
        <v>244</v>
      </c>
      <c r="HD62" t="s">
        <v>244</v>
      </c>
      <c r="HG62" t="s">
        <v>242</v>
      </c>
      <c r="HK62" t="s">
        <v>242</v>
      </c>
      <c r="HP62" t="s">
        <v>244</v>
      </c>
      <c r="HT62" t="s">
        <v>244</v>
      </c>
      <c r="HX62" t="s">
        <v>244</v>
      </c>
      <c r="IC62" t="s">
        <v>243</v>
      </c>
      <c r="IG62" t="s">
        <v>243</v>
      </c>
      <c r="IJ62" t="s">
        <v>244</v>
      </c>
      <c r="IN62" t="s">
        <v>244</v>
      </c>
      <c r="IQ62" t="s">
        <v>242</v>
      </c>
      <c r="IV62" t="s">
        <v>244</v>
      </c>
      <c r="JA62" t="s">
        <v>245</v>
      </c>
      <c r="JD62" t="s">
        <v>244</v>
      </c>
      <c r="JG62" t="s">
        <v>242</v>
      </c>
      <c r="JL62" t="s">
        <v>244</v>
      </c>
      <c r="JP62" t="s">
        <v>244</v>
      </c>
      <c r="JT62" t="s">
        <v>244</v>
      </c>
      <c r="JX62" t="s">
        <v>244</v>
      </c>
      <c r="KA62" t="s">
        <v>242</v>
      </c>
      <c r="KE62" t="s">
        <v>242</v>
      </c>
      <c r="KJ62" t="s">
        <v>244</v>
      </c>
      <c r="KM62" t="s">
        <v>242</v>
      </c>
      <c r="KQ62" t="s">
        <v>242</v>
      </c>
      <c r="KU62" t="s">
        <v>230</v>
      </c>
      <c r="KY62" t="s">
        <v>230</v>
      </c>
      <c r="LD62" t="s">
        <v>231</v>
      </c>
      <c r="LI62" t="s">
        <v>232</v>
      </c>
      <c r="LL62" t="s">
        <v>231</v>
      </c>
      <c r="LQ62" t="s">
        <v>232</v>
      </c>
      <c r="LT62" t="s">
        <v>231</v>
      </c>
      <c r="LX62" t="s">
        <v>231</v>
      </c>
      <c r="MB62" t="s">
        <v>231</v>
      </c>
      <c r="MF62" t="s">
        <v>231</v>
      </c>
      <c r="MI62" t="s">
        <v>230</v>
      </c>
      <c r="MN62" t="s">
        <v>231</v>
      </c>
      <c r="MQ62" t="s">
        <v>230</v>
      </c>
      <c r="MU62" t="s">
        <v>230</v>
      </c>
      <c r="MY62" t="s">
        <v>230</v>
      </c>
      <c r="NC62" t="s">
        <v>230</v>
      </c>
      <c r="NH62" t="s">
        <v>231</v>
      </c>
      <c r="NL62" t="s">
        <v>231</v>
      </c>
      <c r="NR62" t="s">
        <v>233</v>
      </c>
      <c r="NU62" t="s">
        <v>232</v>
      </c>
      <c r="NZ62" t="s">
        <v>233</v>
      </c>
      <c r="OB62" t="s">
        <v>231</v>
      </c>
      <c r="OG62" t="s">
        <v>232</v>
      </c>
      <c r="OJ62" t="s">
        <v>231</v>
      </c>
    </row>
    <row r="63" spans="1:402">
      <c r="A63" t="s">
        <v>521</v>
      </c>
      <c r="B63" t="s">
        <v>94</v>
      </c>
      <c r="D63" t="s">
        <v>94</v>
      </c>
      <c r="F63" t="s">
        <v>94</v>
      </c>
      <c r="H63" t="s">
        <v>96</v>
      </c>
      <c r="N63" t="s">
        <v>102</v>
      </c>
      <c r="S63" t="s">
        <v>335</v>
      </c>
      <c r="T63" t="s">
        <v>262</v>
      </c>
      <c r="U63" t="s">
        <v>249</v>
      </c>
      <c r="V63" t="s">
        <v>257</v>
      </c>
      <c r="W63" t="s">
        <v>108</v>
      </c>
      <c r="AD63" t="s">
        <v>94</v>
      </c>
      <c r="AF63">
        <v>2</v>
      </c>
      <c r="AG63" t="s">
        <v>94</v>
      </c>
      <c r="AI63">
        <v>2</v>
      </c>
      <c r="AN63" t="s">
        <v>119</v>
      </c>
      <c r="AT63" t="s">
        <v>125</v>
      </c>
      <c r="AU63" t="s">
        <v>522</v>
      </c>
      <c r="AX63" t="s">
        <v>128</v>
      </c>
      <c r="BB63" t="s">
        <v>128</v>
      </c>
      <c r="BG63" t="s">
        <v>129</v>
      </c>
      <c r="BJ63" t="s">
        <v>128</v>
      </c>
      <c r="BM63" t="s">
        <v>127</v>
      </c>
      <c r="BS63" t="s">
        <v>129</v>
      </c>
      <c r="BV63" t="s">
        <v>128</v>
      </c>
      <c r="BZ63" t="s">
        <v>128</v>
      </c>
      <c r="CC63" t="s">
        <v>127</v>
      </c>
      <c r="CH63" t="s">
        <v>128</v>
      </c>
      <c r="CK63" t="s">
        <v>127</v>
      </c>
      <c r="CP63" t="s">
        <v>128</v>
      </c>
      <c r="CU63" t="s">
        <v>129</v>
      </c>
      <c r="CX63" t="s">
        <v>128</v>
      </c>
      <c r="DC63" t="s">
        <v>129</v>
      </c>
      <c r="DD63" t="s">
        <v>126</v>
      </c>
      <c r="DH63" t="s">
        <v>126</v>
      </c>
      <c r="DM63" t="s">
        <v>127</v>
      </c>
      <c r="DS63" t="s">
        <v>129</v>
      </c>
      <c r="DV63" t="s">
        <v>128</v>
      </c>
      <c r="EA63" t="s">
        <v>129</v>
      </c>
      <c r="EE63" t="s">
        <v>129</v>
      </c>
      <c r="EI63" t="s">
        <v>129</v>
      </c>
      <c r="EM63" t="s">
        <v>129</v>
      </c>
      <c r="EP63" t="s">
        <v>128</v>
      </c>
      <c r="ES63" t="s">
        <v>127</v>
      </c>
      <c r="EX63" t="s">
        <v>128</v>
      </c>
      <c r="FB63" t="s">
        <v>128</v>
      </c>
      <c r="FG63" t="s">
        <v>129</v>
      </c>
      <c r="FI63" t="s">
        <v>127</v>
      </c>
      <c r="FN63" t="s">
        <v>128</v>
      </c>
      <c r="FQ63" t="s">
        <v>95</v>
      </c>
      <c r="FS63" t="s">
        <v>95</v>
      </c>
      <c r="FU63" t="s">
        <v>95</v>
      </c>
      <c r="FW63" t="s">
        <v>95</v>
      </c>
      <c r="FY63" t="s">
        <v>95</v>
      </c>
      <c r="GA63" t="s">
        <v>95</v>
      </c>
      <c r="GC63" t="s">
        <v>95</v>
      </c>
      <c r="GE63" t="s">
        <v>95</v>
      </c>
      <c r="GG63" t="s">
        <v>95</v>
      </c>
      <c r="GI63" t="s">
        <v>95</v>
      </c>
      <c r="GK63" t="s">
        <v>95</v>
      </c>
      <c r="GM63" t="s">
        <v>95</v>
      </c>
      <c r="GO63" t="s">
        <v>95</v>
      </c>
      <c r="GQ63" t="s">
        <v>95</v>
      </c>
      <c r="GS63" t="s">
        <v>95</v>
      </c>
      <c r="GU63" t="s">
        <v>95</v>
      </c>
      <c r="GW63" t="s">
        <v>95</v>
      </c>
      <c r="GY63" t="s">
        <v>242</v>
      </c>
      <c r="HC63" t="s">
        <v>242</v>
      </c>
      <c r="HG63" t="s">
        <v>242</v>
      </c>
      <c r="HK63" t="s">
        <v>242</v>
      </c>
      <c r="HO63" t="s">
        <v>242</v>
      </c>
      <c r="HS63" t="s">
        <v>242</v>
      </c>
      <c r="HY63" t="s">
        <v>243</v>
      </c>
      <c r="IC63" t="s">
        <v>243</v>
      </c>
      <c r="IE63" t="s">
        <v>242</v>
      </c>
      <c r="IK63" t="s">
        <v>243</v>
      </c>
      <c r="IM63" t="s">
        <v>242</v>
      </c>
      <c r="IQ63" t="s">
        <v>242</v>
      </c>
      <c r="IU63" t="s">
        <v>242</v>
      </c>
      <c r="IZ63" t="s">
        <v>244</v>
      </c>
      <c r="JC63" t="s">
        <v>242</v>
      </c>
      <c r="JG63" t="s">
        <v>242</v>
      </c>
      <c r="JL63" t="s">
        <v>244</v>
      </c>
      <c r="JO63" t="s">
        <v>242</v>
      </c>
      <c r="JS63" t="s">
        <v>242</v>
      </c>
      <c r="JW63" t="s">
        <v>242</v>
      </c>
      <c r="KA63" t="s">
        <v>242</v>
      </c>
      <c r="KE63" t="s">
        <v>242</v>
      </c>
      <c r="KI63" t="s">
        <v>242</v>
      </c>
      <c r="KM63" t="s">
        <v>242</v>
      </c>
      <c r="KQ63" t="s">
        <v>242</v>
      </c>
      <c r="KU63" t="s">
        <v>230</v>
      </c>
      <c r="KY63" t="s">
        <v>230</v>
      </c>
      <c r="LC63" t="s">
        <v>230</v>
      </c>
      <c r="LH63" t="s">
        <v>231</v>
      </c>
      <c r="LK63" t="s">
        <v>230</v>
      </c>
      <c r="LO63" t="s">
        <v>230</v>
      </c>
      <c r="LU63" t="s">
        <v>232</v>
      </c>
      <c r="LY63" t="s">
        <v>232</v>
      </c>
      <c r="MA63" t="s">
        <v>230</v>
      </c>
      <c r="ME63" t="s">
        <v>230</v>
      </c>
      <c r="MI63" t="s">
        <v>230</v>
      </c>
      <c r="MM63" t="s">
        <v>230</v>
      </c>
      <c r="MQ63" t="s">
        <v>230</v>
      </c>
      <c r="MV63" t="s">
        <v>231</v>
      </c>
      <c r="MY63" t="s">
        <v>230</v>
      </c>
      <c r="NE63" t="s">
        <v>232</v>
      </c>
      <c r="NH63" t="s">
        <v>231</v>
      </c>
      <c r="NL63" t="s">
        <v>231</v>
      </c>
      <c r="NO63" t="s">
        <v>230</v>
      </c>
      <c r="NT63" t="s">
        <v>231</v>
      </c>
      <c r="NX63" t="s">
        <v>231</v>
      </c>
      <c r="OA63" t="s">
        <v>230</v>
      </c>
      <c r="OF63" t="s">
        <v>231</v>
      </c>
      <c r="OI63" t="s">
        <v>230</v>
      </c>
    </row>
    <row r="64" spans="1:402">
      <c r="A64" t="s">
        <v>523</v>
      </c>
      <c r="B64" t="s">
        <v>94</v>
      </c>
      <c r="D64" t="s">
        <v>94</v>
      </c>
      <c r="F64" t="s">
        <v>94</v>
      </c>
      <c r="I64" t="s">
        <v>97</v>
      </c>
      <c r="M64" t="s">
        <v>101</v>
      </c>
      <c r="R64" t="s">
        <v>106</v>
      </c>
      <c r="T64" t="s">
        <v>524</v>
      </c>
      <c r="U64" t="s">
        <v>249</v>
      </c>
      <c r="V64" t="s">
        <v>268</v>
      </c>
      <c r="AB64" t="s">
        <v>113</v>
      </c>
      <c r="AE64" t="s">
        <v>95</v>
      </c>
      <c r="AH64" t="s">
        <v>95</v>
      </c>
      <c r="AN64" t="s">
        <v>119</v>
      </c>
      <c r="AS64" t="s">
        <v>124</v>
      </c>
      <c r="AU64" t="s">
        <v>525</v>
      </c>
      <c r="AX64" t="s">
        <v>128</v>
      </c>
      <c r="BA64" t="s">
        <v>127</v>
      </c>
      <c r="BD64" t="s">
        <v>126</v>
      </c>
      <c r="BH64" t="s">
        <v>126</v>
      </c>
      <c r="BN64" t="s">
        <v>128</v>
      </c>
      <c r="BR64" t="s">
        <v>128</v>
      </c>
      <c r="BU64" t="s">
        <v>127</v>
      </c>
      <c r="BX64" t="s">
        <v>126</v>
      </c>
      <c r="CB64" t="s">
        <v>126</v>
      </c>
      <c r="CG64" t="s">
        <v>127</v>
      </c>
      <c r="CK64" t="s">
        <v>127</v>
      </c>
      <c r="CP64" t="s">
        <v>128</v>
      </c>
      <c r="CT64" t="s">
        <v>128</v>
      </c>
      <c r="CV64" t="s">
        <v>126</v>
      </c>
      <c r="CZ64" t="s">
        <v>126</v>
      </c>
      <c r="DE64" t="s">
        <v>127</v>
      </c>
      <c r="DH64" t="s">
        <v>126</v>
      </c>
      <c r="DL64" t="s">
        <v>126</v>
      </c>
      <c r="DQ64" t="s">
        <v>127</v>
      </c>
      <c r="DU64" t="s">
        <v>127</v>
      </c>
      <c r="DY64" t="s">
        <v>127</v>
      </c>
      <c r="ED64" t="s">
        <v>128</v>
      </c>
      <c r="EF64" t="s">
        <v>126</v>
      </c>
      <c r="EM64" t="s">
        <v>129</v>
      </c>
      <c r="EQ64" t="s">
        <v>129</v>
      </c>
      <c r="EU64" t="s">
        <v>129</v>
      </c>
      <c r="EW64" t="s">
        <v>127</v>
      </c>
      <c r="FB64" t="s">
        <v>128</v>
      </c>
      <c r="FG64" t="s">
        <v>129</v>
      </c>
      <c r="FH64" t="s">
        <v>126</v>
      </c>
      <c r="FO64" t="s">
        <v>129</v>
      </c>
      <c r="FQ64" t="s">
        <v>95</v>
      </c>
      <c r="FS64" t="s">
        <v>95</v>
      </c>
      <c r="FU64" t="s">
        <v>95</v>
      </c>
      <c r="FW64" t="s">
        <v>95</v>
      </c>
      <c r="FY64" t="s">
        <v>95</v>
      </c>
      <c r="GA64" t="s">
        <v>95</v>
      </c>
      <c r="GC64" t="s">
        <v>95</v>
      </c>
      <c r="GE64" t="s">
        <v>95</v>
      </c>
      <c r="GG64" t="s">
        <v>95</v>
      </c>
      <c r="GI64" t="s">
        <v>95</v>
      </c>
      <c r="GJ64" t="s">
        <v>94</v>
      </c>
      <c r="GM64" t="s">
        <v>95</v>
      </c>
      <c r="GO64" t="s">
        <v>95</v>
      </c>
      <c r="GQ64" t="s">
        <v>95</v>
      </c>
      <c r="GS64" t="s">
        <v>95</v>
      </c>
      <c r="GU64" t="s">
        <v>95</v>
      </c>
      <c r="GW64" t="s">
        <v>95</v>
      </c>
      <c r="GY64" t="s">
        <v>242</v>
      </c>
      <c r="HC64" t="s">
        <v>242</v>
      </c>
      <c r="HG64" t="s">
        <v>242</v>
      </c>
      <c r="HN64" t="s">
        <v>241</v>
      </c>
      <c r="HQ64" t="s">
        <v>243</v>
      </c>
      <c r="HS64" t="s">
        <v>242</v>
      </c>
      <c r="HX64" t="s">
        <v>244</v>
      </c>
      <c r="IA64" t="s">
        <v>242</v>
      </c>
      <c r="IG64" t="s">
        <v>243</v>
      </c>
      <c r="IJ64" t="s">
        <v>244</v>
      </c>
      <c r="IM64" t="s">
        <v>242</v>
      </c>
      <c r="IQ64" t="s">
        <v>242</v>
      </c>
      <c r="IV64" t="s">
        <v>244</v>
      </c>
      <c r="JA64" t="s">
        <v>245</v>
      </c>
      <c r="JC64" t="s">
        <v>242</v>
      </c>
      <c r="JH64" t="s">
        <v>244</v>
      </c>
      <c r="JK64" t="s">
        <v>242</v>
      </c>
      <c r="JP64" t="s">
        <v>244</v>
      </c>
      <c r="JS64" t="s">
        <v>242</v>
      </c>
      <c r="JW64" t="s">
        <v>242</v>
      </c>
      <c r="KC64" t="s">
        <v>243</v>
      </c>
      <c r="KE64" t="s">
        <v>242</v>
      </c>
      <c r="KI64" t="s">
        <v>242</v>
      </c>
      <c r="KM64" t="s">
        <v>242</v>
      </c>
      <c r="KQ64" t="s">
        <v>242</v>
      </c>
      <c r="KU64" t="s">
        <v>230</v>
      </c>
      <c r="KY64" t="s">
        <v>230</v>
      </c>
      <c r="LC64" t="s">
        <v>230</v>
      </c>
      <c r="LG64" t="s">
        <v>230</v>
      </c>
      <c r="LK64" t="s">
        <v>230</v>
      </c>
      <c r="LO64" t="s">
        <v>230</v>
      </c>
      <c r="LS64" t="s">
        <v>230</v>
      </c>
      <c r="LW64" t="s">
        <v>230</v>
      </c>
      <c r="MA64" t="s">
        <v>230</v>
      </c>
      <c r="MF64" t="s">
        <v>231</v>
      </c>
      <c r="MK64" t="s">
        <v>232</v>
      </c>
      <c r="MM64" t="s">
        <v>230</v>
      </c>
      <c r="MQ64" t="s">
        <v>230</v>
      </c>
      <c r="MU64" t="s">
        <v>230</v>
      </c>
      <c r="MY64" t="s">
        <v>230</v>
      </c>
      <c r="NC64" t="s">
        <v>230</v>
      </c>
      <c r="NH64" t="s">
        <v>231</v>
      </c>
      <c r="NL64" t="s">
        <v>231</v>
      </c>
      <c r="NP64" t="s">
        <v>231</v>
      </c>
      <c r="NS64" t="s">
        <v>230</v>
      </c>
      <c r="NW64" t="s">
        <v>230</v>
      </c>
      <c r="OB64" t="s">
        <v>231</v>
      </c>
      <c r="OF64" t="s">
        <v>231</v>
      </c>
      <c r="OJ64" t="s">
        <v>231</v>
      </c>
    </row>
    <row r="65" spans="1:399">
      <c r="A65" t="s">
        <v>526</v>
      </c>
      <c r="B65" t="s">
        <v>94</v>
      </c>
      <c r="D65" t="s">
        <v>94</v>
      </c>
      <c r="F65" t="s">
        <v>94</v>
      </c>
      <c r="J65" t="s">
        <v>98</v>
      </c>
      <c r="M65" t="s">
        <v>101</v>
      </c>
      <c r="S65" t="s">
        <v>527</v>
      </c>
      <c r="T65" t="s">
        <v>267</v>
      </c>
      <c r="U65" t="s">
        <v>249</v>
      </c>
      <c r="V65" t="s">
        <v>528</v>
      </c>
      <c r="AA65" t="s">
        <v>112</v>
      </c>
      <c r="AE65" t="s">
        <v>95</v>
      </c>
      <c r="AH65" t="s">
        <v>95</v>
      </c>
      <c r="AL65" t="s">
        <v>117</v>
      </c>
      <c r="AS65" t="s">
        <v>124</v>
      </c>
      <c r="AU65" t="s">
        <v>529</v>
      </c>
      <c r="AY65" t="s">
        <v>129</v>
      </c>
      <c r="BC65" t="s">
        <v>129</v>
      </c>
      <c r="BF65" t="s">
        <v>128</v>
      </c>
      <c r="BK65" t="s">
        <v>129</v>
      </c>
      <c r="BM65" t="s">
        <v>127</v>
      </c>
      <c r="BS65" t="s">
        <v>129</v>
      </c>
      <c r="BV65" t="s">
        <v>128</v>
      </c>
      <c r="BY65" t="s">
        <v>127</v>
      </c>
      <c r="CC65" t="s">
        <v>127</v>
      </c>
      <c r="CH65" t="s">
        <v>128</v>
      </c>
      <c r="CK65" t="s">
        <v>127</v>
      </c>
      <c r="CN65" t="s">
        <v>126</v>
      </c>
      <c r="CT65" t="s">
        <v>128</v>
      </c>
      <c r="CX65" t="s">
        <v>128</v>
      </c>
      <c r="DC65" t="s">
        <v>129</v>
      </c>
      <c r="DD65" t="s">
        <v>126</v>
      </c>
      <c r="DJ65" t="s">
        <v>128</v>
      </c>
      <c r="DO65" t="s">
        <v>129</v>
      </c>
      <c r="DQ65" t="s">
        <v>127</v>
      </c>
      <c r="DV65" t="s">
        <v>128</v>
      </c>
      <c r="EA65" t="s">
        <v>129</v>
      </c>
      <c r="ED65" t="s">
        <v>128</v>
      </c>
      <c r="EH65" t="s">
        <v>128</v>
      </c>
      <c r="EL65" t="s">
        <v>128</v>
      </c>
      <c r="EO65" t="s">
        <v>127</v>
      </c>
      <c r="ES65" t="s">
        <v>127</v>
      </c>
      <c r="EW65" t="s">
        <v>127</v>
      </c>
      <c r="FC65" t="s">
        <v>129</v>
      </c>
      <c r="FE65" t="s">
        <v>127</v>
      </c>
      <c r="FI65" t="s">
        <v>127</v>
      </c>
      <c r="FM65" t="s">
        <v>127</v>
      </c>
      <c r="FP65" t="s">
        <v>94</v>
      </c>
      <c r="FS65" t="s">
        <v>95</v>
      </c>
      <c r="FT65" t="s">
        <v>94</v>
      </c>
      <c r="FW65" t="s">
        <v>95</v>
      </c>
      <c r="FY65" t="s">
        <v>95</v>
      </c>
      <c r="GA65" t="s">
        <v>95</v>
      </c>
      <c r="GB65" t="s">
        <v>94</v>
      </c>
      <c r="GE65" t="s">
        <v>95</v>
      </c>
      <c r="GG65" t="s">
        <v>95</v>
      </c>
      <c r="GI65" t="s">
        <v>95</v>
      </c>
      <c r="GJ65" t="s">
        <v>94</v>
      </c>
      <c r="GL65" t="s">
        <v>94</v>
      </c>
      <c r="GO65" t="s">
        <v>95</v>
      </c>
      <c r="GQ65" t="s">
        <v>95</v>
      </c>
      <c r="GR65" t="s">
        <v>94</v>
      </c>
      <c r="GU65" t="s">
        <v>95</v>
      </c>
      <c r="GW65" t="s">
        <v>95</v>
      </c>
      <c r="GX65" t="s">
        <v>530</v>
      </c>
      <c r="HA65" t="s">
        <v>243</v>
      </c>
      <c r="HD65" t="s">
        <v>244</v>
      </c>
      <c r="HJ65" t="s">
        <v>241</v>
      </c>
      <c r="HL65" t="s">
        <v>244</v>
      </c>
      <c r="HQ65" t="s">
        <v>243</v>
      </c>
      <c r="HT65" t="s">
        <v>244</v>
      </c>
      <c r="HZ65" t="s">
        <v>241</v>
      </c>
      <c r="ID65" t="s">
        <v>241</v>
      </c>
      <c r="IF65" t="s">
        <v>244</v>
      </c>
      <c r="IJ65" t="s">
        <v>244</v>
      </c>
      <c r="IN65" t="s">
        <v>244</v>
      </c>
      <c r="IS65" t="s">
        <v>245</v>
      </c>
      <c r="IU65" t="s">
        <v>242</v>
      </c>
      <c r="IY65" t="s">
        <v>242</v>
      </c>
      <c r="JD65" t="s">
        <v>244</v>
      </c>
      <c r="JH65" t="s">
        <v>244</v>
      </c>
      <c r="JL65" t="s">
        <v>244</v>
      </c>
      <c r="JQ65" t="s">
        <v>245</v>
      </c>
      <c r="JT65" t="s">
        <v>244</v>
      </c>
      <c r="JX65" t="s">
        <v>244</v>
      </c>
      <c r="KA65" t="s">
        <v>242</v>
      </c>
      <c r="KE65" t="s">
        <v>242</v>
      </c>
      <c r="KK65" t="s">
        <v>243</v>
      </c>
      <c r="KO65" t="s">
        <v>243</v>
      </c>
      <c r="KR65" t="s">
        <v>244</v>
      </c>
      <c r="KW65" t="s">
        <v>232</v>
      </c>
      <c r="LA65" t="s">
        <v>232</v>
      </c>
      <c r="LC65" t="s">
        <v>230</v>
      </c>
      <c r="LH65" t="s">
        <v>231</v>
      </c>
      <c r="LL65" t="s">
        <v>231</v>
      </c>
      <c r="LP65" t="s">
        <v>231</v>
      </c>
      <c r="LU65" t="s">
        <v>232</v>
      </c>
      <c r="LX65" t="s">
        <v>231</v>
      </c>
      <c r="MB65" t="s">
        <v>231</v>
      </c>
      <c r="MF65" t="s">
        <v>231</v>
      </c>
      <c r="MI65" t="s">
        <v>230</v>
      </c>
      <c r="MO65" t="s">
        <v>232</v>
      </c>
      <c r="MS65" t="s">
        <v>232</v>
      </c>
      <c r="MX65" t="s">
        <v>233</v>
      </c>
      <c r="MZ65" t="s">
        <v>231</v>
      </c>
      <c r="NF65" t="s">
        <v>233</v>
      </c>
      <c r="NH65" t="s">
        <v>231</v>
      </c>
      <c r="NL65" t="s">
        <v>231</v>
      </c>
      <c r="NO65" t="s">
        <v>230</v>
      </c>
      <c r="NT65" t="s">
        <v>231</v>
      </c>
      <c r="NX65" t="s">
        <v>231</v>
      </c>
      <c r="OA65" t="s">
        <v>230</v>
      </c>
      <c r="OF65" t="s">
        <v>231</v>
      </c>
      <c r="OI65" t="s">
        <v>230</v>
      </c>
    </row>
    <row r="66" spans="1:399">
      <c r="A66" t="s">
        <v>531</v>
      </c>
      <c r="B66" t="s">
        <v>94</v>
      </c>
      <c r="D66" t="s">
        <v>94</v>
      </c>
      <c r="F66" t="s">
        <v>94</v>
      </c>
      <c r="H66" t="s">
        <v>96</v>
      </c>
      <c r="O66" t="s">
        <v>103</v>
      </c>
      <c r="R66" t="s">
        <v>106</v>
      </c>
      <c r="T66" t="s">
        <v>532</v>
      </c>
      <c r="U66" t="s">
        <v>249</v>
      </c>
      <c r="V66" t="s">
        <v>238</v>
      </c>
      <c r="W66" t="s">
        <v>108</v>
      </c>
      <c r="AD66" t="s">
        <v>94</v>
      </c>
      <c r="AF66">
        <v>2</v>
      </c>
      <c r="AG66" t="s">
        <v>94</v>
      </c>
      <c r="AI66">
        <v>1</v>
      </c>
      <c r="AN66" t="s">
        <v>119</v>
      </c>
      <c r="AS66" t="s">
        <v>124</v>
      </c>
      <c r="AU66" t="s">
        <v>533</v>
      </c>
      <c r="AX66" t="s">
        <v>128</v>
      </c>
      <c r="AZ66" t="s">
        <v>126</v>
      </c>
      <c r="BE66" t="s">
        <v>127</v>
      </c>
      <c r="BJ66" t="s">
        <v>128</v>
      </c>
      <c r="BN66" t="s">
        <v>128</v>
      </c>
      <c r="BR66" t="s">
        <v>128</v>
      </c>
      <c r="BU66" t="s">
        <v>127</v>
      </c>
      <c r="BX66" t="s">
        <v>126</v>
      </c>
      <c r="CD66" t="s">
        <v>128</v>
      </c>
      <c r="CH66" t="s">
        <v>128</v>
      </c>
      <c r="CK66" t="s">
        <v>127</v>
      </c>
      <c r="CQ66" t="s">
        <v>129</v>
      </c>
      <c r="CU66" t="s">
        <v>129</v>
      </c>
      <c r="CY66" t="s">
        <v>129</v>
      </c>
      <c r="DC66" t="s">
        <v>129</v>
      </c>
      <c r="DE66" t="s">
        <v>127</v>
      </c>
      <c r="DJ66" t="s">
        <v>128</v>
      </c>
      <c r="DM66" t="s">
        <v>127</v>
      </c>
      <c r="DQ66" t="s">
        <v>127</v>
      </c>
      <c r="DW66" t="s">
        <v>129</v>
      </c>
      <c r="EA66" t="s">
        <v>129</v>
      </c>
      <c r="EE66" t="s">
        <v>129</v>
      </c>
      <c r="EI66" t="s">
        <v>129</v>
      </c>
      <c r="EM66" t="s">
        <v>129</v>
      </c>
      <c r="EQ66" t="s">
        <v>129</v>
      </c>
      <c r="EX66" t="s">
        <v>128</v>
      </c>
      <c r="FB66" t="s">
        <v>128</v>
      </c>
      <c r="FG66" t="s">
        <v>129</v>
      </c>
      <c r="FH66" t="s">
        <v>126</v>
      </c>
      <c r="FN66" t="s">
        <v>128</v>
      </c>
      <c r="FQ66" t="s">
        <v>95</v>
      </c>
      <c r="FS66" t="s">
        <v>95</v>
      </c>
      <c r="FU66" t="s">
        <v>95</v>
      </c>
      <c r="FW66" t="s">
        <v>95</v>
      </c>
      <c r="FY66" t="s">
        <v>95</v>
      </c>
      <c r="GA66" t="s">
        <v>95</v>
      </c>
      <c r="GC66" t="s">
        <v>95</v>
      </c>
      <c r="GE66" t="s">
        <v>95</v>
      </c>
      <c r="GG66" t="s">
        <v>95</v>
      </c>
      <c r="GH66" t="s">
        <v>94</v>
      </c>
      <c r="GK66" t="s">
        <v>95</v>
      </c>
      <c r="GM66" t="s">
        <v>95</v>
      </c>
      <c r="GO66" t="s">
        <v>95</v>
      </c>
      <c r="GQ66" t="s">
        <v>95</v>
      </c>
      <c r="GS66" t="s">
        <v>95</v>
      </c>
      <c r="GU66" t="s">
        <v>95</v>
      </c>
      <c r="GW66" t="s">
        <v>95</v>
      </c>
      <c r="GX66" t="s">
        <v>534</v>
      </c>
      <c r="GY66" t="s">
        <v>242</v>
      </c>
      <c r="HC66" t="s">
        <v>242</v>
      </c>
      <c r="HG66" t="s">
        <v>242</v>
      </c>
      <c r="HK66" t="s">
        <v>242</v>
      </c>
      <c r="HP66" t="s">
        <v>244</v>
      </c>
      <c r="HS66" t="s">
        <v>242</v>
      </c>
      <c r="HY66" t="s">
        <v>243</v>
      </c>
      <c r="IC66" t="s">
        <v>243</v>
      </c>
      <c r="IG66" t="s">
        <v>243</v>
      </c>
      <c r="II66" t="s">
        <v>242</v>
      </c>
      <c r="IM66" t="s">
        <v>242</v>
      </c>
      <c r="IQ66" t="s">
        <v>242</v>
      </c>
      <c r="IU66" t="s">
        <v>242</v>
      </c>
      <c r="IY66" t="s">
        <v>242</v>
      </c>
      <c r="JC66" t="s">
        <v>242</v>
      </c>
      <c r="JG66" t="s">
        <v>242</v>
      </c>
      <c r="JK66" t="s">
        <v>242</v>
      </c>
      <c r="JO66" t="s">
        <v>242</v>
      </c>
      <c r="JS66" t="s">
        <v>242</v>
      </c>
      <c r="JW66" t="s">
        <v>242</v>
      </c>
      <c r="KB66" t="s">
        <v>244</v>
      </c>
      <c r="KE66" t="s">
        <v>242</v>
      </c>
      <c r="KI66" t="s">
        <v>242</v>
      </c>
      <c r="KM66" t="s">
        <v>242</v>
      </c>
      <c r="KQ66" t="s">
        <v>242</v>
      </c>
      <c r="KU66" t="s">
        <v>230</v>
      </c>
      <c r="KY66" t="s">
        <v>230</v>
      </c>
      <c r="LD66" t="s">
        <v>231</v>
      </c>
      <c r="LG66" t="s">
        <v>230</v>
      </c>
      <c r="LL66" t="s">
        <v>231</v>
      </c>
      <c r="LO66" t="s">
        <v>230</v>
      </c>
      <c r="LS66" t="s">
        <v>230</v>
      </c>
      <c r="LY66" t="s">
        <v>232</v>
      </c>
      <c r="MA66" t="s">
        <v>230</v>
      </c>
      <c r="ME66" t="s">
        <v>230</v>
      </c>
      <c r="MI66" t="s">
        <v>230</v>
      </c>
      <c r="MM66" t="s">
        <v>230</v>
      </c>
      <c r="MQ66" t="s">
        <v>230</v>
      </c>
      <c r="MU66" t="s">
        <v>230</v>
      </c>
      <c r="MY66" t="s">
        <v>230</v>
      </c>
      <c r="NF66" t="s">
        <v>233</v>
      </c>
      <c r="NG66" t="s">
        <v>230</v>
      </c>
      <c r="NL66" t="s">
        <v>231</v>
      </c>
      <c r="NO66" t="s">
        <v>230</v>
      </c>
      <c r="NS66" t="s">
        <v>230</v>
      </c>
      <c r="NW66" t="s">
        <v>230</v>
      </c>
      <c r="OA66" t="s">
        <v>230</v>
      </c>
      <c r="OG66" t="s">
        <v>232</v>
      </c>
      <c r="OI66" t="s">
        <v>230</v>
      </c>
    </row>
    <row r="67" spans="1:399">
      <c r="A67" t="s">
        <v>535</v>
      </c>
      <c r="B67" t="s">
        <v>94</v>
      </c>
      <c r="D67" t="s">
        <v>94</v>
      </c>
      <c r="F67" t="s">
        <v>94</v>
      </c>
      <c r="I67" t="s">
        <v>97</v>
      </c>
      <c r="N67" t="s">
        <v>102</v>
      </c>
      <c r="R67" t="s">
        <v>106</v>
      </c>
      <c r="T67" t="s">
        <v>262</v>
      </c>
      <c r="U67" t="s">
        <v>536</v>
      </c>
      <c r="V67" t="s">
        <v>537</v>
      </c>
      <c r="W67" t="s">
        <v>108</v>
      </c>
      <c r="AD67" t="s">
        <v>94</v>
      </c>
      <c r="AF67">
        <v>1</v>
      </c>
      <c r="AH67" t="s">
        <v>95</v>
      </c>
      <c r="AI67">
        <v>0</v>
      </c>
      <c r="AP67" t="s">
        <v>121</v>
      </c>
      <c r="AT67" t="s">
        <v>125</v>
      </c>
      <c r="AU67" t="s">
        <v>538</v>
      </c>
      <c r="AY67" t="s">
        <v>129</v>
      </c>
      <c r="BA67" t="s">
        <v>127</v>
      </c>
      <c r="BG67" t="s">
        <v>129</v>
      </c>
      <c r="BI67" t="s">
        <v>127</v>
      </c>
      <c r="BL67" t="s">
        <v>126</v>
      </c>
      <c r="BQ67" t="s">
        <v>127</v>
      </c>
      <c r="BV67" t="s">
        <v>128</v>
      </c>
      <c r="BX67" t="s">
        <v>126</v>
      </c>
      <c r="CE67" t="s">
        <v>129</v>
      </c>
      <c r="CH67" t="s">
        <v>128</v>
      </c>
      <c r="CJ67" t="s">
        <v>126</v>
      </c>
      <c r="CP67" t="s">
        <v>128</v>
      </c>
      <c r="CS67" t="s">
        <v>127</v>
      </c>
      <c r="CV67" t="s">
        <v>126</v>
      </c>
      <c r="DB67" t="s">
        <v>128</v>
      </c>
      <c r="DD67" t="s">
        <v>126</v>
      </c>
      <c r="DH67" t="s">
        <v>126</v>
      </c>
      <c r="DL67" t="s">
        <v>126</v>
      </c>
      <c r="DS67" t="s">
        <v>129</v>
      </c>
      <c r="DU67" t="s">
        <v>127</v>
      </c>
      <c r="DY67" t="s">
        <v>127</v>
      </c>
      <c r="ED67" t="s">
        <v>128</v>
      </c>
      <c r="EI67" t="s">
        <v>129</v>
      </c>
      <c r="EM67" t="s">
        <v>129</v>
      </c>
      <c r="EP67" t="s">
        <v>128</v>
      </c>
      <c r="ES67" t="s">
        <v>127</v>
      </c>
      <c r="EW67" t="s">
        <v>127</v>
      </c>
      <c r="FC67" t="s">
        <v>129</v>
      </c>
      <c r="FG67" t="s">
        <v>129</v>
      </c>
      <c r="FK67" t="s">
        <v>129</v>
      </c>
      <c r="FN67" t="s">
        <v>128</v>
      </c>
      <c r="FQ67" t="s">
        <v>95</v>
      </c>
      <c r="FS67" t="s">
        <v>95</v>
      </c>
      <c r="FU67" t="s">
        <v>95</v>
      </c>
      <c r="FW67" t="s">
        <v>95</v>
      </c>
      <c r="FY67" t="s">
        <v>95</v>
      </c>
      <c r="GA67" t="s">
        <v>95</v>
      </c>
      <c r="GC67" t="s">
        <v>95</v>
      </c>
      <c r="GE67" t="s">
        <v>95</v>
      </c>
      <c r="GG67" t="s">
        <v>95</v>
      </c>
      <c r="GH67" t="s">
        <v>94</v>
      </c>
      <c r="GJ67" t="s">
        <v>94</v>
      </c>
      <c r="GM67" t="s">
        <v>95</v>
      </c>
      <c r="GO67" t="s">
        <v>95</v>
      </c>
      <c r="GQ67" t="s">
        <v>95</v>
      </c>
      <c r="GS67" t="s">
        <v>95</v>
      </c>
      <c r="GU67" t="s">
        <v>95</v>
      </c>
      <c r="GW67" t="s">
        <v>95</v>
      </c>
      <c r="GX67" t="s">
        <v>539</v>
      </c>
      <c r="HA67" t="s">
        <v>243</v>
      </c>
      <c r="HE67" t="s">
        <v>243</v>
      </c>
      <c r="HG67" t="s">
        <v>242</v>
      </c>
      <c r="HL67" t="s">
        <v>244</v>
      </c>
      <c r="HO67" t="s">
        <v>242</v>
      </c>
      <c r="HS67" t="s">
        <v>242</v>
      </c>
      <c r="HW67" t="s">
        <v>242</v>
      </c>
      <c r="IA67" t="s">
        <v>242</v>
      </c>
      <c r="IE67" t="s">
        <v>242</v>
      </c>
      <c r="II67" t="s">
        <v>242</v>
      </c>
      <c r="IM67" t="s">
        <v>242</v>
      </c>
      <c r="IQ67" t="s">
        <v>242</v>
      </c>
      <c r="IU67" t="s">
        <v>242</v>
      </c>
      <c r="JB67" t="s">
        <v>253</v>
      </c>
      <c r="JE67" t="s">
        <v>245</v>
      </c>
      <c r="JG67" t="s">
        <v>242</v>
      </c>
      <c r="JL67" t="s">
        <v>244</v>
      </c>
      <c r="JO67" t="s">
        <v>242</v>
      </c>
      <c r="JT67" t="s">
        <v>244</v>
      </c>
      <c r="JW67" t="s">
        <v>242</v>
      </c>
      <c r="KA67" t="s">
        <v>242</v>
      </c>
      <c r="KE67" t="s">
        <v>242</v>
      </c>
      <c r="KI67" t="s">
        <v>242</v>
      </c>
      <c r="KP67" t="s">
        <v>241</v>
      </c>
      <c r="KQ67" t="s">
        <v>242</v>
      </c>
      <c r="KU67" t="s">
        <v>230</v>
      </c>
      <c r="KY67" t="s">
        <v>230</v>
      </c>
      <c r="LC67" t="s">
        <v>230</v>
      </c>
      <c r="LG67" t="s">
        <v>230</v>
      </c>
      <c r="LL67" t="s">
        <v>231</v>
      </c>
      <c r="LO67" t="s">
        <v>230</v>
      </c>
      <c r="LU67" t="s">
        <v>232</v>
      </c>
      <c r="LW67" t="s">
        <v>230</v>
      </c>
      <c r="MA67" t="s">
        <v>230</v>
      </c>
      <c r="MG67" t="s">
        <v>232</v>
      </c>
      <c r="MI67" t="s">
        <v>230</v>
      </c>
      <c r="MO67" t="s">
        <v>232</v>
      </c>
      <c r="MQ67" t="s">
        <v>230</v>
      </c>
      <c r="MW67" t="s">
        <v>232</v>
      </c>
      <c r="MZ67" t="s">
        <v>231</v>
      </c>
      <c r="NC67" t="s">
        <v>230</v>
      </c>
      <c r="NJ67" t="s">
        <v>233</v>
      </c>
      <c r="NM67" t="s">
        <v>232</v>
      </c>
      <c r="NR67" t="s">
        <v>233</v>
      </c>
      <c r="NS67" t="s">
        <v>230</v>
      </c>
      <c r="NW67" t="s">
        <v>230</v>
      </c>
      <c r="OA67" t="s">
        <v>230</v>
      </c>
      <c r="OH67" t="s">
        <v>233</v>
      </c>
      <c r="OI67" t="s">
        <v>230</v>
      </c>
    </row>
    <row r="68" spans="1:399">
      <c r="A68" t="s">
        <v>540</v>
      </c>
      <c r="B68" t="s">
        <v>94</v>
      </c>
      <c r="D68" t="s">
        <v>94</v>
      </c>
      <c r="F68" t="s">
        <v>94</v>
      </c>
      <c r="H68" t="s">
        <v>96</v>
      </c>
      <c r="L68" t="s">
        <v>100</v>
      </c>
      <c r="S68" t="s">
        <v>541</v>
      </c>
      <c r="T68" t="s">
        <v>542</v>
      </c>
      <c r="U68" t="s">
        <v>249</v>
      </c>
      <c r="V68" t="s">
        <v>350</v>
      </c>
      <c r="AB68" t="s">
        <v>113</v>
      </c>
      <c r="AE68" t="s">
        <v>95</v>
      </c>
      <c r="AH68" t="s">
        <v>95</v>
      </c>
      <c r="AK68" t="s">
        <v>116</v>
      </c>
      <c r="AT68" t="s">
        <v>125</v>
      </c>
      <c r="AU68" t="s">
        <v>543</v>
      </c>
      <c r="AY68" t="s">
        <v>129</v>
      </c>
      <c r="BB68" t="s">
        <v>128</v>
      </c>
      <c r="BG68" t="s">
        <v>129</v>
      </c>
      <c r="BJ68" t="s">
        <v>128</v>
      </c>
      <c r="BN68" t="s">
        <v>128</v>
      </c>
      <c r="BS68" t="s">
        <v>129</v>
      </c>
      <c r="BW68" t="s">
        <v>129</v>
      </c>
      <c r="CA68" t="s">
        <v>129</v>
      </c>
      <c r="CE68" t="s">
        <v>129</v>
      </c>
      <c r="CI68" t="s">
        <v>129</v>
      </c>
      <c r="CL68" t="s">
        <v>128</v>
      </c>
      <c r="CQ68" t="s">
        <v>129</v>
      </c>
      <c r="CU68" t="s">
        <v>129</v>
      </c>
      <c r="CX68" t="s">
        <v>128</v>
      </c>
      <c r="DB68" t="s">
        <v>128</v>
      </c>
      <c r="DD68" t="s">
        <v>126</v>
      </c>
      <c r="DJ68" t="s">
        <v>128</v>
      </c>
      <c r="DO68" t="s">
        <v>129</v>
      </c>
      <c r="DS68" t="s">
        <v>129</v>
      </c>
      <c r="DV68" t="s">
        <v>128</v>
      </c>
      <c r="EA68" t="s">
        <v>129</v>
      </c>
      <c r="EE68" t="s">
        <v>129</v>
      </c>
      <c r="EI68" t="s">
        <v>129</v>
      </c>
      <c r="EM68" t="s">
        <v>129</v>
      </c>
      <c r="EQ68" t="s">
        <v>129</v>
      </c>
      <c r="EU68" t="s">
        <v>129</v>
      </c>
      <c r="EY68" t="s">
        <v>129</v>
      </c>
      <c r="FC68" t="s">
        <v>129</v>
      </c>
      <c r="FF68" t="s">
        <v>128</v>
      </c>
      <c r="FH68" t="s">
        <v>126</v>
      </c>
      <c r="FM68" t="s">
        <v>127</v>
      </c>
      <c r="FQ68" t="s">
        <v>95</v>
      </c>
      <c r="FS68" t="s">
        <v>95</v>
      </c>
      <c r="FU68" t="s">
        <v>95</v>
      </c>
      <c r="FW68" t="s">
        <v>95</v>
      </c>
      <c r="FY68" t="s">
        <v>95</v>
      </c>
      <c r="GA68" t="s">
        <v>95</v>
      </c>
      <c r="GC68" t="s">
        <v>95</v>
      </c>
      <c r="GE68" t="s">
        <v>95</v>
      </c>
      <c r="GG68" t="s">
        <v>95</v>
      </c>
      <c r="GI68" t="s">
        <v>95</v>
      </c>
      <c r="GJ68" t="s">
        <v>94</v>
      </c>
      <c r="GM68" t="s">
        <v>95</v>
      </c>
      <c r="GO68" t="s">
        <v>95</v>
      </c>
      <c r="GQ68" t="s">
        <v>95</v>
      </c>
      <c r="GS68" t="s">
        <v>95</v>
      </c>
      <c r="GU68" t="s">
        <v>95</v>
      </c>
      <c r="GW68" t="s">
        <v>95</v>
      </c>
      <c r="GY68" t="s">
        <v>242</v>
      </c>
      <c r="HC68" t="s">
        <v>242</v>
      </c>
      <c r="HG68" t="s">
        <v>242</v>
      </c>
      <c r="HK68" t="s">
        <v>242</v>
      </c>
      <c r="HO68" t="s">
        <v>242</v>
      </c>
      <c r="HS68" t="s">
        <v>242</v>
      </c>
      <c r="HW68" t="s">
        <v>242</v>
      </c>
      <c r="IB68" t="s">
        <v>244</v>
      </c>
      <c r="IE68" t="s">
        <v>242</v>
      </c>
      <c r="IJ68" t="s">
        <v>244</v>
      </c>
      <c r="IM68" t="s">
        <v>242</v>
      </c>
      <c r="IQ68" t="s">
        <v>242</v>
      </c>
      <c r="IV68" t="s">
        <v>244</v>
      </c>
      <c r="IY68" t="s">
        <v>242</v>
      </c>
      <c r="JC68" t="s">
        <v>242</v>
      </c>
      <c r="JG68" t="s">
        <v>242</v>
      </c>
      <c r="JK68" t="s">
        <v>242</v>
      </c>
      <c r="JO68" t="s">
        <v>242</v>
      </c>
      <c r="JS68" t="s">
        <v>242</v>
      </c>
      <c r="JW68" t="s">
        <v>242</v>
      </c>
      <c r="KB68" t="s">
        <v>244</v>
      </c>
      <c r="KE68" t="s">
        <v>242</v>
      </c>
      <c r="KI68" t="s">
        <v>242</v>
      </c>
      <c r="KM68" t="s">
        <v>242</v>
      </c>
      <c r="KQ68" t="s">
        <v>242</v>
      </c>
      <c r="KU68" t="s">
        <v>230</v>
      </c>
      <c r="KY68" t="s">
        <v>230</v>
      </c>
      <c r="LD68" t="s">
        <v>231</v>
      </c>
      <c r="LG68" t="s">
        <v>230</v>
      </c>
      <c r="LK68" t="s">
        <v>230</v>
      </c>
      <c r="LO68" t="s">
        <v>230</v>
      </c>
      <c r="LS68" t="s">
        <v>230</v>
      </c>
      <c r="LX68" t="s">
        <v>231</v>
      </c>
      <c r="MA68" t="s">
        <v>230</v>
      </c>
      <c r="ME68" t="s">
        <v>230</v>
      </c>
      <c r="MJ68" t="s">
        <v>231</v>
      </c>
      <c r="MN68" t="s">
        <v>231</v>
      </c>
      <c r="MR68" t="s">
        <v>231</v>
      </c>
      <c r="MV68" t="s">
        <v>231</v>
      </c>
      <c r="MZ68" t="s">
        <v>231</v>
      </c>
      <c r="ND68" t="s">
        <v>231</v>
      </c>
      <c r="NG68" t="s">
        <v>230</v>
      </c>
      <c r="NL68" t="s">
        <v>231</v>
      </c>
      <c r="NO68" t="s">
        <v>230</v>
      </c>
      <c r="NS68" t="s">
        <v>230</v>
      </c>
      <c r="NW68" t="s">
        <v>230</v>
      </c>
      <c r="OB68" t="s">
        <v>231</v>
      </c>
      <c r="OE68" t="s">
        <v>230</v>
      </c>
      <c r="OI68" t="s">
        <v>230</v>
      </c>
    </row>
    <row r="69" spans="1:399">
      <c r="A69" t="s">
        <v>544</v>
      </c>
      <c r="B69" t="s">
        <v>94</v>
      </c>
      <c r="D69" t="s">
        <v>94</v>
      </c>
      <c r="F69" t="s">
        <v>94</v>
      </c>
      <c r="I69" t="s">
        <v>97</v>
      </c>
      <c r="M69" t="s">
        <v>101</v>
      </c>
      <c r="S69" t="s">
        <v>545</v>
      </c>
      <c r="T69" t="s">
        <v>546</v>
      </c>
      <c r="U69" t="s">
        <v>249</v>
      </c>
      <c r="V69" t="s">
        <v>350</v>
      </c>
      <c r="W69" t="s">
        <v>108</v>
      </c>
      <c r="AE69" t="s">
        <v>95</v>
      </c>
      <c r="AH69" t="s">
        <v>95</v>
      </c>
      <c r="AN69" t="s">
        <v>119</v>
      </c>
      <c r="AS69" t="s">
        <v>124</v>
      </c>
      <c r="AU69" t="s">
        <v>547</v>
      </c>
      <c r="AX69" t="s">
        <v>128</v>
      </c>
      <c r="BC69" t="s">
        <v>129</v>
      </c>
      <c r="BF69" t="s">
        <v>128</v>
      </c>
      <c r="BK69" t="s">
        <v>129</v>
      </c>
      <c r="BN69" t="s">
        <v>128</v>
      </c>
      <c r="BS69" t="s">
        <v>129</v>
      </c>
      <c r="BW69" t="s">
        <v>129</v>
      </c>
      <c r="BZ69" t="s">
        <v>128</v>
      </c>
      <c r="CE69" t="s">
        <v>129</v>
      </c>
      <c r="CI69" t="s">
        <v>129</v>
      </c>
      <c r="CM69" t="s">
        <v>129</v>
      </c>
      <c r="CP69" t="s">
        <v>128</v>
      </c>
      <c r="CT69" t="s">
        <v>128</v>
      </c>
      <c r="CY69" t="s">
        <v>129</v>
      </c>
      <c r="DC69" t="s">
        <v>129</v>
      </c>
      <c r="DF69" t="s">
        <v>128</v>
      </c>
      <c r="DJ69" t="s">
        <v>128</v>
      </c>
      <c r="DM69" t="s">
        <v>127</v>
      </c>
      <c r="DP69" t="s">
        <v>126</v>
      </c>
      <c r="DV69" t="s">
        <v>128</v>
      </c>
      <c r="EA69" t="s">
        <v>129</v>
      </c>
      <c r="EE69" t="s">
        <v>129</v>
      </c>
      <c r="EI69" t="s">
        <v>129</v>
      </c>
      <c r="EM69" t="s">
        <v>129</v>
      </c>
      <c r="EP69" t="s">
        <v>128</v>
      </c>
      <c r="EU69" t="s">
        <v>129</v>
      </c>
      <c r="EX69" t="s">
        <v>128</v>
      </c>
      <c r="FC69" t="s">
        <v>129</v>
      </c>
      <c r="FG69" t="s">
        <v>129</v>
      </c>
      <c r="FJ69" t="s">
        <v>128</v>
      </c>
      <c r="FM69" t="s">
        <v>127</v>
      </c>
      <c r="FQ69" t="s">
        <v>95</v>
      </c>
      <c r="FS69" t="s">
        <v>95</v>
      </c>
      <c r="FU69" t="s">
        <v>95</v>
      </c>
      <c r="FW69" t="s">
        <v>95</v>
      </c>
      <c r="FY69" t="s">
        <v>95</v>
      </c>
      <c r="GA69" t="s">
        <v>95</v>
      </c>
      <c r="GC69" t="s">
        <v>95</v>
      </c>
      <c r="GE69" t="s">
        <v>95</v>
      </c>
      <c r="GG69" t="s">
        <v>95</v>
      </c>
      <c r="GI69" t="s">
        <v>95</v>
      </c>
      <c r="GJ69" t="s">
        <v>94</v>
      </c>
      <c r="GM69" t="s">
        <v>95</v>
      </c>
      <c r="GO69" t="s">
        <v>95</v>
      </c>
      <c r="GQ69" t="s">
        <v>95</v>
      </c>
      <c r="GS69" t="s">
        <v>95</v>
      </c>
      <c r="GU69" t="s">
        <v>95</v>
      </c>
      <c r="GW69" t="s">
        <v>95</v>
      </c>
      <c r="GX69" t="s">
        <v>548</v>
      </c>
      <c r="GY69" t="s">
        <v>242</v>
      </c>
      <c r="HC69" t="s">
        <v>242</v>
      </c>
      <c r="HG69" t="s">
        <v>242</v>
      </c>
      <c r="HK69" t="s">
        <v>242</v>
      </c>
      <c r="HO69" t="s">
        <v>242</v>
      </c>
      <c r="HS69" t="s">
        <v>242</v>
      </c>
      <c r="HX69" t="s">
        <v>244</v>
      </c>
      <c r="IA69" t="s">
        <v>242</v>
      </c>
      <c r="IE69" t="s">
        <v>242</v>
      </c>
      <c r="IJ69" t="s">
        <v>244</v>
      </c>
      <c r="IM69" t="s">
        <v>242</v>
      </c>
      <c r="IQ69" t="s">
        <v>242</v>
      </c>
      <c r="IU69" t="s">
        <v>242</v>
      </c>
      <c r="IY69" t="s">
        <v>242</v>
      </c>
      <c r="JC69" t="s">
        <v>242</v>
      </c>
      <c r="JG69" t="s">
        <v>242</v>
      </c>
      <c r="JK69" t="s">
        <v>242</v>
      </c>
      <c r="JO69" t="s">
        <v>242</v>
      </c>
      <c r="JS69" t="s">
        <v>242</v>
      </c>
      <c r="JW69" t="s">
        <v>242</v>
      </c>
      <c r="KA69" t="s">
        <v>242</v>
      </c>
      <c r="KE69" t="s">
        <v>242</v>
      </c>
      <c r="KI69" t="s">
        <v>242</v>
      </c>
      <c r="KM69" t="s">
        <v>242</v>
      </c>
      <c r="KQ69" t="s">
        <v>242</v>
      </c>
      <c r="KU69" t="s">
        <v>230</v>
      </c>
      <c r="KY69" t="s">
        <v>230</v>
      </c>
      <c r="LC69" t="s">
        <v>230</v>
      </c>
      <c r="LG69" t="s">
        <v>230</v>
      </c>
      <c r="LK69" t="s">
        <v>230</v>
      </c>
      <c r="LO69" t="s">
        <v>230</v>
      </c>
      <c r="LT69" t="s">
        <v>231</v>
      </c>
      <c r="LX69" t="s">
        <v>231</v>
      </c>
      <c r="MA69" t="s">
        <v>230</v>
      </c>
      <c r="ME69" t="s">
        <v>230</v>
      </c>
      <c r="MI69" t="s">
        <v>230</v>
      </c>
      <c r="MM69" t="s">
        <v>230</v>
      </c>
      <c r="MQ69" t="s">
        <v>230</v>
      </c>
      <c r="MU69" t="s">
        <v>230</v>
      </c>
      <c r="MY69" t="s">
        <v>230</v>
      </c>
      <c r="NC69" t="s">
        <v>230</v>
      </c>
      <c r="NG69" t="s">
        <v>230</v>
      </c>
      <c r="NL69" t="s">
        <v>231</v>
      </c>
      <c r="NO69" t="s">
        <v>230</v>
      </c>
      <c r="NS69" t="s">
        <v>230</v>
      </c>
      <c r="NW69" t="s">
        <v>230</v>
      </c>
      <c r="OA69" t="s">
        <v>230</v>
      </c>
      <c r="OE69" t="s">
        <v>230</v>
      </c>
      <c r="OI69" t="s">
        <v>230</v>
      </c>
    </row>
  </sheetData>
  <autoFilter ref="V1:V69" xr:uid="{00000000-0009-0000-00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zoomScale="75" zoomScaleNormal="75" workbookViewId="0">
      <selection activeCell="D51" sqref="D51"/>
    </sheetView>
  </sheetViews>
  <sheetFormatPr defaultColWidth="8.5703125" defaultRowHeight="14.25"/>
  <cols>
    <col min="1" max="1" width="108.28515625" customWidth="1"/>
  </cols>
  <sheetData>
    <row r="1" spans="1:3">
      <c r="A1" s="7" t="s">
        <v>549</v>
      </c>
      <c r="B1" s="60" t="s">
        <v>550</v>
      </c>
      <c r="C1" s="60"/>
    </row>
    <row r="2" spans="1:3">
      <c r="B2" s="8" t="s">
        <v>551</v>
      </c>
      <c r="C2" s="8" t="s">
        <v>552</v>
      </c>
    </row>
    <row r="3" spans="1:3">
      <c r="A3" s="7" t="str">
        <f>Sheet!H1</f>
        <v>Ваш пол / Gender</v>
      </c>
      <c r="C3" s="7"/>
    </row>
    <row r="4" spans="1:3">
      <c r="A4" t="str">
        <f>"     " &amp; Sheet!H2</f>
        <v xml:space="preserve">     Женский / Female</v>
      </c>
      <c r="B4">
        <f>COUNTIF(Sheet!H3:H69, "Женский / Female")</f>
        <v>30</v>
      </c>
      <c r="C4" s="9">
        <f>B4/67</f>
        <v>0.44776119402985076</v>
      </c>
    </row>
    <row r="5" spans="1:3">
      <c r="A5" t="str">
        <f>"     " &amp; Sheet!I2</f>
        <v xml:space="preserve">     Мужской / Male</v>
      </c>
      <c r="B5">
        <f>COUNTIF(Sheet!I3:I69, "Мужской / Male")</f>
        <v>34</v>
      </c>
      <c r="C5" s="9">
        <f>B5/67</f>
        <v>0.5074626865671642</v>
      </c>
    </row>
    <row r="6" spans="1:3">
      <c r="A6" t="str">
        <f>"     " &amp; Sheet!J2</f>
        <v xml:space="preserve">     Небинарный / Non-binary</v>
      </c>
      <c r="B6">
        <f>COUNTIF(Sheet!J3:J69, "Небинарный / Non-binary")</f>
        <v>3</v>
      </c>
      <c r="C6" s="9">
        <f>B6/67</f>
        <v>4.4776119402985072E-2</v>
      </c>
    </row>
    <row r="7" spans="1:3">
      <c r="A7" t="str">
        <f>Sheet!K1</f>
        <v>Возраста / Age</v>
      </c>
    </row>
    <row r="8" spans="1:3">
      <c r="A8" t="str">
        <f>"     " &amp; Sheet!K2</f>
        <v xml:space="preserve">     Моложе  18</v>
      </c>
      <c r="B8">
        <f>COUNTIF(Sheet!K3:K69, "Моложе  18")</f>
        <v>0</v>
      </c>
      <c r="C8" s="9">
        <f>B8/67</f>
        <v>0</v>
      </c>
    </row>
    <row r="9" spans="1:3">
      <c r="A9" t="str">
        <f>"     " &amp; Sheet!L2</f>
        <v xml:space="preserve">     18-24</v>
      </c>
      <c r="B9">
        <f>COUNTIF(Sheet!L3:L69, "18-24")</f>
        <v>14</v>
      </c>
      <c r="C9" s="9">
        <f>B9/67</f>
        <v>0.20895522388059701</v>
      </c>
    </row>
    <row r="10" spans="1:3">
      <c r="A10" t="str">
        <f>"     " &amp;Sheet!M2</f>
        <v xml:space="preserve">     25-34</v>
      </c>
      <c r="B10">
        <f>COUNTIF(Sheet!M3:M69, "25-34")</f>
        <v>27</v>
      </c>
      <c r="C10" s="9">
        <f>B10/67</f>
        <v>0.40298507462686567</v>
      </c>
    </row>
    <row r="11" spans="1:3">
      <c r="A11" t="str">
        <f>"     " &amp; Sheet!N2</f>
        <v xml:space="preserve">     35-44</v>
      </c>
      <c r="B11">
        <f>COUNTIF(Sheet!N3:N69, "35-44")</f>
        <v>16</v>
      </c>
      <c r="C11" s="9">
        <f>B11/67</f>
        <v>0.23880597014925373</v>
      </c>
    </row>
    <row r="12" spans="1:3">
      <c r="A12" t="str">
        <f>"     " &amp; Sheet!O2</f>
        <v xml:space="preserve">     45-54</v>
      </c>
      <c r="B12">
        <f>COUNTIF(Sheet!O3:O69,Sheet!O2)</f>
        <v>9</v>
      </c>
      <c r="C12" s="9">
        <f>B12/67</f>
        <v>0.13432835820895522</v>
      </c>
    </row>
    <row r="13" spans="1:3">
      <c r="A13" t="str">
        <f>"     " &amp; Sheet!P2</f>
        <v xml:space="preserve">     55-64</v>
      </c>
      <c r="B13">
        <f>COUNTIF(Sheet!P3:P69, Sheet!P2)</f>
        <v>1</v>
      </c>
      <c r="C13" s="9">
        <f>B13/67</f>
        <v>1.4925373134328358E-2</v>
      </c>
    </row>
    <row r="14" spans="1:3">
      <c r="A14" t="str">
        <f>"     " &amp; Sheet!Q2</f>
        <v xml:space="preserve">     65+</v>
      </c>
      <c r="B14">
        <f>COUNTIF(Sheet!Q3:Q69, Sheet!Q2)</f>
        <v>0</v>
      </c>
      <c r="C14" s="9">
        <f>B14/67</f>
        <v>0</v>
      </c>
    </row>
    <row r="15" spans="1:3">
      <c r="A15" t="str">
        <f>Sheet!R1</f>
        <v>Укажите вашу этническую принадлежнось / Which ethnicity best describes you?</v>
      </c>
    </row>
    <row r="16" spans="1:3">
      <c r="A16" t="str">
        <f>"     " &amp; Sheet!R2</f>
        <v xml:space="preserve">     Русский(ая) / Russian</v>
      </c>
      <c r="B16">
        <f>COUNTIF(Sheet!R3:R69, Sheet!R2)</f>
        <v>46</v>
      </c>
      <c r="C16" s="9">
        <f>B16/67</f>
        <v>0.68656716417910446</v>
      </c>
    </row>
    <row r="17" spans="1:3">
      <c r="A17" t="str">
        <f>"     " &amp; Sheet!S2</f>
        <v xml:space="preserve">     Другая этническая принадлежность (уточните) / Other (please specify)</v>
      </c>
      <c r="B17">
        <f>COUNTIF(Sheet!S3:S69, "*")</f>
        <v>21</v>
      </c>
      <c r="C17" s="9">
        <f>B17/67</f>
        <v>0.31343283582089554</v>
      </c>
    </row>
    <row r="18" spans="1:3">
      <c r="A18" t="str">
        <f>Sheet!U1</f>
        <v>Из какого города/села вы эмигрировали (название, область)? / What place did you emigrate from?</v>
      </c>
    </row>
    <row r="19" spans="1:3">
      <c r="A19" t="str">
        <f>Sheet!V1</f>
        <v>В каком городе/селе вы сейчас находитесь (название, страна)? Where are you residing now?</v>
      </c>
    </row>
    <row r="20" spans="1:3">
      <c r="A20" t="s">
        <v>553</v>
      </c>
      <c r="B20">
        <f>COUNTIF(Sheet!V:V,"*Груз*")+COUNTIF(Sheet!V:V,"*Georg*")+COUNTIF(Sheet!V:V,"Тбилиси")+COUNTIF(Sheet!V:V,"Tbilisi")++COUNTIF(Sheet!V:V,"Кобулети")+COUNTIF(Sheet!V:V,"Батуми") ++COUNTIF(Sheet!V:V,"город Батуми")</f>
        <v>43</v>
      </c>
      <c r="C20" s="9">
        <f>B20/67</f>
        <v>0.64179104477611937</v>
      </c>
    </row>
    <row r="21" spans="1:3">
      <c r="A21" t="s">
        <v>554</v>
      </c>
      <c r="B21">
        <f>67-B20</f>
        <v>24</v>
      </c>
      <c r="C21" s="9">
        <f>B21/67</f>
        <v>0.35820895522388058</v>
      </c>
    </row>
    <row r="22" spans="1:3">
      <c r="A22" t="str">
        <f>Sheet!W1</f>
        <v>Семейное положение / Which of the following best describes your current relationship status?</v>
      </c>
    </row>
    <row r="23" spans="1:3">
      <c r="A23" t="str">
        <f>"     " &amp; Sheet!W2</f>
        <v xml:space="preserve">     Женат (замужем) / Married</v>
      </c>
      <c r="B23">
        <f>COUNTIF(Sheet!W3:W69, Sheet!W2)</f>
        <v>30</v>
      </c>
      <c r="C23" s="9">
        <f>B23/67</f>
        <v>0.44776119402985076</v>
      </c>
    </row>
    <row r="24" spans="1:3">
      <c r="A24" t="str">
        <f>"     " &amp; Sheet!X2</f>
        <v xml:space="preserve">     Вдовец (вдова) / Widowed</v>
      </c>
      <c r="B24">
        <f>COUNTIF(Sheet!X3:X69, Sheet!X2)</f>
        <v>0</v>
      </c>
      <c r="C24" s="9">
        <f>B24/67</f>
        <v>0</v>
      </c>
    </row>
    <row r="25" spans="1:3">
      <c r="A25" t="str">
        <f>"     " &amp; Sheet!Y2</f>
        <v xml:space="preserve">     В разводе / Divorced</v>
      </c>
      <c r="B25">
        <f>COUNTIF(Sheet!Y3:Y69, Sheet!Y2)</f>
        <v>3</v>
      </c>
      <c r="C25" s="9">
        <f>B25/67</f>
        <v>4.4776119402985072E-2</v>
      </c>
    </row>
    <row r="26" spans="1:3">
      <c r="A26" t="str">
        <f>"     " &amp; Sheet!Z2</f>
        <v xml:space="preserve">     Раздельное проживание / Separated</v>
      </c>
      <c r="B26">
        <f>COUNTIF(Sheet!Z3:Z69, Sheet!Z2)</f>
        <v>1</v>
      </c>
      <c r="C26" s="9">
        <f>B26/67</f>
        <v>1.4925373134328358E-2</v>
      </c>
    </row>
    <row r="27" spans="1:3">
      <c r="A27" t="str">
        <f>"     " &amp; Sheet!AA2</f>
        <v xml:space="preserve">     Гражданский брак / Cohabiting with a significant other or in a domestic partnership</v>
      </c>
      <c r="B27">
        <f>COUNTIF(Sheet!AA3:AA69, Sheet!AA2)</f>
        <v>14</v>
      </c>
      <c r="C27" s="9">
        <f>B27/67</f>
        <v>0.20895522388059701</v>
      </c>
    </row>
    <row r="28" spans="1:3">
      <c r="A28" t="str">
        <f>"     " &amp; Sheet!AB2</f>
        <v xml:space="preserve">     Никогда не был женат (замужем) / Single, never married</v>
      </c>
      <c r="B28">
        <f>COUNTIF(Sheet!AB3:AB69, Sheet!AB2)</f>
        <v>19</v>
      </c>
      <c r="C28" s="9">
        <f>B28/67</f>
        <v>0.28358208955223879</v>
      </c>
    </row>
    <row r="29" spans="1:3">
      <c r="A29" t="str">
        <f>"     " &amp; Sheet!AC2</f>
        <v xml:space="preserve">     Предпочитаю не отвечать / Prefer not to answer</v>
      </c>
      <c r="B29">
        <f>COUNTIF(Sheet!K3:K69, "Моложе  18")</f>
        <v>0</v>
      </c>
      <c r="C29" s="9">
        <f>B29/67</f>
        <v>0</v>
      </c>
    </row>
    <row r="30" spans="1:3">
      <c r="A30" t="str">
        <f>Sheet!AD1</f>
        <v>У вас есть дети моложе 18 лет? / Do you have any children under 18?</v>
      </c>
    </row>
    <row r="31" spans="1:3">
      <c r="A31" t="str">
        <f>"     " &amp; Sheet!AD2</f>
        <v xml:space="preserve">     Да / Yes</v>
      </c>
      <c r="B31">
        <f>COUNTIF(Sheet!AD3:AD69, Sheet!AD2)</f>
        <v>20</v>
      </c>
      <c r="C31" s="9">
        <f>B31/67</f>
        <v>0.29850746268656714</v>
      </c>
    </row>
    <row r="32" spans="1:3">
      <c r="A32" t="str">
        <f>"     " &amp; Sheet!AE2</f>
        <v xml:space="preserve">     Нет / No</v>
      </c>
      <c r="B32">
        <f>COUNTIF(Sheet!AE3:AE69,Sheet!AE2)</f>
        <v>47</v>
      </c>
      <c r="C32" s="9">
        <f>B32/67</f>
        <v>0.70149253731343286</v>
      </c>
    </row>
    <row r="33" spans="1:3">
      <c r="A33" t="str">
        <f>Sheet!AF1</f>
        <v xml:space="preserve">Если да, то сколько? / If yes, how many? </v>
      </c>
    </row>
    <row r="34" spans="1:3">
      <c r="A34" t="str">
        <f>Sheet!AG1</f>
        <v>Есть ли у вас другие члены семьи на иждивении? / Do you have any other dependents who are currently living with you</v>
      </c>
    </row>
    <row r="35" spans="1:3">
      <c r="A35" t="str">
        <f>"     " &amp; Sheet!AG2</f>
        <v xml:space="preserve">     Да / Yes</v>
      </c>
      <c r="B35">
        <f>COUNTIF(Sheet!AG3:AG69, Sheet!AG2)</f>
        <v>13</v>
      </c>
      <c r="C35" s="9">
        <f>B35/67</f>
        <v>0.19402985074626866</v>
      </c>
    </row>
    <row r="36" spans="1:3">
      <c r="A36" t="str">
        <f>"     " &amp; Sheet!AH2</f>
        <v xml:space="preserve">     Нет / No</v>
      </c>
      <c r="B36">
        <f>COUNTIF(Sheet!AH3:AH69, Sheet!AH2)</f>
        <v>54</v>
      </c>
      <c r="C36" s="9">
        <f>B36/67</f>
        <v>0.80597014925373134</v>
      </c>
    </row>
    <row r="37" spans="1:3">
      <c r="A37" t="str">
        <f>Sheet!AJ1</f>
        <v>Уровень образования / Highest level of education:</v>
      </c>
    </row>
    <row r="38" spans="1:3">
      <c r="A38" t="str">
        <f>"     " &amp; Sheet!AJ2</f>
        <v xml:space="preserve">     Незаконченное среднее образование / Less than high school graduate</v>
      </c>
      <c r="B38">
        <f>COUNTIF(Sheet!AJ3:AJ69, Sheet!AJ2)</f>
        <v>1</v>
      </c>
      <c r="C38" s="9">
        <f>B38/67</f>
        <v>1.4925373134328358E-2</v>
      </c>
    </row>
    <row r="39" spans="1:3">
      <c r="A39" t="str">
        <f>"     " &amp; Sheet!AK2</f>
        <v xml:space="preserve">     Среднее образование / High school graduate</v>
      </c>
      <c r="B39">
        <f>COUNTIF(Sheet!AK3:AK69, Sheet!AK2)</f>
        <v>6</v>
      </c>
      <c r="C39" s="9">
        <f>B39/67</f>
        <v>8.9552238805970144E-2</v>
      </c>
    </row>
    <row r="40" spans="1:3">
      <c r="A40" t="str">
        <f>"     " &amp; Sheet!AL2</f>
        <v xml:space="preserve">     Незаконченное высшее / Some college</v>
      </c>
      <c r="B40">
        <f>COUNTIF(Sheet!AL3:AL69, Sheet!AL2)</f>
        <v>13</v>
      </c>
      <c r="C40" s="9">
        <f>B40/67</f>
        <v>0.19402985074626866</v>
      </c>
    </row>
    <row r="41" spans="1:3">
      <c r="A41" t="str">
        <f>"     " &amp; Sheet!AM2</f>
        <v xml:space="preserve">     Высшее образование (бакалавриат) / Bachelor’s Degree</v>
      </c>
      <c r="B41">
        <f>COUNTIF(Sheet!AM3:AM69, Sheet!AM2)</f>
        <v>12</v>
      </c>
      <c r="C41" s="9">
        <f>B41/67</f>
        <v>0.17910447761194029</v>
      </c>
    </row>
    <row r="42" spans="1:3">
      <c r="A42" t="str">
        <f>"     " &amp; Sheet!AN2</f>
        <v xml:space="preserve">     Высшее образование (специалист) / 5 years of college</v>
      </c>
      <c r="B42">
        <f>COUNTIF(Sheet!AN3:AN69, Sheet!AN2)</f>
        <v>23</v>
      </c>
      <c r="C42" s="9">
        <f>B42/67</f>
        <v>0.34328358208955223</v>
      </c>
    </row>
    <row r="43" spans="1:3">
      <c r="A43" t="str">
        <f>"     " &amp; Sheet!AO2</f>
        <v xml:space="preserve">     Магистратура / Master’s Degree</v>
      </c>
      <c r="B43">
        <f>COUNTIF(Sheet!AO3:AO69, Sheet!AO2)</f>
        <v>7</v>
      </c>
      <c r="C43" s="9">
        <f>B43/67</f>
        <v>0.1044776119402985</v>
      </c>
    </row>
    <row r="44" spans="1:3">
      <c r="A44" t="str">
        <f>"     " &amp; Sheet!AP2</f>
        <v xml:space="preserve">     Кандидат наук / Doctoral Degree</v>
      </c>
      <c r="B44">
        <f>COUNTIF(Sheet!AP3:AP69, Sheet!AP2)</f>
        <v>4</v>
      </c>
      <c r="C44" s="9">
        <f>B44/67</f>
        <v>5.9701492537313432E-2</v>
      </c>
    </row>
    <row r="45" spans="1:3">
      <c r="A45" t="str">
        <f>"     " &amp; Sheet!AQ2</f>
        <v xml:space="preserve">     Профессиональное образование / Professional Degree</v>
      </c>
      <c r="B45">
        <f>COUNTIF(Sheet!AQ3:AQ69, Sheet!AQ2)</f>
        <v>1</v>
      </c>
      <c r="C45" s="9">
        <f>B45/67</f>
        <v>1.4925373134328358E-2</v>
      </c>
    </row>
    <row r="46" spans="1:3">
      <c r="A46" t="str">
        <f>Sheet!AR1</f>
        <v>Какой у вас уровень доходов? / What is your current income?</v>
      </c>
    </row>
    <row r="47" spans="1:3">
      <c r="A47" t="str">
        <f>"     " &amp; Sheet!AR2</f>
        <v xml:space="preserve">     Ниже среднего / Below average</v>
      </c>
      <c r="B47">
        <f>COUNTIF(Sheet!AR3:AR69, Sheet!AR2)</f>
        <v>22</v>
      </c>
      <c r="C47" s="9">
        <f>B47/67</f>
        <v>0.32835820895522388</v>
      </c>
    </row>
    <row r="48" spans="1:3">
      <c r="A48" t="str">
        <f>"     " &amp; Sheet!AS2</f>
        <v xml:space="preserve">     Средний / Average</v>
      </c>
      <c r="B48">
        <f>COUNTIF(Sheet!AS3:AS69, Sheet!AS2)</f>
        <v>32</v>
      </c>
      <c r="C48" s="9">
        <f>B48/67</f>
        <v>0.47761194029850745</v>
      </c>
    </row>
    <row r="49" spans="1:3">
      <c r="A49" s="10" t="str">
        <f>"     " &amp; Sheet!AT2</f>
        <v xml:space="preserve">     Выше среднего / Above average</v>
      </c>
      <c r="B49" s="10">
        <f>COUNTIF(Sheet!AT3:AT69, Sheet!AT2)</f>
        <v>12</v>
      </c>
      <c r="C49" s="11">
        <f>B49/67</f>
        <v>0.17910447761194029</v>
      </c>
    </row>
    <row r="50" spans="1:3" ht="14.25" customHeight="1">
      <c r="A50" s="55" t="s">
        <v>555</v>
      </c>
      <c r="B50" s="55"/>
      <c r="C50" s="55"/>
    </row>
  </sheetData>
  <mergeCells count="2">
    <mergeCell ref="B1:C1"/>
    <mergeCell ref="A50:C5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FF00"/>
  </sheetPr>
  <dimension ref="A1:FO70"/>
  <sheetViews>
    <sheetView tabSelected="1" topLeftCell="EY1" zoomScale="75" zoomScaleNormal="75" workbookViewId="0">
      <selection activeCell="FL2" sqref="FL2:FL69"/>
    </sheetView>
  </sheetViews>
  <sheetFormatPr defaultColWidth="10.140625" defaultRowHeight="13.9" outlineLevelCol="1"/>
  <cols>
    <col min="5" max="5" width="41" customWidth="1"/>
    <col min="48" max="48" width="11" customWidth="1"/>
    <col min="49" max="51" width="11" customWidth="1" outlineLevel="1"/>
    <col min="52" max="52" width="11" customWidth="1"/>
    <col min="53" max="55" width="11" customWidth="1" outlineLevel="1"/>
    <col min="56" max="56" width="11" customWidth="1"/>
    <col min="57" max="59" width="11" customWidth="1" outlineLevel="1"/>
    <col min="60" max="60" width="11" customWidth="1"/>
    <col min="61" max="63" width="11" customWidth="1" outlineLevel="1"/>
    <col min="64" max="64" width="11" customWidth="1"/>
    <col min="65" max="67" width="11" customWidth="1" outlineLevel="1"/>
    <col min="68" max="68" width="11" customWidth="1"/>
    <col min="69" max="71" width="11" customWidth="1" outlineLevel="1"/>
    <col min="72" max="72" width="11" customWidth="1"/>
    <col min="73" max="75" width="11" customWidth="1" outlineLevel="1"/>
    <col min="76" max="76" width="11" customWidth="1"/>
    <col min="77" max="79" width="11" customWidth="1" outlineLevel="1"/>
    <col min="80" max="80" width="11" customWidth="1"/>
    <col min="81" max="83" width="11" customWidth="1" outlineLevel="1"/>
    <col min="84" max="84" width="11" customWidth="1"/>
    <col min="85" max="87" width="11" customWidth="1" outlineLevel="1"/>
    <col min="88" max="88" width="11" customWidth="1"/>
    <col min="89" max="91" width="11" customWidth="1" outlineLevel="1"/>
    <col min="92" max="92" width="11" customWidth="1"/>
    <col min="93" max="95" width="11" customWidth="1" outlineLevel="1"/>
    <col min="96" max="96" width="11" customWidth="1"/>
    <col min="97" max="99" width="11" customWidth="1" outlineLevel="1"/>
    <col min="100" max="100" width="11" customWidth="1"/>
    <col min="101" max="103" width="11" customWidth="1" outlineLevel="1"/>
    <col min="104" max="104" width="16.5703125" customWidth="1"/>
    <col min="105" max="107" width="11" customWidth="1" outlineLevel="1"/>
    <col min="108" max="108" width="11" customWidth="1"/>
    <col min="109" max="111" width="11" customWidth="1" outlineLevel="1"/>
    <col min="112" max="112" width="11" customWidth="1"/>
    <col min="113" max="115" width="11" customWidth="1" outlineLevel="1"/>
    <col min="116" max="116" width="11" customWidth="1"/>
    <col min="117" max="119" width="11" customWidth="1" outlineLevel="1"/>
    <col min="120" max="120" width="11" customWidth="1"/>
    <col min="121" max="123" width="11" customWidth="1" outlineLevel="1"/>
    <col min="124" max="124" width="11" customWidth="1"/>
    <col min="125" max="127" width="11" customWidth="1" outlineLevel="1"/>
    <col min="128" max="128" width="11" customWidth="1"/>
    <col min="129" max="131" width="11" customWidth="1" outlineLevel="1"/>
    <col min="132" max="132" width="11" customWidth="1"/>
    <col min="133" max="135" width="11" customWidth="1" outlineLevel="1"/>
    <col min="136" max="136" width="11" customWidth="1"/>
    <col min="137" max="139" width="11" customWidth="1" outlineLevel="1"/>
    <col min="140" max="140" width="11" customWidth="1"/>
    <col min="141" max="143" width="11" customWidth="1" outlineLevel="1"/>
    <col min="144" max="144" width="11" customWidth="1"/>
    <col min="145" max="147" width="11" customWidth="1" outlineLevel="1"/>
    <col min="148" max="148" width="11" customWidth="1"/>
    <col min="149" max="151" width="11" customWidth="1" outlineLevel="1"/>
    <col min="152" max="152" width="11" customWidth="1"/>
    <col min="153" max="155" width="11" customWidth="1" outlineLevel="1"/>
    <col min="156" max="156" width="11" customWidth="1"/>
    <col min="157" max="159" width="11" customWidth="1" outlineLevel="1"/>
    <col min="160" max="160" width="11" customWidth="1"/>
    <col min="161" max="163" width="11" customWidth="1" outlineLevel="1"/>
    <col min="164" max="164" width="11" customWidth="1"/>
    <col min="165" max="167" width="11" customWidth="1" outlineLevel="1"/>
    <col min="168" max="171" width="11" customWidth="1"/>
  </cols>
  <sheetData>
    <row r="1" spans="1:171" s="12" customFormat="1" ht="80.650000000000006" customHeight="1">
      <c r="A1" s="12" t="str">
        <f>Sheet!A1</f>
        <v>Пожалуйста, введите свой ID, который вы получили после подписания соглашения на участие.</v>
      </c>
      <c r="E1" s="13" t="s">
        <v>556</v>
      </c>
      <c r="F1" s="6" t="s">
        <v>552</v>
      </c>
      <c r="G1" s="13" t="s">
        <v>551</v>
      </c>
      <c r="AT1" s="12" t="s">
        <v>556</v>
      </c>
      <c r="AV1" s="12" t="str">
        <f>IF(Sheet!AV1&lt;&gt;"",Sheet!AV1, "")</f>
        <v>Я не доверяю людям в этой стране. / I do not trust the people of this country.</v>
      </c>
      <c r="AY1" s="12" t="str">
        <f>IF(Sheet!AY1&lt;&gt;"",Sheet!AY1, "")</f>
        <v/>
      </c>
      <c r="AZ1" s="12" t="str">
        <f>IF(Sheet!AZ1&lt;&gt;"",Sheet!AZ1, "")</f>
        <v xml:space="preserve">Я скучаю по атмосфере моего родного города (села). / I miss the atmosphere of my hometown. </v>
      </c>
      <c r="BA1" s="12" t="str">
        <f>IF(Sheet!BA1&lt;&gt;"",Sheet!BA1, "")</f>
        <v/>
      </c>
      <c r="BB1" s="12" t="str">
        <f>IF(Sheet!BB1&lt;&gt;"",Sheet!BB1, "")</f>
        <v/>
      </c>
      <c r="BC1" s="12" t="str">
        <f>IF(Sheet!BC1&lt;&gt;"",Sheet!BC1, "")</f>
        <v/>
      </c>
      <c r="BD1" s="12" t="str">
        <f>IF(Sheet!BD1&lt;&gt;"",Sheet!BD1, "")</f>
        <v>Социум постоянно напоминает мне, что я иммигрант. / Society constantly reminds you that you are an immigrant.</v>
      </c>
      <c r="BE1" s="12" t="str">
        <f>IF(Sheet!BE1&lt;&gt;"",Sheet!BE1, "")</f>
        <v/>
      </c>
      <c r="BF1" s="12" t="str">
        <f>IF(Sheet!BF1&lt;&gt;"",Sheet!BF1, "")</f>
        <v/>
      </c>
      <c r="BG1" s="12" t="str">
        <f>IF(Sheet!BG1&lt;&gt;"",Sheet!BG1, "")</f>
        <v/>
      </c>
      <c r="BH1" s="12" t="str">
        <f>IF(Sheet!BH1&lt;&gt;"",Sheet!BH1, "")</f>
        <v>Я чувствую себя одиноким. /  I feel alone.</v>
      </c>
      <c r="BI1" s="12" t="str">
        <f>IF(Sheet!BI1&lt;&gt;"",Sheet!BI1, "")</f>
        <v/>
      </c>
      <c r="BJ1" s="12" t="str">
        <f>IF(Sheet!BJ1&lt;&gt;"",Sheet!BJ1, "")</f>
        <v/>
      </c>
      <c r="BK1" s="12" t="str">
        <f>IF(Sheet!BK1&lt;&gt;"",Sheet!BK1, "")</f>
        <v/>
      </c>
      <c r="BL1" s="12" t="str">
        <f>IF(Sheet!BL1&lt;&gt;"",Sheet!BL1, "")</f>
        <v xml:space="preserve">У меня слишком много обязанностей. / I have too many responsibilities. </v>
      </c>
      <c r="BM1" s="12" t="str">
        <f>IF(Sheet!BM1&lt;&gt;"",Sheet!BM1, "")</f>
        <v/>
      </c>
      <c r="BN1" s="12" t="str">
        <f>IF(Sheet!BN1&lt;&gt;"",Sheet!BN1, "")</f>
        <v/>
      </c>
      <c r="BO1" s="12" t="str">
        <f>IF(Sheet!BO1&lt;&gt;"",Sheet!BO1, "")</f>
        <v/>
      </c>
      <c r="BP1" s="12" t="str">
        <f>IF(Sheet!BP1&lt;&gt;"",Sheet!BP1, "")</f>
        <v xml:space="preserve">Меня беспокоит, что я не смогу дать моим детям образование, которое будет соответствовать моей культуре. / It worries me that I cannot educate my children according to my culture. </v>
      </c>
      <c r="BQ1" s="12" t="str">
        <f>IF(Sheet!BQ1&lt;&gt;"",Sheet!BQ1, "")</f>
        <v/>
      </c>
      <c r="BR1" s="12" t="str">
        <f>IF(Sheet!BR1&lt;&gt;"",Sheet!BR1, "")</f>
        <v/>
      </c>
      <c r="BS1" s="12" t="str">
        <f>IF(Sheet!BS1&lt;&gt;"",Sheet!BS1, "")</f>
        <v/>
      </c>
      <c r="BT1" s="12" t="str">
        <f>IF(Sheet!BT1&lt;&gt;"",Sheet!BT1, "")</f>
        <v xml:space="preserve">Я чувствую, что я потерпел неудачу. / I feel that I have failed. </v>
      </c>
      <c r="BU1" s="12" t="str">
        <f>IF(Sheet!BU1&lt;&gt;"",Sheet!BU1, "")</f>
        <v/>
      </c>
      <c r="BV1" s="12" t="str">
        <f>IF(Sheet!BV1&lt;&gt;"",Sheet!BV1, "")</f>
        <v/>
      </c>
      <c r="BW1" s="12" t="str">
        <f>IF(Sheet!BW1&lt;&gt;"",Sheet!BW1, "")</f>
        <v/>
      </c>
      <c r="BX1" s="12" t="str">
        <f>IF(Sheet!BX1&lt;&gt;"",Sheet!BX1, "")</f>
        <v xml:space="preserve">Я чувствую, что я не принадлежу к этому обществу. / I feel that I do not belong to this society. </v>
      </c>
      <c r="BY1" s="12" t="str">
        <f>IF(Sheet!BY1&lt;&gt;"",Sheet!BY1, "")</f>
        <v/>
      </c>
      <c r="BZ1" s="12" t="str">
        <f>IF(Sheet!BZ1&lt;&gt;"",Sheet!BZ1, "")</f>
        <v/>
      </c>
      <c r="CA1" s="12" t="str">
        <f>IF(Sheet!CA1&lt;&gt;"",Sheet!CA1, "")</f>
        <v/>
      </c>
      <c r="CB1" s="12" t="str">
        <f>IF(Sheet!CB1&lt;&gt;"",Sheet!CB1, "")</f>
        <v>Я боюсь, что я потерплю неудачу в этой стране. /  I fear that I will fail in this country.</v>
      </c>
      <c r="CC1" s="12" t="str">
        <f>IF(Sheet!CC1&lt;&gt;"",Sheet!CC1, "")</f>
        <v/>
      </c>
      <c r="CD1" s="12" t="str">
        <f>IF(Sheet!CD1&lt;&gt;"",Sheet!CD1, "")</f>
        <v/>
      </c>
      <c r="CE1" s="12" t="str">
        <f>IF(Sheet!CE1&lt;&gt;"",Sheet!CE1, "")</f>
        <v/>
      </c>
      <c r="CF1" s="12" t="str">
        <f>IF(Sheet!CF1&lt;&gt;"",Sheet!CF1, "")</f>
        <v xml:space="preserve"> Я не чувствую себя здесь принятым. / I do not feel accepted here. </v>
      </c>
      <c r="CG1" s="12" t="str">
        <f>IF(Sheet!CG1&lt;&gt;"",Sheet!CG1, "")</f>
        <v/>
      </c>
      <c r="CH1" s="12" t="str">
        <f>IF(Sheet!CH1&lt;&gt;"",Sheet!CH1, "")</f>
        <v/>
      </c>
      <c r="CI1" s="12" t="str">
        <f>IF(Sheet!CI1&lt;&gt;"",Sheet!CI1, "")</f>
        <v/>
      </c>
      <c r="CJ1" s="12" t="str">
        <f>IF(Sheet!CJ1&lt;&gt;"",Sheet!CJ1, "")</f>
        <v xml:space="preserve">Я чувствую себя очень плохо, когда я думаю о том, что я оставил в своей стране. / I feel very bad when I think about everything I left behind in my country. </v>
      </c>
      <c r="CK1" s="12" t="str">
        <f>IF(Sheet!CK1&lt;&gt;"",Sheet!CK1, "")</f>
        <v/>
      </c>
      <c r="CL1" s="12" t="str">
        <f>IF(Sheet!CL1&lt;&gt;"",Sheet!CL1, "")</f>
        <v/>
      </c>
      <c r="CM1" s="12" t="str">
        <f>IF(Sheet!CM1&lt;&gt;"",Sheet!CM1, "")</f>
        <v/>
      </c>
      <c r="CN1" s="12" t="str">
        <f>IF(Sheet!CN1&lt;&gt;"",Sheet!CN1, "")</f>
        <v xml:space="preserve">Я переживаю за свое здоровье. / I am worried about my health. </v>
      </c>
      <c r="CO1" s="12" t="str">
        <f>IF(Sheet!CO1&lt;&gt;"",Sheet!CO1, "")</f>
        <v/>
      </c>
      <c r="CP1" s="12" t="str">
        <f>IF(Sheet!CP1&lt;&gt;"",Sheet!CP1, "")</f>
        <v/>
      </c>
      <c r="CQ1" s="12" t="str">
        <f>IF(Sheet!CQ1&lt;&gt;"",Sheet!CQ1, "")</f>
        <v/>
      </c>
      <c r="CR1" s="12" t="str">
        <f>IF(Sheet!CR1&lt;&gt;"",Sheet!CR1, "")</f>
        <v xml:space="preserve">У меня нет адекватного жилья. / I do not have adequate housing. </v>
      </c>
      <c r="CS1" s="12" t="str">
        <f>IF(Sheet!CS1&lt;&gt;"",Sheet!CS1, "")</f>
        <v/>
      </c>
      <c r="CT1" s="12" t="str">
        <f>IF(Sheet!CT1&lt;&gt;"",Sheet!CT1, "")</f>
        <v/>
      </c>
      <c r="CU1" s="12" t="str">
        <f>IF(Sheet!CU1&lt;&gt;"",Sheet!CU1, "")</f>
        <v/>
      </c>
      <c r="CV1" s="12" t="str">
        <f>IF(Sheet!CV1&lt;&gt;"",Sheet!CV1, "")</f>
        <v>Я чувствую вину за то, что я оставил свою семью. / I feel guilty for having left my family.</v>
      </c>
      <c r="CW1" s="12" t="str">
        <f>IF(Sheet!CW1&lt;&gt;"",Sheet!CW1, "")</f>
        <v/>
      </c>
      <c r="CX1" s="12" t="str">
        <f>IF(Sheet!CX1&lt;&gt;"",Sheet!CX1, "")</f>
        <v/>
      </c>
      <c r="CY1" s="12" t="str">
        <f>IF(Sheet!CY1&lt;&gt;"",Sheet!CY1, "")</f>
        <v/>
      </c>
      <c r="CZ1" s="12" t="str">
        <f>IF(Sheet!CZ1&lt;&gt;"",Sheet!CZ1, "")</f>
        <v xml:space="preserve">Я чувствую как будто я бросил свою семью. / I feel like I have abandoned my family. </v>
      </c>
      <c r="DA1" s="12" t="str">
        <f>IF(Sheet!DA1&lt;&gt;"",Sheet!DA1, "")</f>
        <v/>
      </c>
      <c r="DB1" s="12" t="str">
        <f>IF(Sheet!DB1&lt;&gt;"",Sheet!DB1, "")</f>
        <v/>
      </c>
      <c r="DC1" s="12" t="str">
        <f>IF(Sheet!DC1&lt;&gt;"",Sheet!DC1, "")</f>
        <v/>
      </c>
      <c r="DD1" s="13" t="str">
        <f>IF(Sheet!DD1&lt;&gt;"",Sheet!DD1, "")</f>
        <v xml:space="preserve">Я скучаю по своей семье. / I miss my family. </v>
      </c>
      <c r="DE1" s="12" t="str">
        <f>IF(Sheet!DE1&lt;&gt;"",Sheet!DE1, "")</f>
        <v/>
      </c>
      <c r="DF1" s="12" t="str">
        <f>IF(Sheet!DF1&lt;&gt;"",Sheet!DF1, "")</f>
        <v/>
      </c>
      <c r="DG1" s="12" t="str">
        <f>IF(Sheet!DG1&lt;&gt;"",Sheet!DG1, "")</f>
        <v/>
      </c>
      <c r="DH1" s="13" t="str">
        <f>IF(Sheet!DH1&lt;&gt;"",Sheet!DH1, "")</f>
        <v xml:space="preserve"> Я часто чувствую себя напряженным. / I frequently feel tense. </v>
      </c>
      <c r="DI1" s="12" t="str">
        <f>IF(Sheet!DI1&lt;&gt;"",Sheet!DI1, "")</f>
        <v/>
      </c>
      <c r="DJ1" s="12" t="str">
        <f>IF(Sheet!DJ1&lt;&gt;"",Sheet!DJ1, "")</f>
        <v/>
      </c>
      <c r="DK1" s="12" t="str">
        <f>IF(Sheet!DK1&lt;&gt;"",Sheet!DK1, "")</f>
        <v/>
      </c>
      <c r="DL1" s="13" t="str">
        <f>IF(Sheet!DL1&lt;&gt;"",Sheet!DL1, "")</f>
        <v xml:space="preserve">Я не уверен, что я хочу здесь остаться. / I am not sure if I want to stay here. </v>
      </c>
      <c r="DM1" s="12" t="str">
        <f>IF(Sheet!DM1&lt;&gt;"",Sheet!DM1, "")</f>
        <v/>
      </c>
      <c r="DN1" s="12" t="str">
        <f>IF(Sheet!DN1&lt;&gt;"",Sheet!DN1, "")</f>
        <v/>
      </c>
      <c r="DO1" s="12" t="str">
        <f>IF(Sheet!DO1&lt;&gt;"",Sheet!DO1, "")</f>
        <v/>
      </c>
      <c r="DP1" s="13" t="str">
        <f>IF(Sheet!DP1&lt;&gt;"",Sheet!DP1, "")</f>
        <v xml:space="preserve">У меня есть финансовые проблемы. / I have financial problems. </v>
      </c>
      <c r="DQ1" s="12" t="str">
        <f>IF(Sheet!DQ1&lt;&gt;"",Sheet!DQ1, "")</f>
        <v/>
      </c>
      <c r="DR1" s="12" t="str">
        <f>IF(Sheet!DR1&lt;&gt;"",Sheet!DR1, "")</f>
        <v/>
      </c>
      <c r="DS1" s="12" t="str">
        <f>IF(Sheet!DS1&lt;&gt;"",Sheet!DS1, "")</f>
        <v/>
      </c>
      <c r="DT1" s="12" t="str">
        <f>IF(Sheet!DT1&lt;&gt;"",Sheet!DT1, "")</f>
        <v xml:space="preserve">Мне очень сложно решить свои проблемы. / It is very difficult for me to solve my problems. </v>
      </c>
      <c r="DU1" s="12" t="str">
        <f>IF(Sheet!DU1&lt;&gt;"",Sheet!DU1, "")</f>
        <v/>
      </c>
      <c r="DV1" s="12" t="str">
        <f>IF(Sheet!DV1&lt;&gt;"",Sheet!DV1, "")</f>
        <v/>
      </c>
      <c r="DW1" s="12" t="str">
        <f>IF(Sheet!DW1&lt;&gt;"",Sheet!DW1, "")</f>
        <v/>
      </c>
      <c r="DX1" s="12" t="str">
        <f>IF(Sheet!DX1&lt;&gt;"",Sheet!DX1, "")</f>
        <v xml:space="preserve">Я жалею, что я покинул свою страну. / I regret having left my country. </v>
      </c>
      <c r="DY1" s="12" t="str">
        <f>IF(Sheet!DY1&lt;&gt;"",Sheet!DY1, "")</f>
        <v/>
      </c>
      <c r="DZ1" s="12" t="str">
        <f>IF(Sheet!DZ1&lt;&gt;"",Sheet!DZ1, "")</f>
        <v/>
      </c>
      <c r="EA1" s="12" t="str">
        <f>IF(Sheet!EA1&lt;&gt;"",Sheet!EA1, "")</f>
        <v/>
      </c>
      <c r="EB1" s="12" t="str">
        <f>IF(Sheet!EB1&lt;&gt;"",Sheet!EB1, "")</f>
        <v xml:space="preserve">С тех пор как я сюда переехал, моя жизнь стала хуже. / Since I moved here my life has gotten worse. </v>
      </c>
      <c r="EC1" s="12" t="str">
        <f>IF(Sheet!EC1&lt;&gt;"",Sheet!EC1, "")</f>
        <v/>
      </c>
      <c r="ED1" s="12" t="str">
        <f>IF(Sheet!ED1&lt;&gt;"",Sheet!ED1, "")</f>
        <v/>
      </c>
      <c r="EE1" s="12" t="str">
        <f>IF(Sheet!EE1&lt;&gt;"",Sheet!EE1, "")</f>
        <v/>
      </c>
      <c r="EF1" s="12" t="str">
        <f>IF(Sheet!EF1&lt;&gt;"",Sheet!EF1, "")</f>
        <v xml:space="preserve">Я переживаю, что я вовлек других людей в свое желание эмигрировать. / It worries me that I have involved other people in my decision to immigrate. </v>
      </c>
      <c r="EG1" s="12" t="str">
        <f>IF(Sheet!EG1&lt;&gt;"",Sheet!EG1, "")</f>
        <v/>
      </c>
      <c r="EH1" s="12" t="str">
        <f>IF(Sheet!EH1&lt;&gt;"",Sheet!EH1, "")</f>
        <v/>
      </c>
      <c r="EI1" s="12" t="str">
        <f>IF(Sheet!EI1&lt;&gt;"",Sheet!EI1, "")</f>
        <v/>
      </c>
      <c r="EJ1" s="12" t="str">
        <f>IF(Sheet!EJ1&lt;&gt;"",Sheet!EJ1, "")</f>
        <v>Я чувствую, что моя культура недооценена. / I have felt that my culture is undervalued.</v>
      </c>
      <c r="EK1" s="12" t="str">
        <f>IF(Sheet!EK1&lt;&gt;"",Sheet!EK1, "")</f>
        <v/>
      </c>
      <c r="EL1" s="12" t="str">
        <f>IF(Sheet!EL1&lt;&gt;"",Sheet!EL1, "")</f>
        <v/>
      </c>
      <c r="EM1" s="12" t="str">
        <f>IF(Sheet!EM1&lt;&gt;"",Sheet!EM1, "")</f>
        <v/>
      </c>
      <c r="EN1" s="12" t="str">
        <f>IF(Sheet!EN1&lt;&gt;"",Sheet!EN1, "")</f>
        <v xml:space="preserve">Я чувствую давление от жителей этой страны принять их стиль жизни. / I feel pressured by the people of this country to adopt their lifestyle. </v>
      </c>
      <c r="EO1" s="12" t="str">
        <f>IF(Sheet!EO1&lt;&gt;"",Sheet!EO1, "")</f>
        <v/>
      </c>
      <c r="EP1" s="12" t="str">
        <f>IF(Sheet!EP1&lt;&gt;"",Sheet!EP1, "")</f>
        <v/>
      </c>
      <c r="EQ1" s="12" t="str">
        <f>IF(Sheet!EQ1&lt;&gt;"",Sheet!EQ1, "")</f>
        <v/>
      </c>
      <c r="ER1" s="12" t="str">
        <f>IF(Sheet!ER1&lt;&gt;"",Sheet!ER1, "")</f>
        <v xml:space="preserve">В этой стране иммигранты не имеют возможности получить высокие должности. / In this country, immigrants do not have the opportunity to obtain higher ranking jobs. </v>
      </c>
      <c r="ES1" s="12" t="str">
        <f>IF(Sheet!ES1&lt;&gt;"",Sheet!ES1, "")</f>
        <v/>
      </c>
      <c r="ET1" s="12" t="str">
        <f>IF(Sheet!ET1&lt;&gt;"",Sheet!ET1, "")</f>
        <v/>
      </c>
      <c r="EU1" s="12" t="str">
        <f>IF(Sheet!EU1&lt;&gt;"",Sheet!EU1, "")</f>
        <v/>
      </c>
      <c r="EV1" s="12" t="str">
        <f>IF(Sheet!EV1&lt;&gt;"",Sheet!EV1, "")</f>
        <v>Я переживаю, что я не смогу содержать свою семью. / I am worried that I cannot support my family.</v>
      </c>
      <c r="EW1" s="12" t="str">
        <f>IF(Sheet!EW1&lt;&gt;"",Sheet!EW1, "")</f>
        <v/>
      </c>
      <c r="EX1" s="12" t="str">
        <f>IF(Sheet!EX1&lt;&gt;"",Sheet!EX1, "")</f>
        <v/>
      </c>
      <c r="EY1" s="12" t="str">
        <f>IF(Sheet!EY1&lt;&gt;"",Sheet!EY1, "")</f>
        <v/>
      </c>
      <c r="EZ1" s="12" t="str">
        <f>IF(Sheet!EZ1&lt;&gt;"",Sheet!EZ1, "")</f>
        <v xml:space="preserve">Я не чувствую себя хорошо в этой стране. / I don't feel good in this country. </v>
      </c>
      <c r="FA1" s="12" t="str">
        <f>IF(Sheet!FA1&lt;&gt;"",Sheet!FA1, "")</f>
        <v/>
      </c>
      <c r="FB1" s="12" t="str">
        <f>IF(Sheet!FB1&lt;&gt;"",Sheet!FB1, "")</f>
        <v/>
      </c>
      <c r="FC1" s="12" t="str">
        <f>IF(Sheet!FC1&lt;&gt;"",Sheet!FC1, "")</f>
        <v/>
      </c>
      <c r="FD1" s="12" t="str">
        <f>IF(Sheet!FD1&lt;&gt;"",Sheet!FD1, "")</f>
        <v>Я чувствую дискриминацию, когда я пытаюсь найти жилье. / I feel discriminated against when it comes to finding housing.</v>
      </c>
      <c r="FE1" s="12" t="str">
        <f>IF(Sheet!FE1&lt;&gt;"",Sheet!FE1, "")</f>
        <v/>
      </c>
      <c r="FF1" s="12" t="str">
        <f>IF(Sheet!FF1&lt;&gt;"",Sheet!FF1, "")</f>
        <v/>
      </c>
      <c r="FG1" s="12" t="str">
        <f>IF(Sheet!FG1&lt;&gt;"",Sheet!FG1, "")</f>
        <v/>
      </c>
      <c r="FH1" s="13" t="str">
        <f>IF(Sheet!FH1&lt;&gt;"",Sheet!FH1, "")</f>
        <v>Я очень волнуюсь за свою страну происхождения. / I worry a lot about my country of origin.</v>
      </c>
      <c r="FI1" s="12" t="str">
        <f>IF(Sheet!FI1&lt;&gt;"",Sheet!FI1, "")</f>
        <v/>
      </c>
      <c r="FJ1" s="12" t="str">
        <f>IF(Sheet!FJ1&lt;&gt;"",Sheet!FJ1, "")</f>
        <v/>
      </c>
      <c r="FK1" s="12" t="str">
        <f>IF(Sheet!FK1&lt;&gt;"",Sheet!FK1, "")</f>
        <v/>
      </c>
      <c r="FL1" s="12" t="str">
        <f>IF(Sheet!FL1&lt;&gt;"",Sheet!FL1, "")</f>
        <v>Я чувствую, что я никогда не смогу вернуться на родину. / I feel like I will never be able to come back to my homeland.</v>
      </c>
      <c r="FM1" s="12" t="str">
        <f>IF(Sheet!FM1&lt;&gt;"",Sheet!FM1, "")</f>
        <v/>
      </c>
      <c r="FN1" s="12" t="str">
        <f>IF(Sheet!FN1&lt;&gt;"",Sheet!FN1, "")</f>
        <v/>
      </c>
      <c r="FO1" s="12" t="str">
        <f>IF(Sheet!FO1&lt;&gt;"",Sheet!FO1, "")</f>
        <v/>
      </c>
    </row>
    <row r="2" spans="1:171" ht="15">
      <c r="A2" s="12"/>
      <c r="B2" s="12"/>
      <c r="C2" s="12"/>
      <c r="D2" s="12"/>
      <c r="E2" s="14" t="s">
        <v>18</v>
      </c>
      <c r="G2" s="12">
        <v>20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57"/>
      <c r="AU2" s="12"/>
      <c r="AV2" s="12">
        <f>COUNTIF(AV$3:AV$69,"&lt;=1")</f>
        <v>17</v>
      </c>
      <c r="AW2" s="12" t="s">
        <v>557</v>
      </c>
      <c r="AX2" s="12"/>
      <c r="AY2" s="12"/>
      <c r="AZ2" s="57">
        <f>COUNTIF(AZ$3:AZ$69,"&lt;=1")</f>
        <v>15</v>
      </c>
      <c r="BA2" s="12" t="s">
        <v>557</v>
      </c>
      <c r="BB2" s="12"/>
      <c r="BC2" s="12"/>
      <c r="BD2" s="57">
        <f>COUNTIF(BD$3:BD$69,"&lt;=1")</f>
        <v>12</v>
      </c>
      <c r="BE2" s="12" t="s">
        <v>557</v>
      </c>
      <c r="BF2" s="12"/>
      <c r="BG2" s="12"/>
      <c r="BH2" s="57">
        <f>COUNTIF(BH$3:BH$69,"&lt;=1")</f>
        <v>14</v>
      </c>
      <c r="BI2" s="12" t="s">
        <v>557</v>
      </c>
      <c r="BJ2" s="12"/>
      <c r="BK2" s="12"/>
      <c r="BL2" s="57">
        <f>COUNTIF(BL$3:BL$69,"&lt;=1")</f>
        <v>5</v>
      </c>
      <c r="BM2" s="12" t="s">
        <v>557</v>
      </c>
      <c r="BN2" s="12"/>
      <c r="BO2" s="12"/>
      <c r="BP2" s="57">
        <f>COUNTIF(BP$3:BP$69,"&lt;=1")</f>
        <v>30</v>
      </c>
      <c r="BQ2" s="12" t="s">
        <v>557</v>
      </c>
      <c r="BR2" s="12"/>
      <c r="BS2" s="12"/>
      <c r="BT2" s="57">
        <f>COUNTIF(BT$3:BT$69,"&lt;=1")</f>
        <v>19</v>
      </c>
      <c r="BU2" s="12" t="s">
        <v>557</v>
      </c>
      <c r="BV2" s="12"/>
      <c r="BW2" s="12"/>
      <c r="BX2" s="57">
        <f>COUNTIF(BX$3:BX$69,"&lt;=1")</f>
        <v>5</v>
      </c>
      <c r="BY2" s="12" t="s">
        <v>557</v>
      </c>
      <c r="BZ2" s="12"/>
      <c r="CA2" s="12"/>
      <c r="CB2" s="57">
        <f>COUNTIF(CB$3:CB$69,"&lt;=1")</f>
        <v>11</v>
      </c>
      <c r="CC2" s="12" t="s">
        <v>557</v>
      </c>
      <c r="CD2" s="12"/>
      <c r="CE2" s="12"/>
      <c r="CF2" s="57">
        <f>COUNTIF(CF$3:CF$69,"&lt;=1")</f>
        <v>13</v>
      </c>
      <c r="CG2" s="12" t="s">
        <v>557</v>
      </c>
      <c r="CH2" s="12"/>
      <c r="CI2" s="12"/>
      <c r="CJ2" s="57">
        <f>COUNTIF(CJ$3:CJ$69,"&lt;=1")</f>
        <v>12</v>
      </c>
      <c r="CK2" s="12" t="s">
        <v>557</v>
      </c>
      <c r="CL2" s="12"/>
      <c r="CM2" s="12"/>
      <c r="CN2" s="57">
        <f>COUNTIF(CN$3:CN$69,"&lt;=1")</f>
        <v>10</v>
      </c>
      <c r="CO2" s="12" t="s">
        <v>557</v>
      </c>
      <c r="CP2" s="12"/>
      <c r="CQ2" s="12"/>
      <c r="CR2" s="57">
        <f>COUNTIF(CR$3:CR$69,"&lt;=1")</f>
        <v>17</v>
      </c>
      <c r="CS2" s="12" t="s">
        <v>557</v>
      </c>
      <c r="CT2" s="12"/>
      <c r="CU2" s="12"/>
      <c r="CV2" s="57">
        <f>COUNTIF(CV$3:CV$69,"&lt;=1")</f>
        <v>20</v>
      </c>
      <c r="CW2" s="12" t="s">
        <v>557</v>
      </c>
      <c r="CX2" s="12"/>
      <c r="CY2" s="12"/>
      <c r="CZ2" s="57">
        <f>COUNTIF(CZ$3:CZ$69,"&lt;=1")</f>
        <v>27</v>
      </c>
      <c r="DA2" s="12" t="s">
        <v>557</v>
      </c>
      <c r="DB2" s="12"/>
      <c r="DC2" s="12"/>
      <c r="DD2" s="57">
        <f>COUNTIF(DD$3:DD$69,"&lt;=1")</f>
        <v>9</v>
      </c>
      <c r="DE2" s="12" t="s">
        <v>557</v>
      </c>
      <c r="DF2" s="12"/>
      <c r="DG2" s="12"/>
      <c r="DH2" s="57">
        <f>COUNTIF(DH$3:DH$69,"&lt;=1")</f>
        <v>4</v>
      </c>
      <c r="DI2" s="12" t="s">
        <v>557</v>
      </c>
      <c r="DJ2" s="12"/>
      <c r="DK2" s="12"/>
      <c r="DL2" s="57">
        <f>COUNTIF(DL$3:DL$69,"&lt;=1")</f>
        <v>3</v>
      </c>
      <c r="DM2" s="12" t="s">
        <v>557</v>
      </c>
      <c r="DN2" s="12"/>
      <c r="DO2" s="12"/>
      <c r="DP2" s="57">
        <f>COUNTIF(DP$3:DP$69,"&lt;=1")</f>
        <v>5</v>
      </c>
      <c r="DQ2" s="12" t="s">
        <v>557</v>
      </c>
      <c r="DR2" s="12"/>
      <c r="DS2" s="12"/>
      <c r="DT2" s="57">
        <f>COUNTIF(DT$3:DT$69,"&lt;=1")</f>
        <v>7</v>
      </c>
      <c r="DU2" s="12" t="s">
        <v>557</v>
      </c>
      <c r="DV2" s="12"/>
      <c r="DW2" s="12"/>
      <c r="DX2" s="57">
        <f>COUNTIF(DX$3:DX$69,"&lt;=1")</f>
        <v>43</v>
      </c>
      <c r="DY2" s="12" t="s">
        <v>557</v>
      </c>
      <c r="DZ2" s="12"/>
      <c r="EA2" s="12"/>
      <c r="EB2" s="57">
        <f>COUNTIF(EB$3:EB$69,"&lt;=1")</f>
        <v>19</v>
      </c>
      <c r="EC2" s="12" t="s">
        <v>557</v>
      </c>
      <c r="ED2" s="12"/>
      <c r="EE2" s="12"/>
      <c r="EF2" s="57">
        <f>COUNTIF(EF$3:EF$69,"&lt;=1")</f>
        <v>44</v>
      </c>
      <c r="EG2" s="12" t="s">
        <v>557</v>
      </c>
      <c r="EH2" s="12"/>
      <c r="EI2" s="12"/>
      <c r="EJ2" s="57">
        <f>COUNTIF(EJ$3:EJ$69,"&lt;=1")</f>
        <v>36</v>
      </c>
      <c r="EK2" s="12" t="s">
        <v>557</v>
      </c>
      <c r="EL2" s="12"/>
      <c r="EM2" s="12"/>
      <c r="EN2" s="57">
        <f>COUNTIF(EN$3:EN$69,"&lt;=1")</f>
        <v>33</v>
      </c>
      <c r="EO2" s="12" t="s">
        <v>557</v>
      </c>
      <c r="EP2" s="12"/>
      <c r="EQ2" s="12"/>
      <c r="ER2" s="57">
        <f>COUNTIF(ER$3:ER$69,"&lt;=1")</f>
        <v>15</v>
      </c>
      <c r="ES2" s="12" t="s">
        <v>557</v>
      </c>
      <c r="ET2" s="12"/>
      <c r="EU2" s="12"/>
      <c r="EV2" s="57">
        <f>COUNTIF(EV$3:EV$69,"&lt;=1")</f>
        <v>6</v>
      </c>
      <c r="EW2" s="12" t="s">
        <v>557</v>
      </c>
      <c r="EX2" s="12"/>
      <c r="EY2" s="12"/>
      <c r="EZ2" s="57">
        <f>COUNTIF(EZ$3:EZ$69,"&lt;=1")</f>
        <v>17</v>
      </c>
      <c r="FA2" s="12" t="s">
        <v>557</v>
      </c>
      <c r="FB2" s="12"/>
      <c r="FC2" s="12"/>
      <c r="FD2" s="57">
        <f>COUNTIF(FD$3:FD$69,"&lt;=1")</f>
        <v>18</v>
      </c>
      <c r="FE2" s="12" t="s">
        <v>557</v>
      </c>
      <c r="FF2" s="12"/>
      <c r="FG2" s="12"/>
      <c r="FH2" s="57">
        <f>COUNTIF(FH$3:FH$69,"&lt;=1")</f>
        <v>9</v>
      </c>
      <c r="FI2" s="12" t="s">
        <v>557</v>
      </c>
      <c r="FJ2" s="12"/>
      <c r="FK2" s="12"/>
      <c r="FL2" s="57">
        <f>COUNTIF(FL$3:FL$69,"&lt;=1")</f>
        <v>5</v>
      </c>
      <c r="FM2" s="12" t="s">
        <v>557</v>
      </c>
      <c r="FN2" s="12"/>
      <c r="FO2" s="12"/>
    </row>
    <row r="3" spans="1:171">
      <c r="A3" s="7" t="str">
        <f>Sheet!A3</f>
        <v>SC001</v>
      </c>
      <c r="B3" s="7"/>
      <c r="C3" s="7"/>
      <c r="D3" s="7"/>
      <c r="E3" t="s">
        <v>19</v>
      </c>
      <c r="G3">
        <v>34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56">
        <f>AVERAGE(AV3:FL3)</f>
        <v>1.7419354838709677</v>
      </c>
      <c r="AU3" s="7"/>
      <c r="AV3" s="59">
        <f>IF(Sheet!AV3=Sheet!AV$2,4,IF(Sheet!AW3=Sheet!AW$2,3,IF(Sheet!AX3=Sheet!AX$2,2,IF(Sheet!AY3=Sheet!AY$2,1,""))))</f>
        <v>2</v>
      </c>
      <c r="AW3" s="7"/>
      <c r="AX3" s="7"/>
      <c r="AY3" s="7"/>
      <c r="AZ3" s="58">
        <f>IF(Sheet!AZ3=Sheet!AZ$2,4,IF(Sheet!BA3=Sheet!BA$2,3,IF(Sheet!BB3=Sheet!BB$2,2,IF(Sheet!BC3=Sheet!BC$2,1,""))))</f>
        <v>3</v>
      </c>
      <c r="BA3" s="7"/>
      <c r="BB3" s="7"/>
      <c r="BC3" s="7"/>
      <c r="BD3" s="58">
        <f>IF(Sheet!BD3=Sheet!BD$2,4,IF(Sheet!BE3=Sheet!BE$2,3,IF(Sheet!BF3=Sheet!BF$2,2,IF(Sheet!BG3=Sheet!BG$2,1,""))))</f>
        <v>4</v>
      </c>
      <c r="BE3" s="7"/>
      <c r="BF3" s="7"/>
      <c r="BG3" s="7"/>
      <c r="BH3" s="58">
        <f>IF(Sheet!BH3=Sheet!BH$2,4,IF(Sheet!BI3=Sheet!BI$2,3,IF(Sheet!BJ3=Sheet!BJ$2,2,IF(Sheet!BK3=Sheet!BK$2,1,""))))</f>
        <v>1</v>
      </c>
      <c r="BI3" s="7"/>
      <c r="BJ3" s="7"/>
      <c r="BK3" s="7"/>
      <c r="BL3" s="58">
        <f>IF(Sheet!BL3=Sheet!BL$2,4,IF(Sheet!BM3=Sheet!BM$2,3,IF(Sheet!BN3=Sheet!BN$2,2,IF(Sheet!BO3=Sheet!BO$2,1,""))))</f>
        <v>1</v>
      </c>
      <c r="BM3" s="7"/>
      <c r="BN3" s="7"/>
      <c r="BO3" s="7"/>
      <c r="BP3" s="58">
        <f>IF(Sheet!BP3=Sheet!BP$2,4,IF(Sheet!BQ3=Sheet!BQ$2,3,IF(Sheet!BR3=Sheet!BR$2,2,IF(Sheet!BS3=Sheet!BS$2,1,""))))</f>
        <v>1</v>
      </c>
      <c r="BQ3" s="7"/>
      <c r="BR3" s="7"/>
      <c r="BS3" s="7"/>
      <c r="BT3" s="58">
        <f>IF(Sheet!BT3=Sheet!BT$2,4,IF(Sheet!BU3=Sheet!BU$2,3,IF(Sheet!BV3=Sheet!BV$2,2,IF(Sheet!BW3=Sheet!BW$2,1,""))))</f>
        <v>1</v>
      </c>
      <c r="BU3" s="7"/>
      <c r="BV3" s="7"/>
      <c r="BW3" s="7"/>
      <c r="BX3" s="58">
        <f>IF(Sheet!BX3=Sheet!BX$2,4,IF(Sheet!BY3=Sheet!BY$2,3,IF(Sheet!BZ3=Sheet!BZ$2,2,IF(Sheet!CA3=Sheet!CA$2,1,""))))</f>
        <v>4</v>
      </c>
      <c r="BY3" s="7"/>
      <c r="BZ3" s="7"/>
      <c r="CA3" s="7"/>
      <c r="CB3" s="58">
        <f>IF(Sheet!CB3=Sheet!CB$2,4,IF(Sheet!CC3=Sheet!CC$2,3,IF(Sheet!CD3=Sheet!CD$2,2,IF(Sheet!CE3=Sheet!CE$2,1,""))))</f>
        <v>1</v>
      </c>
      <c r="CC3" s="7"/>
      <c r="CD3" s="7"/>
      <c r="CE3" s="7"/>
      <c r="CF3" s="58">
        <f>IF(Sheet!CF3=Sheet!CF$2,4,IF(Sheet!CG3=Sheet!CG$2,3,IF(Sheet!CH3=Sheet!CH$2,2,IF(Sheet!CI3=Sheet!CI$2,1,""))))</f>
        <v>4</v>
      </c>
      <c r="CG3" s="7"/>
      <c r="CH3" s="7"/>
      <c r="CI3" s="7"/>
      <c r="CJ3" s="58">
        <f>IF(Sheet!CJ3=Sheet!CJ$2,4,IF(Sheet!CK3=Sheet!CK$2,3,IF(Sheet!CL3=Sheet!CL$2,2,IF(Sheet!CM3=Sheet!CM$2,1,""))))</f>
        <v>2</v>
      </c>
      <c r="CK3" s="7"/>
      <c r="CL3" s="7"/>
      <c r="CM3" s="7"/>
      <c r="CN3" s="58">
        <f>IF(Sheet!CN3=Sheet!CN$2,4,IF(Sheet!CO3=Sheet!CO$2,3,IF(Sheet!CP3=Sheet!CP$2,2,IF(Sheet!CQ3=Sheet!CQ$2,1,""))))</f>
        <v>1</v>
      </c>
      <c r="CO3" s="7"/>
      <c r="CP3" s="7"/>
      <c r="CQ3" s="7"/>
      <c r="CR3" s="58">
        <f>IF(Sheet!CR3=Sheet!CR$2,4,IF(Sheet!CS3=Sheet!CS$2,3,IF(Sheet!CT3=Sheet!CT$2,2,IF(Sheet!CU3=Sheet!CU$2,1,""))))</f>
        <v>1</v>
      </c>
      <c r="CS3" s="7"/>
      <c r="CT3" s="7"/>
      <c r="CU3" s="7"/>
      <c r="CV3" s="58">
        <f>IF(Sheet!CV3=Sheet!CV$2,4,IF(Sheet!CW3=Sheet!CW$2,3,IF(Sheet!CX3=Sheet!CX$2,2,IF(Sheet!CY3=Sheet!CY$2,1,""))))</f>
        <v>1</v>
      </c>
      <c r="CW3" s="7"/>
      <c r="CX3" s="7"/>
      <c r="CY3" s="7"/>
      <c r="CZ3" s="58">
        <f>IF(Sheet!CZ3=Sheet!CZ$2,4,IF(Sheet!DA3=Sheet!DA$2,3,IF(Sheet!DB3=Sheet!DB$2,2,IF(Sheet!DC3=Sheet!DC$2,1,""))))</f>
        <v>1</v>
      </c>
      <c r="DA3" s="7"/>
      <c r="DB3" s="7"/>
      <c r="DC3" s="7"/>
      <c r="DD3" s="58">
        <f>IF(Sheet!DD3=Sheet!DD$2,4,IF(Sheet!DE3=Sheet!DE$2,3,IF(Sheet!DF3=Sheet!DF$2,2,IF(Sheet!DG3=Sheet!DG$2,1,""))))</f>
        <v>1</v>
      </c>
      <c r="DE3" s="7"/>
      <c r="DF3" s="7"/>
      <c r="DG3" s="7"/>
      <c r="DH3" s="58">
        <f>IF(Sheet!DH3=Sheet!DH$2,4,IF(Sheet!DI3=Sheet!DI$2,3,IF(Sheet!DJ3=Sheet!DJ$2,2,IF(Sheet!DK3=Sheet!DK$2,1,""))))</f>
        <v>1</v>
      </c>
      <c r="DI3" s="7"/>
      <c r="DJ3" s="7"/>
      <c r="DK3" s="7"/>
      <c r="DL3" s="58">
        <f>IF(Sheet!DL3=Sheet!DL$2,4,IF(Sheet!DM3=Sheet!DM$2,3,IF(Sheet!DN3=Sheet!DN$2,2,IF(Sheet!DO3=Sheet!DO$2,1,""))))</f>
        <v>4</v>
      </c>
      <c r="DM3" s="7"/>
      <c r="DN3" s="7"/>
      <c r="DO3" s="7"/>
      <c r="DP3" s="58">
        <f>IF(Sheet!DP3=Sheet!DP$2,4,IF(Sheet!DQ3=Sheet!DQ$2,3,IF(Sheet!DR3=Sheet!DR$2,2,IF(Sheet!DS3=Sheet!DS$2,1,""))))</f>
        <v>1</v>
      </c>
      <c r="DQ3" s="7"/>
      <c r="DR3" s="7"/>
      <c r="DS3" s="7"/>
      <c r="DT3" s="58">
        <f>IF(Sheet!DT3=Sheet!DT$2,4,IF(Sheet!DU3=Sheet!DU$2,3,IF(Sheet!DV3=Sheet!DV$2,2,IF(Sheet!DW3=Sheet!DW$2,1,""))))</f>
        <v>1</v>
      </c>
      <c r="DU3" s="7"/>
      <c r="DV3" s="7"/>
      <c r="DW3" s="7"/>
      <c r="DX3" s="58">
        <f>IF(Sheet!DX3=Sheet!DX$2,4,IF(Sheet!DY3=Sheet!DY$2,3,IF(Sheet!DZ3=Sheet!DZ$2,2,IF(Sheet!EA3=Sheet!EA$2,1,""))))</f>
        <v>1</v>
      </c>
      <c r="DY3" s="7"/>
      <c r="DZ3" s="7"/>
      <c r="EA3" s="7"/>
      <c r="EB3" s="58">
        <f>IF(Sheet!EB3=Sheet!EB$2,4,IF(Sheet!EC3=Sheet!EC$2,3,IF(Sheet!ED3=Sheet!ED$2,2,IF(Sheet!EE3=Sheet!EE$2,1,""))))</f>
        <v>1</v>
      </c>
      <c r="EC3" s="7"/>
      <c r="ED3" s="7"/>
      <c r="EE3" s="7"/>
      <c r="EF3" s="58">
        <f>IF(Sheet!EF3=Sheet!EF$2,4,IF(Sheet!EG3=Sheet!EG$2,3,IF(Sheet!EH3=Sheet!EH$2,2,IF(Sheet!EI3=Sheet!EI$2,1,""))))</f>
        <v>1</v>
      </c>
      <c r="EG3" s="7"/>
      <c r="EH3" s="7"/>
      <c r="EI3" s="7"/>
      <c r="EJ3" s="58">
        <f>IF(Sheet!EJ3=Sheet!EJ$2,4,IF(Sheet!EK3=Sheet!EK$2,3,IF(Sheet!EL3=Sheet!EL$2,2,IF(Sheet!EM3=Sheet!EM$2,1,""))))</f>
        <v>1</v>
      </c>
      <c r="EK3" s="7"/>
      <c r="EL3" s="7"/>
      <c r="EM3" s="7"/>
      <c r="EN3" s="58">
        <f>IF(Sheet!EN3=Sheet!EN$2,4,IF(Sheet!EO3=Sheet!EO$2,3,IF(Sheet!EP3=Sheet!EP$2,2,IF(Sheet!EQ3=Sheet!EQ$2,1,""))))</f>
        <v>3</v>
      </c>
      <c r="EO3" s="7"/>
      <c r="EP3" s="7"/>
      <c r="EQ3" s="7"/>
      <c r="ER3" s="58">
        <f>IF(Sheet!ER3=Sheet!ER$2,4,IF(Sheet!ES3=Sheet!ES$2,3,IF(Sheet!ET3=Sheet!ET$2,2,IF(Sheet!EU3=Sheet!EU$2,1,""))))</f>
        <v>2</v>
      </c>
      <c r="ES3" s="7"/>
      <c r="ET3" s="7"/>
      <c r="EU3" s="7"/>
      <c r="EV3" s="58">
        <f>IF(Sheet!EV3=Sheet!EV$2,4,IF(Sheet!EW3=Sheet!EW$2,3,IF(Sheet!EX3=Sheet!EX$2,2,IF(Sheet!EY3=Sheet!EY$2,1,""))))</f>
        <v>1</v>
      </c>
      <c r="EW3" s="7"/>
      <c r="EX3" s="7"/>
      <c r="EY3" s="7"/>
      <c r="EZ3" s="58">
        <f>IF(Sheet!EZ3=Sheet!EZ$2,4,IF(Sheet!FA3=Sheet!FA$2,3,IF(Sheet!FB3=Sheet!FB$2,2,IF(Sheet!FC3=Sheet!FC$2,1,""))))</f>
        <v>3</v>
      </c>
      <c r="FA3" s="7"/>
      <c r="FB3" s="7"/>
      <c r="FC3" s="7"/>
      <c r="FD3" s="58">
        <f>IF(Sheet!FD3=Sheet!FD$2,4,IF(Sheet!FE3=Sheet!FE$2,3,IF(Sheet!FF3=Sheet!FF$2,2,IF(Sheet!FG3=Sheet!FG$2,1,""))))</f>
        <v>2</v>
      </c>
      <c r="FE3" s="7"/>
      <c r="FF3" s="7"/>
      <c r="FG3" s="7"/>
      <c r="FH3" s="58">
        <f>IF(Sheet!FH3=Sheet!FH$2,4,IF(Sheet!FI3=Sheet!FI$2,3,IF(Sheet!FJ3=Sheet!FJ$2,2,IF(Sheet!FK3=Sheet!FK$2,1,""))))</f>
        <v>1</v>
      </c>
      <c r="FI3" s="7"/>
      <c r="FJ3" s="7"/>
      <c r="FK3" s="7"/>
      <c r="FL3" s="58">
        <f>IF(Sheet!FL3=Sheet!FL$2,4,IF(Sheet!FM3=Sheet!FM$2,3,IF(Sheet!FN3=Sheet!FN$2,2,IF(Sheet!FO3=Sheet!FO$2,1,""))))</f>
        <v>2</v>
      </c>
      <c r="FM3" s="7"/>
      <c r="FN3" s="7"/>
      <c r="FO3" s="7"/>
    </row>
    <row r="4" spans="1:171">
      <c r="A4" t="str">
        <f>Sheet!A4</f>
        <v>CF002</v>
      </c>
      <c r="E4" t="s">
        <v>20</v>
      </c>
      <c r="G4">
        <v>24</v>
      </c>
      <c r="AT4" s="56">
        <f t="shared" ref="AT4:AT67" si="0">AVERAGE(AV4:FL4)</f>
        <v>2.2580645161290325</v>
      </c>
      <c r="AV4" s="58">
        <f>IF(Sheet!AV4=Sheet!AV$2,4,IF(Sheet!AW4=Sheet!AW$2,3,IF(Sheet!AX4=Sheet!AX$2,2,IF(Sheet!AY4=Sheet!AY$2,1,""))))</f>
        <v>2</v>
      </c>
      <c r="AZ4" s="58">
        <f>IF(Sheet!AZ4=Sheet!AZ$2,4,IF(Sheet!BA4=Sheet!BA$2,3,IF(Sheet!BB4=Sheet!BB$2,2,IF(Sheet!BC4=Sheet!BC$2,1,""))))</f>
        <v>3</v>
      </c>
      <c r="BD4" s="58">
        <f>IF(Sheet!BD4=Sheet!BD$2,4,IF(Sheet!BE4=Sheet!BE$2,3,IF(Sheet!BF4=Sheet!BF$2,2,IF(Sheet!BG4=Sheet!BG$2,1,""))))</f>
        <v>1</v>
      </c>
      <c r="BH4" s="58">
        <f>IF(Sheet!BH4=Sheet!BH$2,4,IF(Sheet!BI4=Sheet!BI$2,3,IF(Sheet!BJ4=Sheet!BJ$2,2,IF(Sheet!BK4=Sheet!BK$2,1,""))))</f>
        <v>1</v>
      </c>
      <c r="BL4" s="58">
        <f>IF(Sheet!BL4=Sheet!BL$2,4,IF(Sheet!BM4=Sheet!BM$2,3,IF(Sheet!BN4=Sheet!BN$2,2,IF(Sheet!BO4=Sheet!BO$2,1,""))))</f>
        <v>2</v>
      </c>
      <c r="BP4" s="58">
        <f>IF(Sheet!BP4=Sheet!BP$2,4,IF(Sheet!BQ4=Sheet!BQ$2,3,IF(Sheet!BR4=Sheet!BR$2,2,IF(Sheet!BS4=Sheet!BS$2,1,""))))</f>
        <v>1</v>
      </c>
      <c r="BT4" s="58">
        <f>IF(Sheet!BT4=Sheet!BT$2,4,IF(Sheet!BU4=Sheet!BU$2,3,IF(Sheet!BV4=Sheet!BV$2,2,IF(Sheet!BW4=Sheet!BW$2,1,""))))</f>
        <v>2</v>
      </c>
      <c r="BX4" s="58">
        <f>IF(Sheet!BX4=Sheet!BX$2,4,IF(Sheet!BY4=Sheet!BY$2,3,IF(Sheet!BZ4=Sheet!BZ$2,2,IF(Sheet!CA4=Sheet!CA$2,1,""))))</f>
        <v>3</v>
      </c>
      <c r="CB4" s="58">
        <f>IF(Sheet!CB4=Sheet!CB$2,4,IF(Sheet!CC4=Sheet!CC$2,3,IF(Sheet!CD4=Sheet!CD$2,2,IF(Sheet!CE4=Sheet!CE$2,1,""))))</f>
        <v>2</v>
      </c>
      <c r="CF4" s="58">
        <f>IF(Sheet!CF4=Sheet!CF$2,4,IF(Sheet!CG4=Sheet!CG$2,3,IF(Sheet!CH4=Sheet!CH$2,2,IF(Sheet!CI4=Sheet!CI$2,1,""))))</f>
        <v>1</v>
      </c>
      <c r="CJ4" s="58">
        <f>IF(Sheet!CJ4=Sheet!CJ$2,4,IF(Sheet!CK4=Sheet!CK$2,3,IF(Sheet!CL4=Sheet!CL$2,2,IF(Sheet!CM4=Sheet!CM$2,1,""))))</f>
        <v>2</v>
      </c>
      <c r="CN4" s="58">
        <f>IF(Sheet!CN4=Sheet!CN$2,4,IF(Sheet!CO4=Sheet!CO$2,3,IF(Sheet!CP4=Sheet!CP$2,2,IF(Sheet!CQ4=Sheet!CQ$2,1,""))))</f>
        <v>3</v>
      </c>
      <c r="CR4" s="58">
        <f>IF(Sheet!CR4=Sheet!CR$2,4,IF(Sheet!CS4=Sheet!CS$2,3,IF(Sheet!CT4=Sheet!CT$2,2,IF(Sheet!CU4=Sheet!CU$2,1,""))))</f>
        <v>3</v>
      </c>
      <c r="CV4" s="58">
        <f>IF(Sheet!CV4=Sheet!CV$2,4,IF(Sheet!CW4=Sheet!CW$2,3,IF(Sheet!CX4=Sheet!CX$2,2,IF(Sheet!CY4=Sheet!CY$2,1,""))))</f>
        <v>2</v>
      </c>
      <c r="CZ4" s="58">
        <f>IF(Sheet!CZ4=Sheet!CZ$2,4,IF(Sheet!DA4=Sheet!DA$2,3,IF(Sheet!DB4=Sheet!DB$2,2,IF(Sheet!DC4=Sheet!DC$2,1,""))))</f>
        <v>2</v>
      </c>
      <c r="DD4" s="58">
        <f>IF(Sheet!DD4=Sheet!DD$2,4,IF(Sheet!DE4=Sheet!DE$2,3,IF(Sheet!DF4=Sheet!DF$2,2,IF(Sheet!DG4=Sheet!DG$2,1,""))))</f>
        <v>3</v>
      </c>
      <c r="DH4" s="58">
        <f>IF(Sheet!DH4=Sheet!DH$2,4,IF(Sheet!DI4=Sheet!DI$2,3,IF(Sheet!DJ4=Sheet!DJ$2,2,IF(Sheet!DK4=Sheet!DK$2,1,""))))</f>
        <v>4</v>
      </c>
      <c r="DL4" s="58">
        <f>IF(Sheet!DL4=Sheet!DL$2,4,IF(Sheet!DM4=Sheet!DM$2,3,IF(Sheet!DN4=Sheet!DN$2,2,IF(Sheet!DO4=Sheet!DO$2,1,""))))</f>
        <v>4</v>
      </c>
      <c r="DP4" s="58">
        <f>IF(Sheet!DP4=Sheet!DP$2,4,IF(Sheet!DQ4=Sheet!DQ$2,3,IF(Sheet!DR4=Sheet!DR$2,2,IF(Sheet!DS4=Sheet!DS$2,1,""))))</f>
        <v>3</v>
      </c>
      <c r="DT4" s="58">
        <f>IF(Sheet!DT4=Sheet!DT$2,4,IF(Sheet!DU4=Sheet!DU$2,3,IF(Sheet!DV4=Sheet!DV$2,2,IF(Sheet!DW4=Sheet!DW$2,1,""))))</f>
        <v>3</v>
      </c>
      <c r="DX4" s="58">
        <f>IF(Sheet!DX4=Sheet!DX$2,4,IF(Sheet!DY4=Sheet!DY$2,3,IF(Sheet!DZ4=Sheet!DZ$2,2,IF(Sheet!EA4=Sheet!EA$2,1,""))))</f>
        <v>1</v>
      </c>
      <c r="EB4" s="58">
        <f>IF(Sheet!EB4=Sheet!EB$2,4,IF(Sheet!EC4=Sheet!EC$2,3,IF(Sheet!ED4=Sheet!ED$2,2,IF(Sheet!EE4=Sheet!EE$2,1,""))))</f>
        <v>3</v>
      </c>
      <c r="EF4" s="58">
        <f>IF(Sheet!EF4=Sheet!EF$2,4,IF(Sheet!EG4=Sheet!EG$2,3,IF(Sheet!EH4=Sheet!EH$2,2,IF(Sheet!EI4=Sheet!EI$2,1,""))))</f>
        <v>1</v>
      </c>
      <c r="EJ4" s="58">
        <f>IF(Sheet!EJ4=Sheet!EJ$2,4,IF(Sheet!EK4=Sheet!EK$2,3,IF(Sheet!EL4=Sheet!EL$2,2,IF(Sheet!EM4=Sheet!EM$2,1,""))))</f>
        <v>2</v>
      </c>
      <c r="EN4" s="58">
        <f>IF(Sheet!EN4=Sheet!EN$2,4,IF(Sheet!EO4=Sheet!EO$2,3,IF(Sheet!EP4=Sheet!EP$2,2,IF(Sheet!EQ4=Sheet!EQ$2,1,""))))</f>
        <v>1</v>
      </c>
      <c r="ER4" s="58">
        <f>IF(Sheet!ER4=Sheet!ER$2,4,IF(Sheet!ES4=Sheet!ES$2,3,IF(Sheet!ET4=Sheet!ET$2,2,IF(Sheet!EU4=Sheet!EU$2,1,""))))</f>
        <v>2</v>
      </c>
      <c r="EV4" s="58">
        <f>IF(Sheet!EV4=Sheet!EV$2,4,IF(Sheet!EW4=Sheet!EW$2,3,IF(Sheet!EX4=Sheet!EX$2,2,IF(Sheet!EY4=Sheet!EY$2,1,""))))</f>
        <v>3</v>
      </c>
      <c r="EZ4" s="58">
        <f>IF(Sheet!EZ4=Sheet!EZ$2,4,IF(Sheet!FA4=Sheet!FA$2,3,IF(Sheet!FB4=Sheet!FB$2,2,IF(Sheet!FC4=Sheet!FC$2,1,""))))</f>
        <v>2</v>
      </c>
      <c r="FD4" s="58">
        <f>IF(Sheet!FD4=Sheet!FD$2,4,IF(Sheet!FE4=Sheet!FE$2,3,IF(Sheet!FF4=Sheet!FF$2,2,IF(Sheet!FG4=Sheet!FG$2,1,""))))</f>
        <v>2</v>
      </c>
      <c r="FH4" s="58">
        <f>IF(Sheet!FH4=Sheet!FH$2,4,IF(Sheet!FI4=Sheet!FI$2,3,IF(Sheet!FJ4=Sheet!FJ$2,2,IF(Sheet!FK4=Sheet!FK$2,1,""))))</f>
        <v>4</v>
      </c>
      <c r="FL4" s="58">
        <f>IF(Sheet!FL4=Sheet!FL$2,4,IF(Sheet!FM4=Sheet!FM$2,3,IF(Sheet!FN4=Sheet!FN$2,2,IF(Sheet!FO4=Sheet!FO$2,1,""))))</f>
        <v>2</v>
      </c>
    </row>
    <row r="5" spans="1:171">
      <c r="A5" t="str">
        <f>Sheet!A5</f>
        <v>CT001</v>
      </c>
      <c r="E5" t="s">
        <v>21</v>
      </c>
      <c r="G5">
        <v>26</v>
      </c>
      <c r="AT5" s="56">
        <f t="shared" si="0"/>
        <v>1.935483870967742</v>
      </c>
      <c r="AV5" s="58">
        <f>IF(Sheet!AV5=Sheet!AV$2,4,IF(Sheet!AW5=Sheet!AW$2,3,IF(Sheet!AX5=Sheet!AX$2,2,IF(Sheet!AY5=Sheet!AY$2,1,""))))</f>
        <v>1</v>
      </c>
      <c r="AZ5" s="58">
        <f>IF(Sheet!AZ5=Sheet!AZ$2,4,IF(Sheet!BA5=Sheet!BA$2,3,IF(Sheet!BB5=Sheet!BB$2,2,IF(Sheet!BC5=Sheet!BC$2,1,""))))</f>
        <v>2</v>
      </c>
      <c r="BD5" s="58">
        <f>IF(Sheet!BD5=Sheet!BD$2,4,IF(Sheet!BE5=Sheet!BE$2,3,IF(Sheet!BF5=Sheet!BF$2,2,IF(Sheet!BG5=Sheet!BG$2,1,""))))</f>
        <v>2</v>
      </c>
      <c r="BH5" s="58">
        <f>IF(Sheet!BH5=Sheet!BH$2,4,IF(Sheet!BI5=Sheet!BI$2,3,IF(Sheet!BJ5=Sheet!BJ$2,2,IF(Sheet!BK5=Sheet!BK$2,1,""))))</f>
        <v>2</v>
      </c>
      <c r="BL5" s="58">
        <f>IF(Sheet!BL5=Sheet!BL$2,4,IF(Sheet!BM5=Sheet!BM$2,3,IF(Sheet!BN5=Sheet!BN$2,2,IF(Sheet!BO5=Sheet!BO$2,1,""))))</f>
        <v>2</v>
      </c>
      <c r="BP5" s="58">
        <f>IF(Sheet!BP5=Sheet!BP$2,4,IF(Sheet!BQ5=Sheet!BQ$2,3,IF(Sheet!BR5=Sheet!BR$2,2,IF(Sheet!BS5=Sheet!BS$2,1,""))))</f>
        <v>1</v>
      </c>
      <c r="BT5" s="58">
        <f>IF(Sheet!BT5=Sheet!BT$2,4,IF(Sheet!BU5=Sheet!BU$2,3,IF(Sheet!BV5=Sheet!BV$2,2,IF(Sheet!BW5=Sheet!BW$2,1,""))))</f>
        <v>2</v>
      </c>
      <c r="BX5" s="58">
        <f>IF(Sheet!BX5=Sheet!BX$2,4,IF(Sheet!BY5=Sheet!BY$2,3,IF(Sheet!BZ5=Sheet!BZ$2,2,IF(Sheet!CA5=Sheet!CA$2,1,""))))</f>
        <v>1</v>
      </c>
      <c r="CB5" s="58">
        <f>IF(Sheet!CB5=Sheet!CB$2,4,IF(Sheet!CC5=Sheet!CC$2,3,IF(Sheet!CD5=Sheet!CD$2,2,IF(Sheet!CE5=Sheet!CE$2,1,""))))</f>
        <v>2</v>
      </c>
      <c r="CF5" s="58">
        <f>IF(Sheet!CF5=Sheet!CF$2,4,IF(Sheet!CG5=Sheet!CG$2,3,IF(Sheet!CH5=Sheet!CH$2,2,IF(Sheet!CI5=Sheet!CI$2,1,""))))</f>
        <v>2</v>
      </c>
      <c r="CJ5" s="58">
        <f>IF(Sheet!CJ5=Sheet!CJ$2,4,IF(Sheet!CK5=Sheet!CK$2,3,IF(Sheet!CL5=Sheet!CL$2,2,IF(Sheet!CM5=Sheet!CM$2,1,""))))</f>
        <v>1</v>
      </c>
      <c r="CN5" s="58">
        <f>IF(Sheet!CN5=Sheet!CN$2,4,IF(Sheet!CO5=Sheet!CO$2,3,IF(Sheet!CP5=Sheet!CP$2,2,IF(Sheet!CQ5=Sheet!CQ$2,1,""))))</f>
        <v>1</v>
      </c>
      <c r="CR5" s="58">
        <f>IF(Sheet!CR5=Sheet!CR$2,4,IF(Sheet!CS5=Sheet!CS$2,3,IF(Sheet!CT5=Sheet!CT$2,2,IF(Sheet!CU5=Sheet!CU$2,1,""))))</f>
        <v>2</v>
      </c>
      <c r="CV5" s="58">
        <f>IF(Sheet!CV5=Sheet!CV$2,4,IF(Sheet!CW5=Sheet!CW$2,3,IF(Sheet!CX5=Sheet!CX$2,2,IF(Sheet!CY5=Sheet!CY$2,1,""))))</f>
        <v>2</v>
      </c>
      <c r="CZ5" s="58">
        <f>IF(Sheet!CZ5=Sheet!CZ$2,4,IF(Sheet!DA5=Sheet!DA$2,3,IF(Sheet!DB5=Sheet!DB$2,2,IF(Sheet!DC5=Sheet!DC$2,1,""))))</f>
        <v>2</v>
      </c>
      <c r="DD5" s="58">
        <f>IF(Sheet!DD5=Sheet!DD$2,4,IF(Sheet!DE5=Sheet!DE$2,3,IF(Sheet!DF5=Sheet!DF$2,2,IF(Sheet!DG5=Sheet!DG$2,1,""))))</f>
        <v>1</v>
      </c>
      <c r="DH5" s="58">
        <f>IF(Sheet!DH5=Sheet!DH$2,4,IF(Sheet!DI5=Sheet!DI$2,3,IF(Sheet!DJ5=Sheet!DJ$2,2,IF(Sheet!DK5=Sheet!DK$2,1,""))))</f>
        <v>1</v>
      </c>
      <c r="DL5" s="58">
        <f>IF(Sheet!DL5=Sheet!DL$2,4,IF(Sheet!DM5=Sheet!DM$2,3,IF(Sheet!DN5=Sheet!DN$2,2,IF(Sheet!DO5=Sheet!DO$2,1,""))))</f>
        <v>2</v>
      </c>
      <c r="DP5" s="58">
        <f>IF(Sheet!DP5=Sheet!DP$2,4,IF(Sheet!DQ5=Sheet!DQ$2,3,IF(Sheet!DR5=Sheet!DR$2,2,IF(Sheet!DS5=Sheet!DS$2,1,""))))</f>
        <v>4</v>
      </c>
      <c r="DT5" s="58">
        <f>IF(Sheet!DT5=Sheet!DT$2,4,IF(Sheet!DU5=Sheet!DU$2,3,IF(Sheet!DV5=Sheet!DV$2,2,IF(Sheet!DW5=Sheet!DW$2,1,""))))</f>
        <v>4</v>
      </c>
      <c r="DX5" s="58">
        <f>IF(Sheet!DX5=Sheet!DX$2,4,IF(Sheet!DY5=Sheet!DY$2,3,IF(Sheet!DZ5=Sheet!DZ$2,2,IF(Sheet!EA5=Sheet!EA$2,1,""))))</f>
        <v>1</v>
      </c>
      <c r="EB5" s="58">
        <f>IF(Sheet!EB5=Sheet!EB$2,4,IF(Sheet!EC5=Sheet!EC$2,3,IF(Sheet!ED5=Sheet!ED$2,2,IF(Sheet!EE5=Sheet!EE$2,1,""))))</f>
        <v>2</v>
      </c>
      <c r="EF5" s="58">
        <f>IF(Sheet!EF5=Sheet!EF$2,4,IF(Sheet!EG5=Sheet!EG$2,3,IF(Sheet!EH5=Sheet!EH$2,2,IF(Sheet!EI5=Sheet!EI$2,1,""))))</f>
        <v>2</v>
      </c>
      <c r="EJ5" s="58">
        <f>IF(Sheet!EJ5=Sheet!EJ$2,4,IF(Sheet!EK5=Sheet!EK$2,3,IF(Sheet!EL5=Sheet!EL$2,2,IF(Sheet!EM5=Sheet!EM$2,1,""))))</f>
        <v>1</v>
      </c>
      <c r="EN5" s="58">
        <f>IF(Sheet!EN5=Sheet!EN$2,4,IF(Sheet!EO5=Sheet!EO$2,3,IF(Sheet!EP5=Sheet!EP$2,2,IF(Sheet!EQ5=Sheet!EQ$2,1,""))))</f>
        <v>2</v>
      </c>
      <c r="ER5" s="58">
        <f>IF(Sheet!ER5=Sheet!ER$2,4,IF(Sheet!ES5=Sheet!ES$2,3,IF(Sheet!ET5=Sheet!ET$2,2,IF(Sheet!EU5=Sheet!EU$2,1,""))))</f>
        <v>3</v>
      </c>
      <c r="EV5" s="58">
        <f>IF(Sheet!EV5=Sheet!EV$2,4,IF(Sheet!EW5=Sheet!EW$2,3,IF(Sheet!EX5=Sheet!EX$2,2,IF(Sheet!EY5=Sheet!EY$2,1,""))))</f>
        <v>4</v>
      </c>
      <c r="EZ5" s="58">
        <f>IF(Sheet!EZ5=Sheet!EZ$2,4,IF(Sheet!FA5=Sheet!FA$2,3,IF(Sheet!FB5=Sheet!FB$2,2,IF(Sheet!FC5=Sheet!FC$2,1,""))))</f>
        <v>1</v>
      </c>
      <c r="FD5" s="58">
        <f>IF(Sheet!FD5=Sheet!FD$2,4,IF(Sheet!FE5=Sheet!FE$2,3,IF(Sheet!FF5=Sheet!FF$2,2,IF(Sheet!FG5=Sheet!FG$2,1,""))))</f>
        <v>2</v>
      </c>
      <c r="FH5" s="58">
        <f>IF(Sheet!FH5=Sheet!FH$2,4,IF(Sheet!FI5=Sheet!FI$2,3,IF(Sheet!FJ5=Sheet!FJ$2,2,IF(Sheet!FK5=Sheet!FK$2,1,""))))</f>
        <v>2</v>
      </c>
      <c r="FL5" s="58">
        <f>IF(Sheet!FL5=Sheet!FL$2,4,IF(Sheet!FM5=Sheet!FM$2,3,IF(Sheet!FN5=Sheet!FN$2,2,IF(Sheet!FO5=Sheet!FO$2,1,""))))</f>
        <v>3</v>
      </c>
    </row>
    <row r="6" spans="1:171">
      <c r="A6" t="str">
        <f>Sheet!A6</f>
        <v>GU001</v>
      </c>
      <c r="E6" t="s">
        <v>22</v>
      </c>
      <c r="G6">
        <v>33</v>
      </c>
      <c r="AT6" s="56">
        <f t="shared" si="0"/>
        <v>1.6451612903225807</v>
      </c>
      <c r="AV6" s="58">
        <f>IF(Sheet!AV6=Sheet!AV$2,4,IF(Sheet!AW6=Sheet!AW$2,3,IF(Sheet!AX6=Sheet!AX$2,2,IF(Sheet!AY6=Sheet!AY$2,1,""))))</f>
        <v>1</v>
      </c>
      <c r="AZ6" s="58">
        <f>IF(Sheet!AZ6=Sheet!AZ$2,4,IF(Sheet!BA6=Sheet!BA$2,3,IF(Sheet!BB6=Sheet!BB$2,2,IF(Sheet!BC6=Sheet!BC$2,1,""))))</f>
        <v>3</v>
      </c>
      <c r="BD6" s="58">
        <f>IF(Sheet!BD6=Sheet!BD$2,4,IF(Sheet!BE6=Sheet!BE$2,3,IF(Sheet!BF6=Sheet!BF$2,2,IF(Sheet!BG6=Sheet!BG$2,1,""))))</f>
        <v>2</v>
      </c>
      <c r="BH6" s="58">
        <f>IF(Sheet!BH6=Sheet!BH$2,4,IF(Sheet!BI6=Sheet!BI$2,3,IF(Sheet!BJ6=Sheet!BJ$2,2,IF(Sheet!BK6=Sheet!BK$2,1,""))))</f>
        <v>1</v>
      </c>
      <c r="BL6" s="58">
        <f>IF(Sheet!BL6=Sheet!BL$2,4,IF(Sheet!BM6=Sheet!BM$2,3,IF(Sheet!BN6=Sheet!BN$2,2,IF(Sheet!BO6=Sheet!BO$2,1,""))))</f>
        <v>1</v>
      </c>
      <c r="BP6" s="58">
        <f>IF(Sheet!BP6=Sheet!BP$2,4,IF(Sheet!BQ6=Sheet!BQ$2,3,IF(Sheet!BR6=Sheet!BR$2,2,IF(Sheet!BS6=Sheet!BS$2,1,""))))</f>
        <v>3</v>
      </c>
      <c r="BT6" s="58">
        <f>IF(Sheet!BT6=Sheet!BT$2,4,IF(Sheet!BU6=Sheet!BU$2,3,IF(Sheet!BV6=Sheet!BV$2,2,IF(Sheet!BW6=Sheet!BW$2,1,""))))</f>
        <v>1</v>
      </c>
      <c r="BX6" s="58">
        <f>IF(Sheet!BX6=Sheet!BX$2,4,IF(Sheet!BY6=Sheet!BY$2,3,IF(Sheet!BZ6=Sheet!BZ$2,2,IF(Sheet!CA6=Sheet!CA$2,1,""))))</f>
        <v>1</v>
      </c>
      <c r="CB6" s="58">
        <f>IF(Sheet!CB6=Sheet!CB$2,4,IF(Sheet!CC6=Sheet!CC$2,3,IF(Sheet!CD6=Sheet!CD$2,2,IF(Sheet!CE6=Sheet!CE$2,1,""))))</f>
        <v>1</v>
      </c>
      <c r="CF6" s="58">
        <f>IF(Sheet!CF6=Sheet!CF$2,4,IF(Sheet!CG6=Sheet!CG$2,3,IF(Sheet!CH6=Sheet!CH$2,2,IF(Sheet!CI6=Sheet!CI$2,1,""))))</f>
        <v>1</v>
      </c>
      <c r="CJ6" s="58">
        <f>IF(Sheet!CJ6=Sheet!CJ$2,4,IF(Sheet!CK6=Sheet!CK$2,3,IF(Sheet!CL6=Sheet!CL$2,2,IF(Sheet!CM6=Sheet!CM$2,1,""))))</f>
        <v>3</v>
      </c>
      <c r="CN6" s="58">
        <f>IF(Sheet!CN6=Sheet!CN$2,4,IF(Sheet!CO6=Sheet!CO$2,3,IF(Sheet!CP6=Sheet!CP$2,2,IF(Sheet!CQ6=Sheet!CQ$2,1,""))))</f>
        <v>2</v>
      </c>
      <c r="CR6" s="58">
        <f>IF(Sheet!CR6=Sheet!CR$2,4,IF(Sheet!CS6=Sheet!CS$2,3,IF(Sheet!CT6=Sheet!CT$2,2,IF(Sheet!CU6=Sheet!CU$2,1,""))))</f>
        <v>1</v>
      </c>
      <c r="CV6" s="58">
        <f>IF(Sheet!CV6=Sheet!CV$2,4,IF(Sheet!CW6=Sheet!CW$2,3,IF(Sheet!CX6=Sheet!CX$2,2,IF(Sheet!CY6=Sheet!CY$2,1,""))))</f>
        <v>1</v>
      </c>
      <c r="CZ6" s="58">
        <f>IF(Sheet!CZ6=Sheet!CZ$2,4,IF(Sheet!DA6=Sheet!DA$2,3,IF(Sheet!DB6=Sheet!DB$2,2,IF(Sheet!DC6=Sheet!DC$2,1,""))))</f>
        <v>1</v>
      </c>
      <c r="DD6" s="58">
        <f>IF(Sheet!DD6=Sheet!DD$2,4,IF(Sheet!DE6=Sheet!DE$2,3,IF(Sheet!DF6=Sheet!DF$2,2,IF(Sheet!DG6=Sheet!DG$2,1,""))))</f>
        <v>4</v>
      </c>
      <c r="DH6" s="58">
        <f>IF(Sheet!DH6=Sheet!DH$2,4,IF(Sheet!DI6=Sheet!DI$2,3,IF(Sheet!DJ6=Sheet!DJ$2,2,IF(Sheet!DK6=Sheet!DK$2,1,""))))</f>
        <v>1</v>
      </c>
      <c r="DL6" s="58">
        <f>IF(Sheet!DL6=Sheet!DL$2,4,IF(Sheet!DM6=Sheet!DM$2,3,IF(Sheet!DN6=Sheet!DN$2,2,IF(Sheet!DO6=Sheet!DO$2,1,""))))</f>
        <v>2</v>
      </c>
      <c r="DP6" s="58">
        <f>IF(Sheet!DP6=Sheet!DP$2,4,IF(Sheet!DQ6=Sheet!DQ$2,3,IF(Sheet!DR6=Sheet!DR$2,2,IF(Sheet!DS6=Sheet!DS$2,1,""))))</f>
        <v>2</v>
      </c>
      <c r="DT6" s="58">
        <f>IF(Sheet!DT6=Sheet!DT$2,4,IF(Sheet!DU6=Sheet!DU$2,3,IF(Sheet!DV6=Sheet!DV$2,2,IF(Sheet!DW6=Sheet!DW$2,1,""))))</f>
        <v>1</v>
      </c>
      <c r="DX6" s="58">
        <f>IF(Sheet!DX6=Sheet!DX$2,4,IF(Sheet!DY6=Sheet!DY$2,3,IF(Sheet!DZ6=Sheet!DZ$2,2,IF(Sheet!EA6=Sheet!EA$2,1,""))))</f>
        <v>1</v>
      </c>
      <c r="EB6" s="58">
        <f>IF(Sheet!EB6=Sheet!EB$2,4,IF(Sheet!EC6=Sheet!EC$2,3,IF(Sheet!ED6=Sheet!ED$2,2,IF(Sheet!EE6=Sheet!EE$2,1,""))))</f>
        <v>1</v>
      </c>
      <c r="EF6" s="58">
        <f>IF(Sheet!EF6=Sheet!EF$2,4,IF(Sheet!EG6=Sheet!EG$2,3,IF(Sheet!EH6=Sheet!EH$2,2,IF(Sheet!EI6=Sheet!EI$2,1,""))))</f>
        <v>1</v>
      </c>
      <c r="EJ6" s="58">
        <f>IF(Sheet!EJ6=Sheet!EJ$2,4,IF(Sheet!EK6=Sheet!EK$2,3,IF(Sheet!EL6=Sheet!EL$2,2,IF(Sheet!EM6=Sheet!EM$2,1,""))))</f>
        <v>1</v>
      </c>
      <c r="EN6" s="58">
        <f>IF(Sheet!EN6=Sheet!EN$2,4,IF(Sheet!EO6=Sheet!EO$2,3,IF(Sheet!EP6=Sheet!EP$2,2,IF(Sheet!EQ6=Sheet!EQ$2,1,""))))</f>
        <v>1</v>
      </c>
      <c r="ER6" s="58">
        <f>IF(Sheet!ER6=Sheet!ER$2,4,IF(Sheet!ES6=Sheet!ES$2,3,IF(Sheet!ET6=Sheet!ET$2,2,IF(Sheet!EU6=Sheet!EU$2,1,""))))</f>
        <v>1</v>
      </c>
      <c r="EV6" s="58">
        <f>IF(Sheet!EV6=Sheet!EV$2,4,IF(Sheet!EW6=Sheet!EW$2,3,IF(Sheet!EX6=Sheet!EX$2,2,IF(Sheet!EY6=Sheet!EY$2,1,""))))</f>
        <v>3</v>
      </c>
      <c r="EZ6" s="58">
        <f>IF(Sheet!EZ6=Sheet!EZ$2,4,IF(Sheet!FA6=Sheet!FA$2,3,IF(Sheet!FB6=Sheet!FB$2,2,IF(Sheet!FC6=Sheet!FC$2,1,""))))</f>
        <v>1</v>
      </c>
      <c r="FD6" s="58">
        <f>IF(Sheet!FD6=Sheet!FD$2,4,IF(Sheet!FE6=Sheet!FE$2,3,IF(Sheet!FF6=Sheet!FF$2,2,IF(Sheet!FG6=Sheet!FG$2,1,""))))</f>
        <v>1</v>
      </c>
      <c r="FH6" s="58">
        <f>IF(Sheet!FH6=Sheet!FH$2,4,IF(Sheet!FI6=Sheet!FI$2,3,IF(Sheet!FJ6=Sheet!FJ$2,2,IF(Sheet!FK6=Sheet!FK$2,1,""))))</f>
        <v>4</v>
      </c>
      <c r="FL6" s="58">
        <f>IF(Sheet!FL6=Sheet!FL$2,4,IF(Sheet!FM6=Sheet!FM$2,3,IF(Sheet!FN6=Sheet!FN$2,2,IF(Sheet!FO6=Sheet!FO$2,1,""))))</f>
        <v>3</v>
      </c>
    </row>
    <row r="7" spans="1:171">
      <c r="A7" t="str">
        <f>Sheet!A7</f>
        <v>FM002</v>
      </c>
      <c r="E7" t="s">
        <v>23</v>
      </c>
      <c r="G7">
        <v>12</v>
      </c>
      <c r="AT7" s="56">
        <f t="shared" si="0"/>
        <v>2.2903225806451615</v>
      </c>
      <c r="AV7" s="58">
        <f>IF(Sheet!AV7=Sheet!AV$2,4,IF(Sheet!AW7=Sheet!AW$2,3,IF(Sheet!AX7=Sheet!AX$2,2,IF(Sheet!AY7=Sheet!AY$2,1,""))))</f>
        <v>3</v>
      </c>
      <c r="AZ7" s="58">
        <f>IF(Sheet!AZ7=Sheet!AZ$2,4,IF(Sheet!BA7=Sheet!BA$2,3,IF(Sheet!BB7=Sheet!BB$2,2,IF(Sheet!BC7=Sheet!BC$2,1,""))))</f>
        <v>2</v>
      </c>
      <c r="BD7" s="58">
        <f>IF(Sheet!BD7=Sheet!BD$2,4,IF(Sheet!BE7=Sheet!BE$2,3,IF(Sheet!BF7=Sheet!BF$2,2,IF(Sheet!BG7=Sheet!BG$2,1,""))))</f>
        <v>2</v>
      </c>
      <c r="BH7" s="58">
        <f>IF(Sheet!BH7=Sheet!BH$2,4,IF(Sheet!BI7=Sheet!BI$2,3,IF(Sheet!BJ7=Sheet!BJ$2,2,IF(Sheet!BK7=Sheet!BK$2,1,""))))</f>
        <v>3</v>
      </c>
      <c r="BL7" s="58">
        <f>IF(Sheet!BL7=Sheet!BL$2,4,IF(Sheet!BM7=Sheet!BM$2,3,IF(Sheet!BN7=Sheet!BN$2,2,IF(Sheet!BO7=Sheet!BO$2,1,""))))</f>
        <v>4</v>
      </c>
      <c r="BP7" s="58">
        <f>IF(Sheet!BP7=Sheet!BP$2,4,IF(Sheet!BQ7=Sheet!BQ$2,3,IF(Sheet!BR7=Sheet!BR$2,2,IF(Sheet!BS7=Sheet!BS$2,1,""))))</f>
        <v>1</v>
      </c>
      <c r="BT7" s="58">
        <f>IF(Sheet!BT7=Sheet!BT$2,4,IF(Sheet!BU7=Sheet!BU$2,3,IF(Sheet!BV7=Sheet!BV$2,2,IF(Sheet!BW7=Sheet!BW$2,1,""))))</f>
        <v>1</v>
      </c>
      <c r="BX7" s="58">
        <f>IF(Sheet!BX7=Sheet!BX$2,4,IF(Sheet!BY7=Sheet!BY$2,3,IF(Sheet!BZ7=Sheet!BZ$2,2,IF(Sheet!CA7=Sheet!CA$2,1,""))))</f>
        <v>2</v>
      </c>
      <c r="CB7" s="58">
        <f>IF(Sheet!CB7=Sheet!CB$2,4,IF(Sheet!CC7=Sheet!CC$2,3,IF(Sheet!CD7=Sheet!CD$2,2,IF(Sheet!CE7=Sheet!CE$2,1,""))))</f>
        <v>2</v>
      </c>
      <c r="CF7" s="58">
        <f>IF(Sheet!CF7=Sheet!CF$2,4,IF(Sheet!CG7=Sheet!CG$2,3,IF(Sheet!CH7=Sheet!CH$2,2,IF(Sheet!CI7=Sheet!CI$2,1,""))))</f>
        <v>2</v>
      </c>
      <c r="CJ7" s="58">
        <f>IF(Sheet!CJ7=Sheet!CJ$2,4,IF(Sheet!CK7=Sheet!CK$2,3,IF(Sheet!CL7=Sheet!CL$2,2,IF(Sheet!CM7=Sheet!CM$2,1,""))))</f>
        <v>1</v>
      </c>
      <c r="CN7" s="58">
        <f>IF(Sheet!CN7=Sheet!CN$2,4,IF(Sheet!CO7=Sheet!CO$2,3,IF(Sheet!CP7=Sheet!CP$2,2,IF(Sheet!CQ7=Sheet!CQ$2,1,""))))</f>
        <v>3</v>
      </c>
      <c r="CR7" s="58">
        <f>IF(Sheet!CR7=Sheet!CR$2,4,IF(Sheet!CS7=Sheet!CS$2,3,IF(Sheet!CT7=Sheet!CT$2,2,IF(Sheet!CU7=Sheet!CU$2,1,""))))</f>
        <v>3</v>
      </c>
      <c r="CV7" s="58">
        <f>IF(Sheet!CV7=Sheet!CV$2,4,IF(Sheet!CW7=Sheet!CW$2,3,IF(Sheet!CX7=Sheet!CX$2,2,IF(Sheet!CY7=Sheet!CY$2,1,""))))</f>
        <v>2</v>
      </c>
      <c r="CZ7" s="58">
        <f>IF(Sheet!CZ7=Sheet!CZ$2,4,IF(Sheet!DA7=Sheet!DA$2,3,IF(Sheet!DB7=Sheet!DB$2,2,IF(Sheet!DC7=Sheet!DC$2,1,""))))</f>
        <v>2</v>
      </c>
      <c r="DD7" s="58">
        <f>IF(Sheet!DD7=Sheet!DD$2,4,IF(Sheet!DE7=Sheet!DE$2,3,IF(Sheet!DF7=Sheet!DF$2,2,IF(Sheet!DG7=Sheet!DG$2,1,""))))</f>
        <v>3</v>
      </c>
      <c r="DH7" s="58">
        <f>IF(Sheet!DH7=Sheet!DH$2,4,IF(Sheet!DI7=Sheet!DI$2,3,IF(Sheet!DJ7=Sheet!DJ$2,2,IF(Sheet!DK7=Sheet!DK$2,1,""))))</f>
        <v>4</v>
      </c>
      <c r="DL7" s="58">
        <f>IF(Sheet!DL7=Sheet!DL$2,4,IF(Sheet!DM7=Sheet!DM$2,3,IF(Sheet!DN7=Sheet!DN$2,2,IF(Sheet!DO7=Sheet!DO$2,1,""))))</f>
        <v>3</v>
      </c>
      <c r="DP7" s="58">
        <f>IF(Sheet!DP7=Sheet!DP$2,4,IF(Sheet!DQ7=Sheet!DQ$2,3,IF(Sheet!DR7=Sheet!DR$2,2,IF(Sheet!DS7=Sheet!DS$2,1,""))))</f>
        <v>2</v>
      </c>
      <c r="DT7" s="58">
        <f>IF(Sheet!DT7=Sheet!DT$2,4,IF(Sheet!DU7=Sheet!DU$2,3,IF(Sheet!DV7=Sheet!DV$2,2,IF(Sheet!DW7=Sheet!DW$2,1,""))))</f>
        <v>2</v>
      </c>
      <c r="DX7" s="58">
        <f>IF(Sheet!DX7=Sheet!DX$2,4,IF(Sheet!DY7=Sheet!DY$2,3,IF(Sheet!DZ7=Sheet!DZ$2,2,IF(Sheet!EA7=Sheet!EA$2,1,""))))</f>
        <v>2</v>
      </c>
      <c r="EB7" s="58">
        <f>IF(Sheet!EB7=Sheet!EB$2,4,IF(Sheet!EC7=Sheet!EC$2,3,IF(Sheet!ED7=Sheet!ED$2,2,IF(Sheet!EE7=Sheet!EE$2,1,""))))</f>
        <v>3</v>
      </c>
      <c r="EF7" s="58">
        <f>IF(Sheet!EF7=Sheet!EF$2,4,IF(Sheet!EG7=Sheet!EG$2,3,IF(Sheet!EH7=Sheet!EH$2,2,IF(Sheet!EI7=Sheet!EI$2,1,""))))</f>
        <v>1</v>
      </c>
      <c r="EJ7" s="58">
        <f>IF(Sheet!EJ7=Sheet!EJ$2,4,IF(Sheet!EK7=Sheet!EK$2,3,IF(Sheet!EL7=Sheet!EL$2,2,IF(Sheet!EM7=Sheet!EM$2,1,""))))</f>
        <v>1</v>
      </c>
      <c r="EN7" s="58">
        <f>IF(Sheet!EN7=Sheet!EN$2,4,IF(Sheet!EO7=Sheet!EO$2,3,IF(Sheet!EP7=Sheet!EP$2,2,IF(Sheet!EQ7=Sheet!EQ$2,1,""))))</f>
        <v>2</v>
      </c>
      <c r="ER7" s="58">
        <f>IF(Sheet!ER7=Sheet!ER$2,4,IF(Sheet!ES7=Sheet!ES$2,3,IF(Sheet!ET7=Sheet!ET$2,2,IF(Sheet!EU7=Sheet!EU$2,1,""))))</f>
        <v>2</v>
      </c>
      <c r="EV7" s="58">
        <f>IF(Sheet!EV7=Sheet!EV$2,4,IF(Sheet!EW7=Sheet!EW$2,3,IF(Sheet!EX7=Sheet!EX$2,2,IF(Sheet!EY7=Sheet!EY$2,1,""))))</f>
        <v>2</v>
      </c>
      <c r="EZ7" s="58">
        <f>IF(Sheet!EZ7=Sheet!EZ$2,4,IF(Sheet!FA7=Sheet!FA$2,3,IF(Sheet!FB7=Sheet!FB$2,2,IF(Sheet!FC7=Sheet!FC$2,1,""))))</f>
        <v>2</v>
      </c>
      <c r="FD7" s="58">
        <f>IF(Sheet!FD7=Sheet!FD$2,4,IF(Sheet!FE7=Sheet!FE$2,3,IF(Sheet!FF7=Sheet!FF$2,2,IF(Sheet!FG7=Sheet!FG$2,1,""))))</f>
        <v>2</v>
      </c>
      <c r="FH7" s="58">
        <f>IF(Sheet!FH7=Sheet!FH$2,4,IF(Sheet!FI7=Sheet!FI$2,3,IF(Sheet!FJ7=Sheet!FJ$2,2,IF(Sheet!FK7=Sheet!FK$2,1,""))))</f>
        <v>4</v>
      </c>
      <c r="FL7" s="58">
        <f>IF(Sheet!FL7=Sheet!FL$2,4,IF(Sheet!FM7=Sheet!FM$2,3,IF(Sheet!FN7=Sheet!FN$2,2,IF(Sheet!FO7=Sheet!FO$2,1,""))))</f>
        <v>3</v>
      </c>
    </row>
    <row r="8" spans="1:171">
      <c r="A8" t="str">
        <f>Sheet!A8</f>
        <v>FM001</v>
      </c>
      <c r="E8" t="s">
        <v>24</v>
      </c>
      <c r="G8">
        <v>22</v>
      </c>
      <c r="AT8" s="56">
        <f t="shared" si="0"/>
        <v>1.7096774193548387</v>
      </c>
      <c r="AV8" s="58">
        <f>IF(Sheet!AV8=Sheet!AV$2,4,IF(Sheet!AW8=Sheet!AW$2,3,IF(Sheet!AX8=Sheet!AX$2,2,IF(Sheet!AY8=Sheet!AY$2,1,""))))</f>
        <v>2</v>
      </c>
      <c r="AW8" t="s">
        <v>558</v>
      </c>
      <c r="AZ8" s="58">
        <f>IF(Sheet!AZ8=Sheet!AZ$2,4,IF(Sheet!BA8=Sheet!BA$2,3,IF(Sheet!BB8=Sheet!BB$2,2,IF(Sheet!BC8=Sheet!BC$2,1,""))))</f>
        <v>1</v>
      </c>
      <c r="BA8" t="s">
        <v>558</v>
      </c>
      <c r="BD8" s="58">
        <f>IF(Sheet!BD8=Sheet!BD$2,4,IF(Sheet!BE8=Sheet!BE$2,3,IF(Sheet!BF8=Sheet!BF$2,2,IF(Sheet!BG8=Sheet!BG$2,1,""))))</f>
        <v>1</v>
      </c>
      <c r="BH8" s="58">
        <f>IF(Sheet!BH8=Sheet!BH$2,4,IF(Sheet!BI8=Sheet!BI$2,3,IF(Sheet!BJ8=Sheet!BJ$2,2,IF(Sheet!BK8=Sheet!BK$2,1,""))))</f>
        <v>1</v>
      </c>
      <c r="BL8" s="58">
        <f>IF(Sheet!BL8=Sheet!BL$2,4,IF(Sheet!BM8=Sheet!BM$2,3,IF(Sheet!BN8=Sheet!BN$2,2,IF(Sheet!BO8=Sheet!BO$2,1,""))))</f>
        <v>2</v>
      </c>
      <c r="BP8" s="58">
        <f>IF(Sheet!BP8=Sheet!BP$2,4,IF(Sheet!BQ8=Sheet!BQ$2,3,IF(Sheet!BR8=Sheet!BR$2,2,IF(Sheet!BS8=Sheet!BS$2,1,""))))</f>
        <v>2</v>
      </c>
      <c r="BT8" s="58">
        <f>IF(Sheet!BT8=Sheet!BT$2,4,IF(Sheet!BU8=Sheet!BU$2,3,IF(Sheet!BV8=Sheet!BV$2,2,IF(Sheet!BW8=Sheet!BW$2,1,""))))</f>
        <v>2</v>
      </c>
      <c r="BX8" s="58">
        <f>IF(Sheet!BX8=Sheet!BX$2,4,IF(Sheet!BY8=Sheet!BY$2,3,IF(Sheet!BZ8=Sheet!BZ$2,2,IF(Sheet!CA8=Sheet!CA$2,1,""))))</f>
        <v>2</v>
      </c>
      <c r="CB8" s="58">
        <f>IF(Sheet!CB8=Sheet!CB$2,4,IF(Sheet!CC8=Sheet!CC$2,3,IF(Sheet!CD8=Sheet!CD$2,2,IF(Sheet!CE8=Sheet!CE$2,1,""))))</f>
        <v>2</v>
      </c>
      <c r="CF8" s="58">
        <f>IF(Sheet!CF8=Sheet!CF$2,4,IF(Sheet!CG8=Sheet!CG$2,3,IF(Sheet!CH8=Sheet!CH$2,2,IF(Sheet!CI8=Sheet!CI$2,1,""))))</f>
        <v>2</v>
      </c>
      <c r="CJ8" s="58">
        <f>IF(Sheet!CJ8=Sheet!CJ$2,4,IF(Sheet!CK8=Sheet!CK$2,3,IF(Sheet!CL8=Sheet!CL$2,2,IF(Sheet!CM8=Sheet!CM$2,1,""))))</f>
        <v>2</v>
      </c>
      <c r="CN8" s="58">
        <f>IF(Sheet!CN8=Sheet!CN$2,4,IF(Sheet!CO8=Sheet!CO$2,3,IF(Sheet!CP8=Sheet!CP$2,2,IF(Sheet!CQ8=Sheet!CQ$2,1,""))))</f>
        <v>1</v>
      </c>
      <c r="CR8" s="58">
        <f>IF(Sheet!CR8=Sheet!CR$2,4,IF(Sheet!CS8=Sheet!CS$2,3,IF(Sheet!CT8=Sheet!CT$2,2,IF(Sheet!CU8=Sheet!CU$2,1,""))))</f>
        <v>1</v>
      </c>
      <c r="CV8" s="58">
        <f>IF(Sheet!CV8=Sheet!CV$2,4,IF(Sheet!CW8=Sheet!CW$2,3,IF(Sheet!CX8=Sheet!CX$2,2,IF(Sheet!CY8=Sheet!CY$2,1,""))))</f>
        <v>2</v>
      </c>
      <c r="CZ8" s="58">
        <f>IF(Sheet!CZ8=Sheet!CZ$2,4,IF(Sheet!DA8=Sheet!DA$2,3,IF(Sheet!DB8=Sheet!DB$2,2,IF(Sheet!DC8=Sheet!DC$2,1,""))))</f>
        <v>1</v>
      </c>
      <c r="DD8" s="58">
        <f>IF(Sheet!DD8=Sheet!DD$2,4,IF(Sheet!DE8=Sheet!DE$2,3,IF(Sheet!DF8=Sheet!DF$2,2,IF(Sheet!DG8=Sheet!DG$2,1,""))))</f>
        <v>2</v>
      </c>
      <c r="DH8" s="58">
        <f>IF(Sheet!DH8=Sheet!DH$2,4,IF(Sheet!DI8=Sheet!DI$2,3,IF(Sheet!DJ8=Sheet!DJ$2,2,IF(Sheet!DK8=Sheet!DK$2,1,""))))</f>
        <v>2</v>
      </c>
      <c r="DL8" s="58">
        <f>IF(Sheet!DL8=Sheet!DL$2,4,IF(Sheet!DM8=Sheet!DM$2,3,IF(Sheet!DN8=Sheet!DN$2,2,IF(Sheet!DO8=Sheet!DO$2,1,""))))</f>
        <v>2</v>
      </c>
      <c r="DP8" s="58">
        <f>IF(Sheet!DP8=Sheet!DP$2,4,IF(Sheet!DQ8=Sheet!DQ$2,3,IF(Sheet!DR8=Sheet!DR$2,2,IF(Sheet!DS8=Sheet!DS$2,1,""))))</f>
        <v>3</v>
      </c>
      <c r="DT8" s="58">
        <f>IF(Sheet!DT8=Sheet!DT$2,4,IF(Sheet!DU8=Sheet!DU$2,3,IF(Sheet!DV8=Sheet!DV$2,2,IF(Sheet!DW8=Sheet!DW$2,1,""))))</f>
        <v>2</v>
      </c>
      <c r="DX8" s="58">
        <f>IF(Sheet!DX8=Sheet!DX$2,4,IF(Sheet!DY8=Sheet!DY$2,3,IF(Sheet!DZ8=Sheet!DZ$2,2,IF(Sheet!EA8=Sheet!EA$2,1,""))))</f>
        <v>1</v>
      </c>
      <c r="EB8" s="58">
        <f>IF(Sheet!EB8=Sheet!EB$2,4,IF(Sheet!EC8=Sheet!EC$2,3,IF(Sheet!ED8=Sheet!ED$2,2,IF(Sheet!EE8=Sheet!EE$2,1,""))))</f>
        <v>2</v>
      </c>
      <c r="EF8" s="58">
        <f>IF(Sheet!EF8=Sheet!EF$2,4,IF(Sheet!EG8=Sheet!EG$2,3,IF(Sheet!EH8=Sheet!EH$2,2,IF(Sheet!EI8=Sheet!EI$2,1,""))))</f>
        <v>1</v>
      </c>
      <c r="EJ8" s="58">
        <f>IF(Sheet!EJ8=Sheet!EJ$2,4,IF(Sheet!EK8=Sheet!EK$2,3,IF(Sheet!EL8=Sheet!EL$2,2,IF(Sheet!EM8=Sheet!EM$2,1,""))))</f>
        <v>1</v>
      </c>
      <c r="EN8" s="58">
        <f>IF(Sheet!EN8=Sheet!EN$2,4,IF(Sheet!EO8=Sheet!EO$2,3,IF(Sheet!EP8=Sheet!EP$2,2,IF(Sheet!EQ8=Sheet!EQ$2,1,""))))</f>
        <v>1</v>
      </c>
      <c r="ER8" s="58">
        <f>IF(Sheet!ER8=Sheet!ER$2,4,IF(Sheet!ES8=Sheet!ES$2,3,IF(Sheet!ET8=Sheet!ET$2,2,IF(Sheet!EU8=Sheet!EU$2,1,""))))</f>
        <v>3</v>
      </c>
      <c r="EV8" s="58">
        <f>IF(Sheet!EV8=Sheet!EV$2,4,IF(Sheet!EW8=Sheet!EW$2,3,IF(Sheet!EX8=Sheet!EX$2,2,IF(Sheet!EY8=Sheet!EY$2,1,""))))</f>
        <v>2</v>
      </c>
      <c r="EZ8" s="58">
        <f>IF(Sheet!EZ8=Sheet!EZ$2,4,IF(Sheet!FA8=Sheet!FA$2,3,IF(Sheet!FB8=Sheet!FB$2,2,IF(Sheet!FC8=Sheet!FC$2,1,""))))</f>
        <v>1</v>
      </c>
      <c r="FD8" s="58">
        <f>IF(Sheet!FD8=Sheet!FD$2,4,IF(Sheet!FE8=Sheet!FE$2,3,IF(Sheet!FF8=Sheet!FF$2,2,IF(Sheet!FG8=Sheet!FG$2,1,""))))</f>
        <v>1</v>
      </c>
      <c r="FH8" s="58">
        <f>IF(Sheet!FH8=Sheet!FH$2,4,IF(Sheet!FI8=Sheet!FI$2,3,IF(Sheet!FJ8=Sheet!FJ$2,2,IF(Sheet!FK8=Sheet!FK$2,1,""))))</f>
        <v>3</v>
      </c>
      <c r="FL8" s="58">
        <f>IF(Sheet!FL8=Sheet!FL$2,4,IF(Sheet!FM8=Sheet!FM$2,3,IF(Sheet!FN8=Sheet!FN$2,2,IF(Sheet!FO8=Sheet!FO$2,1,""))))</f>
        <v>2</v>
      </c>
      <c r="FM8" t="s">
        <v>558</v>
      </c>
    </row>
    <row r="9" spans="1:171">
      <c r="A9" t="str">
        <f>Sheet!A9</f>
        <v>PM001</v>
      </c>
      <c r="E9" t="s">
        <v>25</v>
      </c>
      <c r="F9" s="15">
        <f>G9/66</f>
        <v>0.65151515151515149</v>
      </c>
      <c r="G9">
        <v>43</v>
      </c>
      <c r="AT9" s="56">
        <f t="shared" si="0"/>
        <v>3.1818181818181817</v>
      </c>
      <c r="AV9" s="58">
        <f>IF(Sheet!AV9=Sheet!AV$2,4,IF(Sheet!AW9=Sheet!AW$2,3,IF(Sheet!AX9=Sheet!AX$2,2,IF(Sheet!AY9=Sheet!AY$2,1,""))))</f>
        <v>2</v>
      </c>
      <c r="AW9">
        <f>COUNTIF(AV$3:AV$69,"&lt;=1")</f>
        <v>17</v>
      </c>
      <c r="AZ9" s="58">
        <f>IF(Sheet!AZ9=Sheet!AZ$2,4,IF(Sheet!BA9=Sheet!BA$2,3,IF(Sheet!BB9=Sheet!BB$2,2,IF(Sheet!BC9=Sheet!BC$2,1,""))))</f>
        <v>3</v>
      </c>
      <c r="BA9">
        <f>COUNTIF(AZ$3:AZ$69,"&lt;=1")</f>
        <v>15</v>
      </c>
      <c r="BD9" s="58">
        <f>IF(Sheet!BD9=Sheet!BD$2,4,IF(Sheet!BE9=Sheet!BE$2,3,IF(Sheet!BF9=Sheet!BF$2,2,IF(Sheet!BG9=Sheet!BG$2,1,""))))</f>
        <v>3</v>
      </c>
      <c r="BH9" s="58">
        <f>IF(Sheet!BH9=Sheet!BH$2,4,IF(Sheet!BI9=Sheet!BI$2,3,IF(Sheet!BJ9=Sheet!BJ$2,2,IF(Sheet!BK9=Sheet!BK$2,1,""))))</f>
        <v>2</v>
      </c>
      <c r="BL9" s="58">
        <f>IF(Sheet!BL9=Sheet!BL$2,4,IF(Sheet!BM9=Sheet!BM$2,3,IF(Sheet!BN9=Sheet!BN$2,2,IF(Sheet!BO9=Sheet!BO$2,1,""))))</f>
        <v>2</v>
      </c>
      <c r="BP9" s="58">
        <f>IF(Sheet!BP9=Sheet!BP$2,4,IF(Sheet!BQ9=Sheet!BQ$2,3,IF(Sheet!BR9=Sheet!BR$2,2,IF(Sheet!BS9=Sheet!BS$2,1,""))))</f>
        <v>2</v>
      </c>
      <c r="BT9" s="58">
        <f>IF(Sheet!BT9=Sheet!BT$2,4,IF(Sheet!BU9=Sheet!BU$2,3,IF(Sheet!BV9=Sheet!BV$2,2,IF(Sheet!BW9=Sheet!BW$2,1,""))))</f>
        <v>3</v>
      </c>
      <c r="BX9" s="58">
        <f>IF(Sheet!BX9=Sheet!BX$2,4,IF(Sheet!BY9=Sheet!BY$2,3,IF(Sheet!BZ9=Sheet!BZ$2,2,IF(Sheet!CA9=Sheet!CA$2,1,""))))</f>
        <v>3</v>
      </c>
      <c r="CB9" s="58">
        <f>IF(Sheet!CB9=Sheet!CB$2,4,IF(Sheet!CC9=Sheet!CC$2,3,IF(Sheet!CD9=Sheet!CD$2,2,IF(Sheet!CE9=Sheet!CE$2,1,""))))</f>
        <v>3</v>
      </c>
      <c r="CF9" s="58">
        <f>IF(Sheet!CF9=Sheet!CF$2,4,IF(Sheet!CG9=Sheet!CG$2,3,IF(Sheet!CH9=Sheet!CH$2,2,IF(Sheet!CI9=Sheet!CI$2,1,""))))</f>
        <v>2</v>
      </c>
      <c r="CJ9" s="58">
        <f>IF(Sheet!CJ9=Sheet!CJ$2,4,IF(Sheet!CK9=Sheet!CK$2,3,IF(Sheet!CL9=Sheet!CL$2,2,IF(Sheet!CM9=Sheet!CM$2,1,""))))</f>
        <v>2</v>
      </c>
      <c r="CN9" s="58">
        <f>IF(Sheet!CN9=Sheet!CN$2,4,IF(Sheet!CO9=Sheet!CO$2,3,IF(Sheet!CP9=Sheet!CP$2,2,IF(Sheet!CQ9=Sheet!CQ$2,1,""))))</f>
        <v>2</v>
      </c>
      <c r="CR9" s="58">
        <f>IF(Sheet!CR9=Sheet!CR$2,4,IF(Sheet!CS9=Sheet!CS$2,3,IF(Sheet!CT9=Sheet!CT$2,2,IF(Sheet!CU9=Sheet!CU$2,1,""))))</f>
        <v>2</v>
      </c>
      <c r="CV9" s="58">
        <f>IF(Sheet!CV9=Sheet!CV$2,4,IF(Sheet!CW9=Sheet!CW$2,3,IF(Sheet!CX9=Sheet!CX$2,2,IF(Sheet!CY9=Sheet!CY$2,1,""))))</f>
        <v>2</v>
      </c>
      <c r="CZ9" s="58">
        <f>IF(Sheet!CZ9=Sheet!CZ$2,4,IF(Sheet!DA9=Sheet!DA$2,3,IF(Sheet!DB9=Sheet!DB$2,2,IF(Sheet!DC9=Sheet!DC$2,1,""))))</f>
        <v>2</v>
      </c>
      <c r="DD9" s="58">
        <f>IF(Sheet!DD9=Sheet!DD$2,4,IF(Sheet!DE9=Sheet!DE$2,3,IF(Sheet!DF9=Sheet!DF$2,2,IF(Sheet!DG9=Sheet!DG$2,1,""))))</f>
        <v>4</v>
      </c>
      <c r="DH9" s="58">
        <f>IF(Sheet!DH9=Sheet!DH$2,4,IF(Sheet!DI9=Sheet!DI$2,3,IF(Sheet!DJ9=Sheet!DJ$2,2,IF(Sheet!DK9=Sheet!DK$2,1,""))))</f>
        <v>2</v>
      </c>
      <c r="DL9" s="58">
        <f>IF(Sheet!DL9=Sheet!DL$2,4,IF(Sheet!DM9=Sheet!DM$2,3,IF(Sheet!DN9=Sheet!DN$2,2,IF(Sheet!DO9=Sheet!DO$2,1,""))))</f>
        <v>3</v>
      </c>
      <c r="DP9" s="58">
        <f>IF(Sheet!DP9=Sheet!DP$2,4,IF(Sheet!DQ9=Sheet!DQ$2,3,IF(Sheet!DR9=Sheet!DR$2,2,IF(Sheet!DS9=Sheet!DS$2,1,""))))</f>
        <v>3</v>
      </c>
      <c r="DT9" s="58">
        <f>IF(Sheet!DT9=Sheet!DT$2,4,IF(Sheet!DU9=Sheet!DU$2,3,IF(Sheet!DV9=Sheet!DV$2,2,IF(Sheet!DW9=Sheet!DW$2,1,""))))</f>
        <v>3</v>
      </c>
      <c r="DX9" s="58">
        <f>IF(Sheet!DX9=Sheet!DX$2,4,IF(Sheet!DY9=Sheet!DY$2,3,IF(Sheet!DZ9=Sheet!DZ$2,2,IF(Sheet!EA9=Sheet!EA$2,1,""))))</f>
        <v>2</v>
      </c>
      <c r="EB9" s="58">
        <f>IF(Sheet!EB9=Sheet!EB$2,4,IF(Sheet!EC9=Sheet!EC$2,3,IF(Sheet!ED9=Sheet!ED$2,2,IF(Sheet!EE9=Sheet!EE$2,1,""))))</f>
        <v>2</v>
      </c>
      <c r="EF9" s="58">
        <f>IF(Sheet!EF9=Sheet!EF$2,4,IF(Sheet!EG9=Sheet!EG$2,3,IF(Sheet!EH9=Sheet!EH$2,2,IF(Sheet!EI9=Sheet!EI$2,1,""))))</f>
        <v>1</v>
      </c>
      <c r="EJ9" s="58">
        <f>IF(Sheet!EJ9=Sheet!EJ$2,4,IF(Sheet!EK9=Sheet!EK$2,3,IF(Sheet!EL9=Sheet!EL$2,2,IF(Sheet!EM9=Sheet!EM$2,1,""))))</f>
        <v>1</v>
      </c>
      <c r="EN9" s="58">
        <f>IF(Sheet!EN9=Sheet!EN$2,4,IF(Sheet!EO9=Sheet!EO$2,3,IF(Sheet!EP9=Sheet!EP$2,2,IF(Sheet!EQ9=Sheet!EQ$2,1,""))))</f>
        <v>2</v>
      </c>
      <c r="ER9" s="58">
        <f>IF(Sheet!ER9=Sheet!ER$2,4,IF(Sheet!ES9=Sheet!ES$2,3,IF(Sheet!ET9=Sheet!ET$2,2,IF(Sheet!EU9=Sheet!EU$2,1,""))))</f>
        <v>3</v>
      </c>
      <c r="EV9" s="58">
        <f>IF(Sheet!EV9=Sheet!EV$2,4,IF(Sheet!EW9=Sheet!EW$2,3,IF(Sheet!EX9=Sheet!EX$2,2,IF(Sheet!EY9=Sheet!EY$2,1,""))))</f>
        <v>3</v>
      </c>
      <c r="EZ9" s="58">
        <f>IF(Sheet!EZ9=Sheet!EZ$2,4,IF(Sheet!FA9=Sheet!FA$2,3,IF(Sheet!FB9=Sheet!FB$2,2,IF(Sheet!FC9=Sheet!FC$2,1,""))))</f>
        <v>2</v>
      </c>
      <c r="FD9" s="58">
        <f>IF(Sheet!FD9=Sheet!FD$2,4,IF(Sheet!FE9=Sheet!FE$2,3,IF(Sheet!FF9=Sheet!FF$2,2,IF(Sheet!FG9=Sheet!FG$2,1,""))))</f>
        <v>1</v>
      </c>
      <c r="FH9" s="58">
        <f>IF(Sheet!FH9=Sheet!FH$2,4,IF(Sheet!FI9=Sheet!FI$2,3,IF(Sheet!FJ9=Sheet!FJ$2,2,IF(Sheet!FK9=Sheet!FK$2,1,""))))</f>
        <v>4</v>
      </c>
      <c r="FL9" s="58">
        <f>IF(Sheet!FL9=Sheet!FL$2,4,IF(Sheet!FM9=Sheet!FM$2,3,IF(Sheet!FN9=Sheet!FN$2,2,IF(Sheet!FO9=Sheet!FO$2,1,""))))</f>
        <v>2</v>
      </c>
      <c r="FM9">
        <f>COUNTIF(FL$3:FL$69,"&lt;=1")</f>
        <v>5</v>
      </c>
    </row>
    <row r="10" spans="1:171">
      <c r="A10" t="str">
        <f>Sheet!A10</f>
        <v>MF001</v>
      </c>
      <c r="E10" t="s">
        <v>26</v>
      </c>
      <c r="G10">
        <v>34</v>
      </c>
      <c r="AT10" s="56">
        <f t="shared" si="0"/>
        <v>1.8934802571166207</v>
      </c>
      <c r="AV10" s="58">
        <f>IF(Sheet!AV10=Sheet!AV$2,4,IF(Sheet!AW10=Sheet!AW$2,3,IF(Sheet!AX10=Sheet!AX$2,2,IF(Sheet!AY10=Sheet!AY$2,1,""))))</f>
        <v>2</v>
      </c>
      <c r="AW10" s="9">
        <f>AW9/66</f>
        <v>0.25757575757575757</v>
      </c>
      <c r="AZ10" s="58">
        <f>IF(Sheet!AZ10=Sheet!AZ$2,4,IF(Sheet!BA10=Sheet!BA$2,3,IF(Sheet!BB10=Sheet!BB$2,2,IF(Sheet!BC10=Sheet!BC$2,1,""))))</f>
        <v>1</v>
      </c>
      <c r="BA10" s="9">
        <f>BA9/66</f>
        <v>0.22727272727272727</v>
      </c>
      <c r="BD10" s="58">
        <f>IF(Sheet!BD10=Sheet!BD$2,4,IF(Sheet!BE10=Sheet!BE$2,3,IF(Sheet!BF10=Sheet!BF$2,2,IF(Sheet!BG10=Sheet!BG$2,1,""))))</f>
        <v>1</v>
      </c>
      <c r="BH10" s="58">
        <f>IF(Sheet!BH10=Sheet!BH$2,4,IF(Sheet!BI10=Sheet!BI$2,3,IF(Sheet!BJ10=Sheet!BJ$2,2,IF(Sheet!BK10=Sheet!BK$2,1,""))))</f>
        <v>2</v>
      </c>
      <c r="BL10" s="58">
        <f>IF(Sheet!BL10=Sheet!BL$2,4,IF(Sheet!BM10=Sheet!BM$2,3,IF(Sheet!BN10=Sheet!BN$2,2,IF(Sheet!BO10=Sheet!BO$2,1,""))))</f>
        <v>2</v>
      </c>
      <c r="BP10" s="58">
        <f>IF(Sheet!BP10=Sheet!BP$2,4,IF(Sheet!BQ10=Sheet!BQ$2,3,IF(Sheet!BR10=Sheet!BR$2,2,IF(Sheet!BS10=Sheet!BS$2,1,""))))</f>
        <v>2</v>
      </c>
      <c r="BT10" s="58">
        <f>IF(Sheet!BT10=Sheet!BT$2,4,IF(Sheet!BU10=Sheet!BU$2,3,IF(Sheet!BV10=Sheet!BV$2,2,IF(Sheet!BW10=Sheet!BW$2,1,""))))</f>
        <v>1</v>
      </c>
      <c r="BX10" s="58">
        <f>IF(Sheet!BX10=Sheet!BX$2,4,IF(Sheet!BY10=Sheet!BY$2,3,IF(Sheet!BZ10=Sheet!BZ$2,2,IF(Sheet!CA10=Sheet!CA$2,1,""))))</f>
        <v>2</v>
      </c>
      <c r="CB10" s="58">
        <f>IF(Sheet!CB10=Sheet!CB$2,4,IF(Sheet!CC10=Sheet!CC$2,3,IF(Sheet!CD10=Sheet!CD$2,2,IF(Sheet!CE10=Sheet!CE$2,1,""))))</f>
        <v>1</v>
      </c>
      <c r="CF10" s="58">
        <f>IF(Sheet!CF10=Sheet!CF$2,4,IF(Sheet!CG10=Sheet!CG$2,3,IF(Sheet!CH10=Sheet!CH$2,2,IF(Sheet!CI10=Sheet!CI$2,1,""))))</f>
        <v>1</v>
      </c>
      <c r="CJ10" s="58">
        <f>IF(Sheet!CJ10=Sheet!CJ$2,4,IF(Sheet!CK10=Sheet!CK$2,3,IF(Sheet!CL10=Sheet!CL$2,2,IF(Sheet!CM10=Sheet!CM$2,1,""))))</f>
        <v>2</v>
      </c>
      <c r="CN10" s="58">
        <f>IF(Sheet!CN10=Sheet!CN$2,4,IF(Sheet!CO10=Sheet!CO$2,3,IF(Sheet!CP10=Sheet!CP$2,2,IF(Sheet!CQ10=Sheet!CQ$2,1,""))))</f>
        <v>3</v>
      </c>
      <c r="CR10" s="58">
        <f>IF(Sheet!CR10=Sheet!CR$2,4,IF(Sheet!CS10=Sheet!CS$2,3,IF(Sheet!CT10=Sheet!CT$2,2,IF(Sheet!CU10=Sheet!CU$2,1,""))))</f>
        <v>3</v>
      </c>
      <c r="CV10" s="58">
        <f>IF(Sheet!CV10=Sheet!CV$2,4,IF(Sheet!CW10=Sheet!CW$2,3,IF(Sheet!CX10=Sheet!CX$2,2,IF(Sheet!CY10=Sheet!CY$2,1,""))))</f>
        <v>2</v>
      </c>
      <c r="CZ10" s="58">
        <f>IF(Sheet!CZ10=Sheet!CZ$2,4,IF(Sheet!DA10=Sheet!DA$2,3,IF(Sheet!DB10=Sheet!DB$2,2,IF(Sheet!DC10=Sheet!DC$2,1,""))))</f>
        <v>2</v>
      </c>
      <c r="DD10" s="58">
        <f>IF(Sheet!DD10=Sheet!DD$2,4,IF(Sheet!DE10=Sheet!DE$2,3,IF(Sheet!DF10=Sheet!DF$2,2,IF(Sheet!DG10=Sheet!DG$2,1,""))))</f>
        <v>4</v>
      </c>
      <c r="DH10" s="58">
        <f>IF(Sheet!DH10=Sheet!DH$2,4,IF(Sheet!DI10=Sheet!DI$2,3,IF(Sheet!DJ10=Sheet!DJ$2,2,IF(Sheet!DK10=Sheet!DK$2,1,""))))</f>
        <v>3</v>
      </c>
      <c r="DL10" s="58">
        <f>IF(Sheet!DL10=Sheet!DL$2,4,IF(Sheet!DM10=Sheet!DM$2,3,IF(Sheet!DN10=Sheet!DN$2,2,IF(Sheet!DO10=Sheet!DO$2,1,""))))</f>
        <v>3</v>
      </c>
      <c r="DP10" s="58">
        <f>IF(Sheet!DP10=Sheet!DP$2,4,IF(Sheet!DQ10=Sheet!DQ$2,3,IF(Sheet!DR10=Sheet!DR$2,2,IF(Sheet!DS10=Sheet!DS$2,1,""))))</f>
        <v>2</v>
      </c>
      <c r="DT10" s="58">
        <f>IF(Sheet!DT10=Sheet!DT$2,4,IF(Sheet!DU10=Sheet!DU$2,3,IF(Sheet!DV10=Sheet!DV$2,2,IF(Sheet!DW10=Sheet!DW$2,1,""))))</f>
        <v>2</v>
      </c>
      <c r="DX10" s="58">
        <f>IF(Sheet!DX10=Sheet!DX$2,4,IF(Sheet!DY10=Sheet!DY$2,3,IF(Sheet!DZ10=Sheet!DZ$2,2,IF(Sheet!EA10=Sheet!EA$2,1,""))))</f>
        <v>1</v>
      </c>
      <c r="EB10" s="58">
        <f>IF(Sheet!EB10=Sheet!EB$2,4,IF(Sheet!EC10=Sheet!EC$2,3,IF(Sheet!ED10=Sheet!ED$2,2,IF(Sheet!EE10=Sheet!EE$2,1,""))))</f>
        <v>1</v>
      </c>
      <c r="EF10" s="58">
        <f>IF(Sheet!EF10=Sheet!EF$2,4,IF(Sheet!EG10=Sheet!EG$2,3,IF(Sheet!EH10=Sheet!EH$2,2,IF(Sheet!EI10=Sheet!EI$2,1,""))))</f>
        <v>1</v>
      </c>
      <c r="EJ10" s="58">
        <f>IF(Sheet!EJ10=Sheet!EJ$2,4,IF(Sheet!EK10=Sheet!EK$2,3,IF(Sheet!EL10=Sheet!EL$2,2,IF(Sheet!EM10=Sheet!EM$2,1,""))))</f>
        <v>2</v>
      </c>
      <c r="EN10" s="58">
        <f>IF(Sheet!EN10=Sheet!EN$2,4,IF(Sheet!EO10=Sheet!EO$2,3,IF(Sheet!EP10=Sheet!EP$2,2,IF(Sheet!EQ10=Sheet!EQ$2,1,""))))</f>
        <v>1</v>
      </c>
      <c r="ER10" s="58">
        <f>IF(Sheet!ER10=Sheet!ER$2,4,IF(Sheet!ES10=Sheet!ES$2,3,IF(Sheet!ET10=Sheet!ET$2,2,IF(Sheet!EU10=Sheet!EU$2,1,""))))</f>
        <v>1</v>
      </c>
      <c r="EV10" s="58">
        <f>IF(Sheet!EV10=Sheet!EV$2,4,IF(Sheet!EW10=Sheet!EW$2,3,IF(Sheet!EX10=Sheet!EX$2,2,IF(Sheet!EY10=Sheet!EY$2,1,""))))</f>
        <v>3</v>
      </c>
      <c r="EZ10" s="58">
        <f>IF(Sheet!EZ10=Sheet!EZ$2,4,IF(Sheet!FA10=Sheet!FA$2,3,IF(Sheet!FB10=Sheet!FB$2,2,IF(Sheet!FC10=Sheet!FC$2,1,""))))</f>
        <v>2</v>
      </c>
      <c r="FD10" s="58">
        <f>IF(Sheet!FD10=Sheet!FD$2,4,IF(Sheet!FE10=Sheet!FE$2,3,IF(Sheet!FF10=Sheet!FF$2,2,IF(Sheet!FG10=Sheet!FG$2,1,""))))</f>
        <v>1</v>
      </c>
      <c r="FH10" s="58">
        <f>IF(Sheet!FH10=Sheet!FH$2,4,IF(Sheet!FI10=Sheet!FI$2,3,IF(Sheet!FJ10=Sheet!FJ$2,2,IF(Sheet!FK10=Sheet!FK$2,1,""))))</f>
        <v>4</v>
      </c>
      <c r="FL10" s="58">
        <f>IF(Sheet!FL10=Sheet!FL$2,4,IF(Sheet!FM10=Sheet!FM$2,3,IF(Sheet!FN10=Sheet!FN$2,2,IF(Sheet!FO10=Sheet!FO$2,1,""))))</f>
        <v>4</v>
      </c>
      <c r="FM10" s="9">
        <f>FM9/66</f>
        <v>7.575757575757576E-2</v>
      </c>
    </row>
    <row r="11" spans="1:171">
      <c r="A11" t="str">
        <f>Sheet!A11</f>
        <v>MU001</v>
      </c>
      <c r="E11" t="s">
        <v>27</v>
      </c>
      <c r="G11">
        <v>20</v>
      </c>
      <c r="AT11" s="56">
        <f t="shared" si="0"/>
        <v>1.7419354838709677</v>
      </c>
      <c r="AV11" s="58">
        <f>IF(Sheet!AV11=Sheet!AV$2,4,IF(Sheet!AW11=Sheet!AW$2,3,IF(Sheet!AX11=Sheet!AX$2,2,IF(Sheet!AY11=Sheet!AY$2,1,""))))</f>
        <v>2</v>
      </c>
      <c r="AZ11" s="58">
        <f>IF(Sheet!AZ11=Sheet!AZ$2,4,IF(Sheet!BA11=Sheet!BA$2,3,IF(Sheet!BB11=Sheet!BB$2,2,IF(Sheet!BC11=Sheet!BC$2,1,""))))</f>
        <v>2</v>
      </c>
      <c r="BD11" s="58">
        <f>IF(Sheet!BD11=Sheet!BD$2,4,IF(Sheet!BE11=Sheet!BE$2,3,IF(Sheet!BF11=Sheet!BF$2,2,IF(Sheet!BG11=Sheet!BG$2,1,""))))</f>
        <v>3</v>
      </c>
      <c r="BH11" s="58">
        <f>IF(Sheet!BH11=Sheet!BH$2,4,IF(Sheet!BI11=Sheet!BI$2,3,IF(Sheet!BJ11=Sheet!BJ$2,2,IF(Sheet!BK11=Sheet!BK$2,1,""))))</f>
        <v>2</v>
      </c>
      <c r="BL11" s="58">
        <f>IF(Sheet!BL11=Sheet!BL$2,4,IF(Sheet!BM11=Sheet!BM$2,3,IF(Sheet!BN11=Sheet!BN$2,2,IF(Sheet!BO11=Sheet!BO$2,1,""))))</f>
        <v>2</v>
      </c>
      <c r="BP11" s="58">
        <f>IF(Sheet!BP11=Sheet!BP$2,4,IF(Sheet!BQ11=Sheet!BQ$2,3,IF(Sheet!BR11=Sheet!BR$2,2,IF(Sheet!BS11=Sheet!BS$2,1,""))))</f>
        <v>2</v>
      </c>
      <c r="BT11" s="58">
        <f>IF(Sheet!BT11=Sheet!BT$2,4,IF(Sheet!BU11=Sheet!BU$2,3,IF(Sheet!BV11=Sheet!BV$2,2,IF(Sheet!BW11=Sheet!BW$2,1,""))))</f>
        <v>1</v>
      </c>
      <c r="BX11" s="58">
        <f>IF(Sheet!BX11=Sheet!BX$2,4,IF(Sheet!BY11=Sheet!BY$2,3,IF(Sheet!BZ11=Sheet!BZ$2,2,IF(Sheet!CA11=Sheet!CA$2,1,""))))</f>
        <v>2</v>
      </c>
      <c r="CB11" s="58">
        <f>IF(Sheet!CB11=Sheet!CB$2,4,IF(Sheet!CC11=Sheet!CC$2,3,IF(Sheet!CD11=Sheet!CD$2,2,IF(Sheet!CE11=Sheet!CE$2,1,""))))</f>
        <v>2</v>
      </c>
      <c r="CF11" s="58">
        <f>IF(Sheet!CF11=Sheet!CF$2,4,IF(Sheet!CG11=Sheet!CG$2,3,IF(Sheet!CH11=Sheet!CH$2,2,IF(Sheet!CI11=Sheet!CI$2,1,""))))</f>
        <v>3</v>
      </c>
      <c r="CJ11" s="58">
        <f>IF(Sheet!CJ11=Sheet!CJ$2,4,IF(Sheet!CK11=Sheet!CK$2,3,IF(Sheet!CL11=Sheet!CL$2,2,IF(Sheet!CM11=Sheet!CM$2,1,""))))</f>
        <v>2</v>
      </c>
      <c r="CN11" s="58">
        <f>IF(Sheet!CN11=Sheet!CN$2,4,IF(Sheet!CO11=Sheet!CO$2,3,IF(Sheet!CP11=Sheet!CP$2,2,IF(Sheet!CQ11=Sheet!CQ$2,1,""))))</f>
        <v>1</v>
      </c>
      <c r="CR11" s="58">
        <f>IF(Sheet!CR11=Sheet!CR$2,4,IF(Sheet!CS11=Sheet!CS$2,3,IF(Sheet!CT11=Sheet!CT$2,2,IF(Sheet!CU11=Sheet!CU$2,1,""))))</f>
        <v>1</v>
      </c>
      <c r="CV11" s="58">
        <f>IF(Sheet!CV11=Sheet!CV$2,4,IF(Sheet!CW11=Sheet!CW$2,3,IF(Sheet!CX11=Sheet!CX$2,2,IF(Sheet!CY11=Sheet!CY$2,1,""))))</f>
        <v>1</v>
      </c>
      <c r="CZ11" s="58">
        <f>IF(Sheet!CZ11=Sheet!CZ$2,4,IF(Sheet!DA11=Sheet!DA$2,3,IF(Sheet!DB11=Sheet!DB$2,2,IF(Sheet!DC11=Sheet!DC$2,1,""))))</f>
        <v>1</v>
      </c>
      <c r="DD11" s="58">
        <f>IF(Sheet!DD11=Sheet!DD$2,4,IF(Sheet!DE11=Sheet!DE$2,3,IF(Sheet!DF11=Sheet!DF$2,2,IF(Sheet!DG11=Sheet!DG$2,1,""))))</f>
        <v>1</v>
      </c>
      <c r="DH11" s="58">
        <f>IF(Sheet!DH11=Sheet!DH$2,4,IF(Sheet!DI11=Sheet!DI$2,3,IF(Sheet!DJ11=Sheet!DJ$2,2,IF(Sheet!DK11=Sheet!DK$2,1,""))))</f>
        <v>1</v>
      </c>
      <c r="DL11" s="58">
        <f>IF(Sheet!DL11=Sheet!DL$2,4,IF(Sheet!DM11=Sheet!DM$2,3,IF(Sheet!DN11=Sheet!DN$2,2,IF(Sheet!DO11=Sheet!DO$2,1,""))))</f>
        <v>3</v>
      </c>
      <c r="DP11" s="58">
        <f>IF(Sheet!DP11=Sheet!DP$2,4,IF(Sheet!DQ11=Sheet!DQ$2,3,IF(Sheet!DR11=Sheet!DR$2,2,IF(Sheet!DS11=Sheet!DS$2,1,""))))</f>
        <v>2</v>
      </c>
      <c r="DT11" s="58">
        <f>IF(Sheet!DT11=Sheet!DT$2,4,IF(Sheet!DU11=Sheet!DU$2,3,IF(Sheet!DV11=Sheet!DV$2,2,IF(Sheet!DW11=Sheet!DW$2,1,""))))</f>
        <v>2</v>
      </c>
      <c r="DX11" s="58">
        <f>IF(Sheet!DX11=Sheet!DX$2,4,IF(Sheet!DY11=Sheet!DY$2,3,IF(Sheet!DZ11=Sheet!DZ$2,2,IF(Sheet!EA11=Sheet!EA$2,1,""))))</f>
        <v>1</v>
      </c>
      <c r="EB11" s="58">
        <f>IF(Sheet!EB11=Sheet!EB$2,4,IF(Sheet!EC11=Sheet!EC$2,3,IF(Sheet!ED11=Sheet!ED$2,2,IF(Sheet!EE11=Sheet!EE$2,1,""))))</f>
        <v>2</v>
      </c>
      <c r="EF11" s="58">
        <f>IF(Sheet!EF11=Sheet!EF$2,4,IF(Sheet!EG11=Sheet!EG$2,3,IF(Sheet!EH11=Sheet!EH$2,2,IF(Sheet!EI11=Sheet!EI$2,1,""))))</f>
        <v>1</v>
      </c>
      <c r="EJ11" s="58">
        <f>IF(Sheet!EJ11=Sheet!EJ$2,4,IF(Sheet!EK11=Sheet!EK$2,3,IF(Sheet!EL11=Sheet!EL$2,2,IF(Sheet!EM11=Sheet!EM$2,1,""))))</f>
        <v>1</v>
      </c>
      <c r="EN11" s="58">
        <f>IF(Sheet!EN11=Sheet!EN$2,4,IF(Sheet!EO11=Sheet!EO$2,3,IF(Sheet!EP11=Sheet!EP$2,2,IF(Sheet!EQ11=Sheet!EQ$2,1,""))))</f>
        <v>2</v>
      </c>
      <c r="ER11" s="58">
        <f>IF(Sheet!ER11=Sheet!ER$2,4,IF(Sheet!ES11=Sheet!ES$2,3,IF(Sheet!ET11=Sheet!ET$2,2,IF(Sheet!EU11=Sheet!EU$2,1,""))))</f>
        <v>2</v>
      </c>
      <c r="EV11" s="58">
        <f>IF(Sheet!EV11=Sheet!EV$2,4,IF(Sheet!EW11=Sheet!EW$2,3,IF(Sheet!EX11=Sheet!EX$2,2,IF(Sheet!EY11=Sheet!EY$2,1,""))))</f>
        <v>1</v>
      </c>
      <c r="EZ11" s="58">
        <f>IF(Sheet!EZ11=Sheet!EZ$2,4,IF(Sheet!FA11=Sheet!FA$2,3,IF(Sheet!FB11=Sheet!FB$2,2,IF(Sheet!FC11=Sheet!FC$2,1,""))))</f>
        <v>2</v>
      </c>
      <c r="FD11" s="58">
        <f>IF(Sheet!FD11=Sheet!FD$2,4,IF(Sheet!FE11=Sheet!FE$2,3,IF(Sheet!FF11=Sheet!FF$2,2,IF(Sheet!FG11=Sheet!FG$2,1,""))))</f>
        <v>2</v>
      </c>
      <c r="FH11" s="58">
        <f>IF(Sheet!FH11=Sheet!FH$2,4,IF(Sheet!FI11=Sheet!FI$2,3,IF(Sheet!FJ11=Sheet!FJ$2,2,IF(Sheet!FK11=Sheet!FK$2,1,""))))</f>
        <v>3</v>
      </c>
      <c r="FL11" s="58">
        <f>IF(Sheet!FL11=Sheet!FL$2,4,IF(Sheet!FM11=Sheet!FM$2,3,IF(Sheet!FN11=Sheet!FN$2,2,IF(Sheet!FO11=Sheet!FO$2,1,""))))</f>
        <v>1</v>
      </c>
    </row>
    <row r="12" spans="1:171">
      <c r="A12" t="str">
        <f>Sheet!A12</f>
        <v>KU001</v>
      </c>
      <c r="E12" t="s">
        <v>28</v>
      </c>
      <c r="G12">
        <v>31</v>
      </c>
      <c r="AT12" s="56">
        <f t="shared" si="0"/>
        <v>2.5</v>
      </c>
      <c r="AV12" s="58">
        <f>IF(Sheet!AV12=Sheet!AV$2,4,IF(Sheet!AW12=Sheet!AW$2,3,IF(Sheet!AX12=Sheet!AX$2,2,IF(Sheet!AY12=Sheet!AY$2,1,""))))</f>
        <v>3</v>
      </c>
      <c r="AZ12" s="58">
        <f>IF(Sheet!AZ12=Sheet!AZ$2,4,IF(Sheet!BA12=Sheet!BA$2,3,IF(Sheet!BB12=Sheet!BB$2,2,IF(Sheet!BC12=Sheet!BC$2,1,""))))</f>
        <v>2</v>
      </c>
      <c r="BD12" s="58">
        <f>IF(Sheet!BD12=Sheet!BD$2,4,IF(Sheet!BE12=Sheet!BE$2,3,IF(Sheet!BF12=Sheet!BF$2,2,IF(Sheet!BG12=Sheet!BG$2,1,""))))</f>
        <v>3</v>
      </c>
      <c r="BH12" s="58">
        <f>IF(Sheet!BH12=Sheet!BH$2,4,IF(Sheet!BI12=Sheet!BI$2,3,IF(Sheet!BJ12=Sheet!BJ$2,2,IF(Sheet!BK12=Sheet!BK$2,1,""))))</f>
        <v>2</v>
      </c>
      <c r="BL12" s="58">
        <f>IF(Sheet!BL12=Sheet!BL$2,4,IF(Sheet!BM12=Sheet!BM$2,3,IF(Sheet!BN12=Sheet!BN$2,2,IF(Sheet!BO12=Sheet!BO$2,1,""))))</f>
        <v>1</v>
      </c>
      <c r="BP12" s="58">
        <f>IF(Sheet!BP12=Sheet!BP$2,4,IF(Sheet!BQ12=Sheet!BQ$2,3,IF(Sheet!BR12=Sheet!BR$2,2,IF(Sheet!BS12=Sheet!BS$2,1,""))))</f>
        <v>4</v>
      </c>
      <c r="BT12" s="58">
        <f>IF(Sheet!BT12=Sheet!BT$2,4,IF(Sheet!BU12=Sheet!BU$2,3,IF(Sheet!BV12=Sheet!BV$2,2,IF(Sheet!BW12=Sheet!BW$2,1,""))))</f>
        <v>3</v>
      </c>
      <c r="BX12" s="58">
        <f>IF(Sheet!BX12=Sheet!BX$2,4,IF(Sheet!BY12=Sheet!BY$2,3,IF(Sheet!BZ12=Sheet!BZ$2,2,IF(Sheet!CA12=Sheet!CA$2,1,""))))</f>
        <v>3</v>
      </c>
      <c r="CB12" s="58">
        <f>IF(Sheet!CB12=Sheet!CB$2,4,IF(Sheet!CC12=Sheet!CC$2,3,IF(Sheet!CD12=Sheet!CD$2,2,IF(Sheet!CE12=Sheet!CE$2,1,""))))</f>
        <v>2</v>
      </c>
      <c r="CF12" s="58">
        <f>IF(Sheet!CF12=Sheet!CF$2,4,IF(Sheet!CG12=Sheet!CG$2,3,IF(Sheet!CH12=Sheet!CH$2,2,IF(Sheet!CI12=Sheet!CI$2,1,""))))</f>
        <v>2</v>
      </c>
      <c r="CJ12" s="58">
        <f>IF(Sheet!CJ12=Sheet!CJ$2,4,IF(Sheet!CK12=Sheet!CK$2,3,IF(Sheet!CL12=Sheet!CL$2,2,IF(Sheet!CM12=Sheet!CM$2,1,""))))</f>
        <v>3</v>
      </c>
      <c r="CN12" s="58">
        <f>IF(Sheet!CN12=Sheet!CN$2,4,IF(Sheet!CO12=Sheet!CO$2,3,IF(Sheet!CP12=Sheet!CP$2,2,IF(Sheet!CQ12=Sheet!CQ$2,1,""))))</f>
        <v>4</v>
      </c>
      <c r="CR12" s="58">
        <f>IF(Sheet!CR12=Sheet!CR$2,4,IF(Sheet!CS12=Sheet!CS$2,3,IF(Sheet!CT12=Sheet!CT$2,2,IF(Sheet!CU12=Sheet!CU$2,1,""))))</f>
        <v>4</v>
      </c>
      <c r="CV12" s="58" t="str">
        <f>IF(Sheet!CV12=Sheet!CV$2,4,IF(Sheet!CW12=Sheet!CW$2,3,IF(Sheet!CX12=Sheet!CX$2,2,IF(Sheet!CY12=Sheet!CY$2,1,""))))</f>
        <v/>
      </c>
      <c r="CZ12" s="58" t="str">
        <f>IF(Sheet!CZ12=Sheet!CZ$2,4,IF(Sheet!DA12=Sheet!DA$2,3,IF(Sheet!DB12=Sheet!DB$2,2,IF(Sheet!DC12=Sheet!DC$2,1,""))))</f>
        <v/>
      </c>
      <c r="DD12" s="58">
        <f>IF(Sheet!DD12=Sheet!DD$2,4,IF(Sheet!DE12=Sheet!DE$2,3,IF(Sheet!DF12=Sheet!DF$2,2,IF(Sheet!DG12=Sheet!DG$2,1,""))))</f>
        <v>3</v>
      </c>
      <c r="DH12" s="58">
        <f>IF(Sheet!DH12=Sheet!DH$2,4,IF(Sheet!DI12=Sheet!DI$2,3,IF(Sheet!DJ12=Sheet!DJ$2,2,IF(Sheet!DK12=Sheet!DK$2,1,""))))</f>
        <v>3</v>
      </c>
      <c r="DL12" s="58">
        <f>IF(Sheet!DL12=Sheet!DL$2,4,IF(Sheet!DM12=Sheet!DM$2,3,IF(Sheet!DN12=Sheet!DN$2,2,IF(Sheet!DO12=Sheet!DO$2,1,""))))</f>
        <v>3</v>
      </c>
      <c r="DP12" s="58">
        <f>IF(Sheet!DP12=Sheet!DP$2,4,IF(Sheet!DQ12=Sheet!DQ$2,3,IF(Sheet!DR12=Sheet!DR$2,2,IF(Sheet!DS12=Sheet!DS$2,1,""))))</f>
        <v>3</v>
      </c>
      <c r="DT12" s="58">
        <f>IF(Sheet!DT12=Sheet!DT$2,4,IF(Sheet!DU12=Sheet!DU$2,3,IF(Sheet!DV12=Sheet!DV$2,2,IF(Sheet!DW12=Sheet!DW$2,1,""))))</f>
        <v>3</v>
      </c>
      <c r="DX12" s="58">
        <f>IF(Sheet!DX12=Sheet!DX$2,4,IF(Sheet!DY12=Sheet!DY$2,3,IF(Sheet!DZ12=Sheet!DZ$2,2,IF(Sheet!EA12=Sheet!EA$2,1,""))))</f>
        <v>1</v>
      </c>
      <c r="EB12" s="58" t="str">
        <f>IF(Sheet!EB12=Sheet!EB$2,4,IF(Sheet!EC12=Sheet!EC$2,3,IF(Sheet!ED12=Sheet!ED$2,2,IF(Sheet!EE12=Sheet!EE$2,1,""))))</f>
        <v/>
      </c>
      <c r="EF12" s="58">
        <f>IF(Sheet!EF12=Sheet!EF$2,4,IF(Sheet!EG12=Sheet!EG$2,3,IF(Sheet!EH12=Sheet!EH$2,2,IF(Sheet!EI12=Sheet!EI$2,1,""))))</f>
        <v>1</v>
      </c>
      <c r="EJ12" s="58">
        <f>IF(Sheet!EJ12=Sheet!EJ$2,4,IF(Sheet!EK12=Sheet!EK$2,3,IF(Sheet!EL12=Sheet!EL$2,2,IF(Sheet!EM12=Sheet!EM$2,1,""))))</f>
        <v>1</v>
      </c>
      <c r="EN12" s="58">
        <f>IF(Sheet!EN12=Sheet!EN$2,4,IF(Sheet!EO12=Sheet!EO$2,3,IF(Sheet!EP12=Sheet!EP$2,2,IF(Sheet!EQ12=Sheet!EQ$2,1,""))))</f>
        <v>2</v>
      </c>
      <c r="ER12" s="58">
        <f>IF(Sheet!ER12=Sheet!ER$2,4,IF(Sheet!ES12=Sheet!ES$2,3,IF(Sheet!ET12=Sheet!ET$2,2,IF(Sheet!EU12=Sheet!EU$2,1,""))))</f>
        <v>4</v>
      </c>
      <c r="EV12" s="58">
        <f>IF(Sheet!EV12=Sheet!EV$2,4,IF(Sheet!EW12=Sheet!EW$2,3,IF(Sheet!EX12=Sheet!EX$2,2,IF(Sheet!EY12=Sheet!EY$2,1,""))))</f>
        <v>2</v>
      </c>
      <c r="EZ12" s="58">
        <f>IF(Sheet!EZ12=Sheet!EZ$2,4,IF(Sheet!FA12=Sheet!FA$2,3,IF(Sheet!FB12=Sheet!FB$2,2,IF(Sheet!FC12=Sheet!FC$2,1,""))))</f>
        <v>3</v>
      </c>
      <c r="FD12" s="58">
        <f>IF(Sheet!FD12=Sheet!FD$2,4,IF(Sheet!FE12=Sheet!FE$2,3,IF(Sheet!FF12=Sheet!FF$2,2,IF(Sheet!FG12=Sheet!FG$2,1,""))))</f>
        <v>3</v>
      </c>
      <c r="FH12" s="58">
        <f>IF(Sheet!FH12=Sheet!FH$2,4,IF(Sheet!FI12=Sheet!FI$2,3,IF(Sheet!FJ12=Sheet!FJ$2,2,IF(Sheet!FK12=Sheet!FK$2,1,""))))</f>
        <v>1</v>
      </c>
      <c r="FL12" s="58">
        <f>IF(Sheet!FL12=Sheet!FL$2,4,IF(Sheet!FM12=Sheet!FM$2,3,IF(Sheet!FN12=Sheet!FN$2,2,IF(Sheet!FO12=Sheet!FO$2,1,""))))</f>
        <v>1</v>
      </c>
    </row>
    <row r="13" spans="1:171">
      <c r="A13" t="str">
        <f>Sheet!A13</f>
        <v>OT001</v>
      </c>
      <c r="E13" t="s">
        <v>29</v>
      </c>
      <c r="G13">
        <v>43</v>
      </c>
      <c r="AT13" s="56">
        <f t="shared" si="0"/>
        <v>2.032258064516129</v>
      </c>
      <c r="AV13" s="58">
        <f>IF(Sheet!AV13=Sheet!AV$2,4,IF(Sheet!AW13=Sheet!AW$2,3,IF(Sheet!AX13=Sheet!AX$2,2,IF(Sheet!AY13=Sheet!AY$2,1,""))))</f>
        <v>1</v>
      </c>
      <c r="AW13" t="s">
        <v>559</v>
      </c>
      <c r="AZ13" s="58">
        <f>IF(Sheet!AZ13=Sheet!AZ$2,4,IF(Sheet!BA13=Sheet!BA$2,3,IF(Sheet!BB13=Sheet!BB$2,2,IF(Sheet!BC13=Sheet!BC$2,1,""))))</f>
        <v>1</v>
      </c>
      <c r="BD13" s="58">
        <f>IF(Sheet!BD13=Sheet!BD$2,4,IF(Sheet!BE13=Sheet!BE$2,3,IF(Sheet!BF13=Sheet!BF$2,2,IF(Sheet!BG13=Sheet!BG$2,1,""))))</f>
        <v>2</v>
      </c>
      <c r="BH13" s="58">
        <f>IF(Sheet!BH13=Sheet!BH$2,4,IF(Sheet!BI13=Sheet!BI$2,3,IF(Sheet!BJ13=Sheet!BJ$2,2,IF(Sheet!BK13=Sheet!BK$2,1,""))))</f>
        <v>3</v>
      </c>
      <c r="BL13" s="58">
        <f>IF(Sheet!BL13=Sheet!BL$2,4,IF(Sheet!BM13=Sheet!BM$2,3,IF(Sheet!BN13=Sheet!BN$2,2,IF(Sheet!BO13=Sheet!BO$2,1,""))))</f>
        <v>3</v>
      </c>
      <c r="BP13" s="58">
        <f>IF(Sheet!BP13=Sheet!BP$2,4,IF(Sheet!BQ13=Sheet!BQ$2,3,IF(Sheet!BR13=Sheet!BR$2,2,IF(Sheet!BS13=Sheet!BS$2,1,""))))</f>
        <v>1</v>
      </c>
      <c r="BT13" s="58">
        <f>IF(Sheet!BT13=Sheet!BT$2,4,IF(Sheet!BU13=Sheet!BU$2,3,IF(Sheet!BV13=Sheet!BV$2,2,IF(Sheet!BW13=Sheet!BW$2,1,""))))</f>
        <v>1</v>
      </c>
      <c r="BX13" s="58">
        <f>IF(Sheet!BX13=Sheet!BX$2,4,IF(Sheet!BY13=Sheet!BY$2,3,IF(Sheet!BZ13=Sheet!BZ$2,2,IF(Sheet!CA13=Sheet!CA$2,1,""))))</f>
        <v>1</v>
      </c>
      <c r="CB13" s="58">
        <f>IF(Sheet!CB13=Sheet!CB$2,4,IF(Sheet!CC13=Sheet!CC$2,3,IF(Sheet!CD13=Sheet!CD$2,2,IF(Sheet!CE13=Sheet!CE$2,1,""))))</f>
        <v>2</v>
      </c>
      <c r="CF13" s="58">
        <f>IF(Sheet!CF13=Sheet!CF$2,4,IF(Sheet!CG13=Sheet!CG$2,3,IF(Sheet!CH13=Sheet!CH$2,2,IF(Sheet!CI13=Sheet!CI$2,1,""))))</f>
        <v>1</v>
      </c>
      <c r="CJ13" s="58">
        <f>IF(Sheet!CJ13=Sheet!CJ$2,4,IF(Sheet!CK13=Sheet!CK$2,3,IF(Sheet!CL13=Sheet!CL$2,2,IF(Sheet!CM13=Sheet!CM$2,1,""))))</f>
        <v>1</v>
      </c>
      <c r="CN13" s="58">
        <f>IF(Sheet!CN13=Sheet!CN$2,4,IF(Sheet!CO13=Sheet!CO$2,3,IF(Sheet!CP13=Sheet!CP$2,2,IF(Sheet!CQ13=Sheet!CQ$2,1,""))))</f>
        <v>2</v>
      </c>
      <c r="CR13" s="58">
        <f>IF(Sheet!CR13=Sheet!CR$2,4,IF(Sheet!CS13=Sheet!CS$2,3,IF(Sheet!CT13=Sheet!CT$2,2,IF(Sheet!CU13=Sheet!CU$2,1,""))))</f>
        <v>4</v>
      </c>
      <c r="CV13" s="58">
        <f>IF(Sheet!CV13=Sheet!CV$2,4,IF(Sheet!CW13=Sheet!CW$2,3,IF(Sheet!CX13=Sheet!CX$2,2,IF(Sheet!CY13=Sheet!CY$2,1,""))))</f>
        <v>1</v>
      </c>
      <c r="CZ13" s="58">
        <f>IF(Sheet!CZ13=Sheet!CZ$2,4,IF(Sheet!DA13=Sheet!DA$2,3,IF(Sheet!DB13=Sheet!DB$2,2,IF(Sheet!DC13=Sheet!DC$2,1,""))))</f>
        <v>1</v>
      </c>
      <c r="DD13" s="58">
        <f>IF(Sheet!DD13=Sheet!DD$2,4,IF(Sheet!DE13=Sheet!DE$2,3,IF(Sheet!DF13=Sheet!DF$2,2,IF(Sheet!DG13=Sheet!DG$2,1,""))))</f>
        <v>3</v>
      </c>
      <c r="DH13" s="58">
        <f>IF(Sheet!DH13=Sheet!DH$2,4,IF(Sheet!DI13=Sheet!DI$2,3,IF(Sheet!DJ13=Sheet!DJ$2,2,IF(Sheet!DK13=Sheet!DK$2,1,""))))</f>
        <v>4</v>
      </c>
      <c r="DL13" s="58">
        <f>IF(Sheet!DL13=Sheet!DL$2,4,IF(Sheet!DM13=Sheet!DM$2,3,IF(Sheet!DN13=Sheet!DN$2,2,IF(Sheet!DO13=Sheet!DO$2,1,""))))</f>
        <v>3</v>
      </c>
      <c r="DP13" s="58">
        <f>IF(Sheet!DP13=Sheet!DP$2,4,IF(Sheet!DQ13=Sheet!DQ$2,3,IF(Sheet!DR13=Sheet!DR$2,2,IF(Sheet!DS13=Sheet!DS$2,1,""))))</f>
        <v>4</v>
      </c>
      <c r="DT13" s="58">
        <f>IF(Sheet!DT13=Sheet!DT$2,4,IF(Sheet!DU13=Sheet!DU$2,3,IF(Sheet!DV13=Sheet!DV$2,2,IF(Sheet!DW13=Sheet!DW$2,1,""))))</f>
        <v>3</v>
      </c>
      <c r="DX13" s="58">
        <f>IF(Sheet!DX13=Sheet!DX$2,4,IF(Sheet!DY13=Sheet!DY$2,3,IF(Sheet!DZ13=Sheet!DZ$2,2,IF(Sheet!EA13=Sheet!EA$2,1,""))))</f>
        <v>1</v>
      </c>
      <c r="EB13" s="58">
        <f>IF(Sheet!EB13=Sheet!EB$2,4,IF(Sheet!EC13=Sheet!EC$2,3,IF(Sheet!ED13=Sheet!ED$2,2,IF(Sheet!EE13=Sheet!EE$2,1,""))))</f>
        <v>1</v>
      </c>
      <c r="EF13" s="58">
        <f>IF(Sheet!EF13=Sheet!EF$2,4,IF(Sheet!EG13=Sheet!EG$2,3,IF(Sheet!EH13=Sheet!EH$2,2,IF(Sheet!EI13=Sheet!EI$2,1,""))))</f>
        <v>2</v>
      </c>
      <c r="EJ13" s="58">
        <f>IF(Sheet!EJ13=Sheet!EJ$2,4,IF(Sheet!EK13=Sheet!EK$2,3,IF(Sheet!EL13=Sheet!EL$2,2,IF(Sheet!EM13=Sheet!EM$2,1,""))))</f>
        <v>1</v>
      </c>
      <c r="EN13" s="58">
        <f>IF(Sheet!EN13=Sheet!EN$2,4,IF(Sheet!EO13=Sheet!EO$2,3,IF(Sheet!EP13=Sheet!EP$2,2,IF(Sheet!EQ13=Sheet!EQ$2,1,""))))</f>
        <v>1</v>
      </c>
      <c r="ER13" s="58">
        <f>IF(Sheet!ER13=Sheet!ER$2,4,IF(Sheet!ES13=Sheet!ES$2,3,IF(Sheet!ET13=Sheet!ET$2,2,IF(Sheet!EU13=Sheet!EU$2,1,""))))</f>
        <v>2</v>
      </c>
      <c r="EV13" s="58">
        <f>IF(Sheet!EV13=Sheet!EV$2,4,IF(Sheet!EW13=Sheet!EW$2,3,IF(Sheet!EX13=Sheet!EX$2,2,IF(Sheet!EY13=Sheet!EY$2,1,""))))</f>
        <v>3</v>
      </c>
      <c r="EZ13" s="58">
        <f>IF(Sheet!EZ13=Sheet!EZ$2,4,IF(Sheet!FA13=Sheet!FA$2,3,IF(Sheet!FB13=Sheet!FB$2,2,IF(Sheet!FC13=Sheet!FC$2,1,""))))</f>
        <v>1</v>
      </c>
      <c r="FD13" s="58">
        <f>IF(Sheet!FD13=Sheet!FD$2,4,IF(Sheet!FE13=Sheet!FE$2,3,IF(Sheet!FF13=Sheet!FF$2,2,IF(Sheet!FG13=Sheet!FG$2,1,""))))</f>
        <v>2</v>
      </c>
      <c r="FH13" s="58">
        <f>IF(Sheet!FH13=Sheet!FH$2,4,IF(Sheet!FI13=Sheet!FI$2,3,IF(Sheet!FJ13=Sheet!FJ$2,2,IF(Sheet!FK13=Sheet!FK$2,1,""))))</f>
        <v>3</v>
      </c>
      <c r="FL13" s="58">
        <f>IF(Sheet!FL13=Sheet!FL$2,4,IF(Sheet!FM13=Sheet!FM$2,3,IF(Sheet!FN13=Sheet!FN$2,2,IF(Sheet!FO13=Sheet!FO$2,1,""))))</f>
        <v>4</v>
      </c>
    </row>
    <row r="14" spans="1:171">
      <c r="A14" t="str">
        <f>Sheet!A14</f>
        <v>PD001</v>
      </c>
      <c r="E14" t="s">
        <v>30</v>
      </c>
      <c r="G14">
        <v>35</v>
      </c>
      <c r="AT14" s="56">
        <f t="shared" si="0"/>
        <v>3.40625</v>
      </c>
      <c r="AV14" s="58">
        <f>IF(Sheet!AV14=Sheet!AV$2,4,IF(Sheet!AW14=Sheet!AW$2,3,IF(Sheet!AX14=Sheet!AX$2,2,IF(Sheet!AY14=Sheet!AY$2,1,""))))</f>
        <v>1</v>
      </c>
      <c r="AW14">
        <f>COUNTIF(AV$3:AV$69,"&gt;=2")</f>
        <v>49</v>
      </c>
      <c r="AZ14" s="58">
        <f>IF(Sheet!AZ14=Sheet!AZ$2,4,IF(Sheet!BA14=Sheet!BA$2,3,IF(Sheet!BB14=Sheet!BB$2,2,IF(Sheet!BC14=Sheet!BC$2,1,""))))</f>
        <v>2</v>
      </c>
      <c r="BD14" s="58">
        <f>IF(Sheet!BD14=Sheet!BD$2,4,IF(Sheet!BE14=Sheet!BE$2,3,IF(Sheet!BF14=Sheet!BF$2,2,IF(Sheet!BG14=Sheet!BG$2,1,""))))</f>
        <v>2</v>
      </c>
      <c r="BH14" s="58">
        <f>IF(Sheet!BH14=Sheet!BH$2,4,IF(Sheet!BI14=Sheet!BI$2,3,IF(Sheet!BJ14=Sheet!BJ$2,2,IF(Sheet!BK14=Sheet!BK$2,1,""))))</f>
        <v>3</v>
      </c>
      <c r="BL14" s="58">
        <f>IF(Sheet!BL14=Sheet!BL$2,4,IF(Sheet!BM14=Sheet!BM$2,3,IF(Sheet!BN14=Sheet!BN$2,2,IF(Sheet!BO14=Sheet!BO$2,1,""))))</f>
        <v>1</v>
      </c>
      <c r="BP14" s="58">
        <f>IF(Sheet!BP14=Sheet!BP$2,4,IF(Sheet!BQ14=Sheet!BQ$2,3,IF(Sheet!BR14=Sheet!BR$2,2,IF(Sheet!BS14=Sheet!BS$2,1,""))))</f>
        <v>1</v>
      </c>
      <c r="BT14" s="58">
        <f>IF(Sheet!BT14=Sheet!BT$2,4,IF(Sheet!BU14=Sheet!BU$2,3,IF(Sheet!BV14=Sheet!BV$2,2,IF(Sheet!BW14=Sheet!BW$2,1,""))))</f>
        <v>1</v>
      </c>
      <c r="BX14" s="58">
        <f>IF(Sheet!BX14=Sheet!BX$2,4,IF(Sheet!BY14=Sheet!BY$2,3,IF(Sheet!BZ14=Sheet!BZ$2,2,IF(Sheet!CA14=Sheet!CA$2,1,""))))</f>
        <v>3</v>
      </c>
      <c r="CB14" s="58">
        <f>IF(Sheet!CB14=Sheet!CB$2,4,IF(Sheet!CC14=Sheet!CC$2,3,IF(Sheet!CD14=Sheet!CD$2,2,IF(Sheet!CE14=Sheet!CE$2,1,""))))</f>
        <v>3</v>
      </c>
      <c r="CF14" s="58">
        <f>IF(Sheet!CF14=Sheet!CF$2,4,IF(Sheet!CG14=Sheet!CG$2,3,IF(Sheet!CH14=Sheet!CH$2,2,IF(Sheet!CI14=Sheet!CI$2,1,""))))</f>
        <v>2</v>
      </c>
      <c r="CJ14" s="58">
        <f>IF(Sheet!CJ14=Sheet!CJ$2,4,IF(Sheet!CK14=Sheet!CK$2,3,IF(Sheet!CL14=Sheet!CL$2,2,IF(Sheet!CM14=Sheet!CM$2,1,""))))</f>
        <v>1</v>
      </c>
      <c r="CN14" s="58">
        <f>IF(Sheet!CN14=Sheet!CN$2,4,IF(Sheet!CO14=Sheet!CO$2,3,IF(Sheet!CP14=Sheet!CP$2,2,IF(Sheet!CQ14=Sheet!CQ$2,1,""))))</f>
        <v>1</v>
      </c>
      <c r="CR14" s="58">
        <f>IF(Sheet!CR14=Sheet!CR$2,4,IF(Sheet!CS14=Sheet!CS$2,3,IF(Sheet!CT14=Sheet!CT$2,2,IF(Sheet!CU14=Sheet!CU$2,1,""))))</f>
        <v>3</v>
      </c>
      <c r="CV14" s="58">
        <f>IF(Sheet!CV14=Sheet!CV$2,4,IF(Sheet!CW14=Sheet!CW$2,3,IF(Sheet!CX14=Sheet!CX$2,2,IF(Sheet!CY14=Sheet!CY$2,1,""))))</f>
        <v>1</v>
      </c>
      <c r="CZ14" s="58">
        <f>IF(Sheet!CZ14=Sheet!CZ$2,4,IF(Sheet!DA14=Sheet!DA$2,3,IF(Sheet!DB14=Sheet!DB$2,2,IF(Sheet!DC14=Sheet!DC$2,1,""))))</f>
        <v>1</v>
      </c>
      <c r="DD14" s="58">
        <f>IF(Sheet!DD14=Sheet!DD$2,4,IF(Sheet!DE14=Sheet!DE$2,3,IF(Sheet!DF14=Sheet!DF$2,2,IF(Sheet!DG14=Sheet!DG$2,1,""))))</f>
        <v>3</v>
      </c>
      <c r="DH14" s="58">
        <f>IF(Sheet!DH14=Sheet!DH$2,4,IF(Sheet!DI14=Sheet!DI$2,3,IF(Sheet!DJ14=Sheet!DJ$2,2,IF(Sheet!DK14=Sheet!DK$2,1,""))))</f>
        <v>2</v>
      </c>
      <c r="DL14" s="58">
        <f>IF(Sheet!DL14=Sheet!DL$2,4,IF(Sheet!DM14=Sheet!DM$2,3,IF(Sheet!DN14=Sheet!DN$2,2,IF(Sheet!DO14=Sheet!DO$2,1,""))))</f>
        <v>3</v>
      </c>
      <c r="DP14" s="58">
        <f>IF(Sheet!DP14=Sheet!DP$2,4,IF(Sheet!DQ14=Sheet!DQ$2,3,IF(Sheet!DR14=Sheet!DR$2,2,IF(Sheet!DS14=Sheet!DS$2,1,""))))</f>
        <v>3</v>
      </c>
      <c r="DT14" s="58">
        <f>IF(Sheet!DT14=Sheet!DT$2,4,IF(Sheet!DU14=Sheet!DU$2,3,IF(Sheet!DV14=Sheet!DV$2,2,IF(Sheet!DW14=Sheet!DW$2,1,""))))</f>
        <v>1</v>
      </c>
      <c r="DX14" s="58">
        <f>IF(Sheet!DX14=Sheet!DX$2,4,IF(Sheet!DY14=Sheet!DY$2,3,IF(Sheet!DZ14=Sheet!DZ$2,2,IF(Sheet!EA14=Sheet!EA$2,1,""))))</f>
        <v>1</v>
      </c>
      <c r="EB14" s="58">
        <f>IF(Sheet!EB14=Sheet!EB$2,4,IF(Sheet!EC14=Sheet!EC$2,3,IF(Sheet!ED14=Sheet!ED$2,2,IF(Sheet!EE14=Sheet!EE$2,1,""))))</f>
        <v>1</v>
      </c>
      <c r="EF14" s="58">
        <f>IF(Sheet!EF14=Sheet!EF$2,4,IF(Sheet!EG14=Sheet!EG$2,3,IF(Sheet!EH14=Sheet!EH$2,2,IF(Sheet!EI14=Sheet!EI$2,1,""))))</f>
        <v>1</v>
      </c>
      <c r="EJ14" s="58">
        <f>IF(Sheet!EJ14=Sheet!EJ$2,4,IF(Sheet!EK14=Sheet!EK$2,3,IF(Sheet!EL14=Sheet!EL$2,2,IF(Sheet!EM14=Sheet!EM$2,1,""))))</f>
        <v>2</v>
      </c>
      <c r="EN14" s="58">
        <f>IF(Sheet!EN14=Sheet!EN$2,4,IF(Sheet!EO14=Sheet!EO$2,3,IF(Sheet!EP14=Sheet!EP$2,2,IF(Sheet!EQ14=Sheet!EQ$2,1,""))))</f>
        <v>1</v>
      </c>
      <c r="ER14" s="58">
        <f>IF(Sheet!ER14=Sheet!ER$2,4,IF(Sheet!ES14=Sheet!ES$2,3,IF(Sheet!ET14=Sheet!ET$2,2,IF(Sheet!EU14=Sheet!EU$2,1,""))))</f>
        <v>2</v>
      </c>
      <c r="EV14" s="58">
        <f>IF(Sheet!EV14=Sheet!EV$2,4,IF(Sheet!EW14=Sheet!EW$2,3,IF(Sheet!EX14=Sheet!EX$2,2,IF(Sheet!EY14=Sheet!EY$2,1,""))))</f>
        <v>3</v>
      </c>
      <c r="EZ14" s="58">
        <f>IF(Sheet!EZ14=Sheet!EZ$2,4,IF(Sheet!FA14=Sheet!FA$2,3,IF(Sheet!FB14=Sheet!FB$2,2,IF(Sheet!FC14=Sheet!FC$2,1,""))))</f>
        <v>2</v>
      </c>
      <c r="FD14" s="58">
        <f>IF(Sheet!FD14=Sheet!FD$2,4,IF(Sheet!FE14=Sheet!FE$2,3,IF(Sheet!FF14=Sheet!FF$2,2,IF(Sheet!FG14=Sheet!FG$2,1,""))))</f>
        <v>2</v>
      </c>
      <c r="FH14" s="58">
        <f>IF(Sheet!FH14=Sheet!FH$2,4,IF(Sheet!FI14=Sheet!FI$2,3,IF(Sheet!FJ14=Sheet!FJ$2,2,IF(Sheet!FK14=Sheet!FK$2,1,""))))</f>
        <v>4</v>
      </c>
      <c r="FL14" s="58">
        <f>IF(Sheet!FL14=Sheet!FL$2,4,IF(Sheet!FM14=Sheet!FM$2,3,IF(Sheet!FN14=Sheet!FN$2,2,IF(Sheet!FO14=Sheet!FO$2,1,""))))</f>
        <v>3</v>
      </c>
    </row>
    <row r="15" spans="1:171">
      <c r="A15" t="str">
        <f>Sheet!A15</f>
        <v>CI002</v>
      </c>
      <c r="E15" t="s">
        <v>31</v>
      </c>
      <c r="G15">
        <v>26</v>
      </c>
      <c r="AT15" s="56">
        <f t="shared" si="0"/>
        <v>2.1169507575757578</v>
      </c>
      <c r="AV15" s="58">
        <f>IF(Sheet!AV15=Sheet!AV$2,4,IF(Sheet!AW15=Sheet!AW$2,3,IF(Sheet!AX15=Sheet!AX$2,2,IF(Sheet!AY15=Sheet!AY$2,1,""))))</f>
        <v>1</v>
      </c>
      <c r="AW15">
        <f>AW14/66</f>
        <v>0.74242424242424243</v>
      </c>
      <c r="AZ15" s="58">
        <f>IF(Sheet!AZ15=Sheet!AZ$2,4,IF(Sheet!BA15=Sheet!BA$2,3,IF(Sheet!BB15=Sheet!BB$2,2,IF(Sheet!BC15=Sheet!BC$2,1,""))))</f>
        <v>1</v>
      </c>
      <c r="BD15" s="58">
        <f>IF(Sheet!BD15=Sheet!BD$2,4,IF(Sheet!BE15=Sheet!BE$2,3,IF(Sheet!BF15=Sheet!BF$2,2,IF(Sheet!BG15=Sheet!BG$2,1,""))))</f>
        <v>2</v>
      </c>
      <c r="BH15" s="58">
        <f>IF(Sheet!BH15=Sheet!BH$2,4,IF(Sheet!BI15=Sheet!BI$2,3,IF(Sheet!BJ15=Sheet!BJ$2,2,IF(Sheet!BK15=Sheet!BK$2,1,""))))</f>
        <v>1</v>
      </c>
      <c r="BL15" s="58">
        <f>IF(Sheet!BL15=Sheet!BL$2,4,IF(Sheet!BM15=Sheet!BM$2,3,IF(Sheet!BN15=Sheet!BN$2,2,IF(Sheet!BO15=Sheet!BO$2,1,""))))</f>
        <v>2</v>
      </c>
      <c r="BP15" s="58">
        <f>IF(Sheet!BP15=Sheet!BP$2,4,IF(Sheet!BQ15=Sheet!BQ$2,3,IF(Sheet!BR15=Sheet!BR$2,2,IF(Sheet!BS15=Sheet!BS$2,1,""))))</f>
        <v>2</v>
      </c>
      <c r="BT15" s="58">
        <f>IF(Sheet!BT15=Sheet!BT$2,4,IF(Sheet!BU15=Sheet!BU$2,3,IF(Sheet!BV15=Sheet!BV$2,2,IF(Sheet!BW15=Sheet!BW$2,1,""))))</f>
        <v>1</v>
      </c>
      <c r="BX15" s="58">
        <f>IF(Sheet!BX15=Sheet!BX$2,4,IF(Sheet!BY15=Sheet!BY$2,3,IF(Sheet!BZ15=Sheet!BZ$2,2,IF(Sheet!CA15=Sheet!CA$2,1,""))))</f>
        <v>3</v>
      </c>
      <c r="CB15" s="58">
        <f>IF(Sheet!CB15=Sheet!CB$2,4,IF(Sheet!CC15=Sheet!CC$2,3,IF(Sheet!CD15=Sheet!CD$2,2,IF(Sheet!CE15=Sheet!CE$2,1,""))))</f>
        <v>2</v>
      </c>
      <c r="CF15" s="58">
        <f>IF(Sheet!CF15=Sheet!CF$2,4,IF(Sheet!CG15=Sheet!CG$2,3,IF(Sheet!CH15=Sheet!CH$2,2,IF(Sheet!CI15=Sheet!CI$2,1,""))))</f>
        <v>2</v>
      </c>
      <c r="CJ15" s="58">
        <f>IF(Sheet!CJ15=Sheet!CJ$2,4,IF(Sheet!CK15=Sheet!CK$2,3,IF(Sheet!CL15=Sheet!CL$2,2,IF(Sheet!CM15=Sheet!CM$2,1,""))))</f>
        <v>2</v>
      </c>
      <c r="CN15" s="58">
        <f>IF(Sheet!CN15=Sheet!CN$2,4,IF(Sheet!CO15=Sheet!CO$2,3,IF(Sheet!CP15=Sheet!CP$2,2,IF(Sheet!CQ15=Sheet!CQ$2,1,""))))</f>
        <v>3</v>
      </c>
      <c r="CR15" s="58">
        <f>IF(Sheet!CR15=Sheet!CR$2,4,IF(Sheet!CS15=Sheet!CS$2,3,IF(Sheet!CT15=Sheet!CT$2,2,IF(Sheet!CU15=Sheet!CU$2,1,""))))</f>
        <v>3</v>
      </c>
      <c r="CV15" s="58">
        <f>IF(Sheet!CV15=Sheet!CV$2,4,IF(Sheet!CW15=Sheet!CW$2,3,IF(Sheet!CX15=Sheet!CX$2,2,IF(Sheet!CY15=Sheet!CY$2,1,""))))</f>
        <v>3</v>
      </c>
      <c r="CZ15" s="58">
        <f>IF(Sheet!CZ15=Sheet!CZ$2,4,IF(Sheet!DA15=Sheet!DA$2,3,IF(Sheet!DB15=Sheet!DB$2,2,IF(Sheet!DC15=Sheet!DC$2,1,""))))</f>
        <v>2</v>
      </c>
      <c r="DD15" s="58">
        <f>IF(Sheet!DD15=Sheet!DD$2,4,IF(Sheet!DE15=Sheet!DE$2,3,IF(Sheet!DF15=Sheet!DF$2,2,IF(Sheet!DG15=Sheet!DG$2,1,""))))</f>
        <v>1</v>
      </c>
      <c r="DH15" s="58">
        <f>IF(Sheet!DH15=Sheet!DH$2,4,IF(Sheet!DI15=Sheet!DI$2,3,IF(Sheet!DJ15=Sheet!DJ$2,2,IF(Sheet!DK15=Sheet!DK$2,1,""))))</f>
        <v>3</v>
      </c>
      <c r="DL15" s="58">
        <f>IF(Sheet!DL15=Sheet!DL$2,4,IF(Sheet!DM15=Sheet!DM$2,3,IF(Sheet!DN15=Sheet!DN$2,2,IF(Sheet!DO15=Sheet!DO$2,1,""))))</f>
        <v>3</v>
      </c>
      <c r="DP15" s="58">
        <f>IF(Sheet!DP15=Sheet!DP$2,4,IF(Sheet!DQ15=Sheet!DQ$2,3,IF(Sheet!DR15=Sheet!DR$2,2,IF(Sheet!DS15=Sheet!DS$2,1,""))))</f>
        <v>3</v>
      </c>
      <c r="DT15" s="58">
        <f>IF(Sheet!DT15=Sheet!DT$2,4,IF(Sheet!DU15=Sheet!DU$2,3,IF(Sheet!DV15=Sheet!DV$2,2,IF(Sheet!DW15=Sheet!DW$2,1,""))))</f>
        <v>3</v>
      </c>
      <c r="DX15" s="58">
        <f>IF(Sheet!DX15=Sheet!DX$2,4,IF(Sheet!DY15=Sheet!DY$2,3,IF(Sheet!DZ15=Sheet!DZ$2,2,IF(Sheet!EA15=Sheet!EA$2,1,""))))</f>
        <v>1</v>
      </c>
      <c r="EB15" s="58">
        <f>IF(Sheet!EB15=Sheet!EB$2,4,IF(Sheet!EC15=Sheet!EC$2,3,IF(Sheet!ED15=Sheet!ED$2,2,IF(Sheet!EE15=Sheet!EE$2,1,""))))</f>
        <v>1</v>
      </c>
      <c r="EF15" s="58">
        <f>IF(Sheet!EF15=Sheet!EF$2,4,IF(Sheet!EG15=Sheet!EG$2,3,IF(Sheet!EH15=Sheet!EH$2,2,IF(Sheet!EI15=Sheet!EI$2,1,""))))</f>
        <v>2</v>
      </c>
      <c r="EJ15" s="58">
        <f>IF(Sheet!EJ15=Sheet!EJ$2,4,IF(Sheet!EK15=Sheet!EK$2,3,IF(Sheet!EL15=Sheet!EL$2,2,IF(Sheet!EM15=Sheet!EM$2,1,""))))</f>
        <v>3</v>
      </c>
      <c r="EN15" s="58">
        <f>IF(Sheet!EN15=Sheet!EN$2,4,IF(Sheet!EO15=Sheet!EO$2,3,IF(Sheet!EP15=Sheet!EP$2,2,IF(Sheet!EQ15=Sheet!EQ$2,1,""))))</f>
        <v>2</v>
      </c>
      <c r="ER15" s="58">
        <f>IF(Sheet!ER15=Sheet!ER$2,4,IF(Sheet!ES15=Sheet!ES$2,3,IF(Sheet!ET15=Sheet!ET$2,2,IF(Sheet!EU15=Sheet!EU$2,1,""))))</f>
        <v>2</v>
      </c>
      <c r="EV15" s="58">
        <f>IF(Sheet!EV15=Sheet!EV$2,4,IF(Sheet!EW15=Sheet!EW$2,3,IF(Sheet!EX15=Sheet!EX$2,2,IF(Sheet!EY15=Sheet!EY$2,1,""))))</f>
        <v>3</v>
      </c>
      <c r="EZ15" s="58">
        <f>IF(Sheet!EZ15=Sheet!EZ$2,4,IF(Sheet!FA15=Sheet!FA$2,3,IF(Sheet!FB15=Sheet!FB$2,2,IF(Sheet!FC15=Sheet!FC$2,1,""))))</f>
        <v>1</v>
      </c>
      <c r="FD15" s="58">
        <f>IF(Sheet!FD15=Sheet!FD$2,4,IF(Sheet!FE15=Sheet!FE$2,3,IF(Sheet!FF15=Sheet!FF$2,2,IF(Sheet!FG15=Sheet!FG$2,1,""))))</f>
        <v>3</v>
      </c>
      <c r="FH15" s="58">
        <f>IF(Sheet!FH15=Sheet!FH$2,4,IF(Sheet!FI15=Sheet!FI$2,3,IF(Sheet!FJ15=Sheet!FJ$2,2,IF(Sheet!FK15=Sheet!FK$2,1,""))))</f>
        <v>4</v>
      </c>
      <c r="FL15" s="58">
        <f>IF(Sheet!FL15=Sheet!FL$2,4,IF(Sheet!FM15=Sheet!FM$2,3,IF(Sheet!FN15=Sheet!FN$2,2,IF(Sheet!FO15=Sheet!FO$2,1,""))))</f>
        <v>2</v>
      </c>
    </row>
    <row r="16" spans="1:171">
      <c r="A16" t="str">
        <f>Sheet!A16</f>
        <v>YC001</v>
      </c>
      <c r="E16" t="s">
        <v>32</v>
      </c>
      <c r="G16">
        <v>21</v>
      </c>
      <c r="AT16" s="56">
        <f t="shared" si="0"/>
        <v>2.2903225806451615</v>
      </c>
      <c r="AV16" s="58">
        <f>IF(Sheet!AV16=Sheet!AV$2,4,IF(Sheet!AW16=Sheet!AW$2,3,IF(Sheet!AX16=Sheet!AX$2,2,IF(Sheet!AY16=Sheet!AY$2,1,""))))</f>
        <v>3</v>
      </c>
      <c r="AZ16" s="58">
        <f>IF(Sheet!AZ16=Sheet!AZ$2,4,IF(Sheet!BA16=Sheet!BA$2,3,IF(Sheet!BB16=Sheet!BB$2,2,IF(Sheet!BC16=Sheet!BC$2,1,""))))</f>
        <v>2</v>
      </c>
      <c r="BD16" s="58">
        <f>IF(Sheet!BD16=Sheet!BD$2,4,IF(Sheet!BE16=Sheet!BE$2,3,IF(Sheet!BF16=Sheet!BF$2,2,IF(Sheet!BG16=Sheet!BG$2,1,""))))</f>
        <v>2</v>
      </c>
      <c r="BH16" s="58">
        <f>IF(Sheet!BH16=Sheet!BH$2,4,IF(Sheet!BI16=Sheet!BI$2,3,IF(Sheet!BJ16=Sheet!BJ$2,2,IF(Sheet!BK16=Sheet!BK$2,1,""))))</f>
        <v>3</v>
      </c>
      <c r="BL16" s="58">
        <f>IF(Sheet!BL16=Sheet!BL$2,4,IF(Sheet!BM16=Sheet!BM$2,3,IF(Sheet!BN16=Sheet!BN$2,2,IF(Sheet!BO16=Sheet!BO$2,1,""))))</f>
        <v>2</v>
      </c>
      <c r="BP16" s="58">
        <f>IF(Sheet!BP16=Sheet!BP$2,4,IF(Sheet!BQ16=Sheet!BQ$2,3,IF(Sheet!BR16=Sheet!BR$2,2,IF(Sheet!BS16=Sheet!BS$2,1,""))))</f>
        <v>2</v>
      </c>
      <c r="BT16" s="58">
        <f>IF(Sheet!BT16=Sheet!BT$2,4,IF(Sheet!BU16=Sheet!BU$2,3,IF(Sheet!BV16=Sheet!BV$2,2,IF(Sheet!BW16=Sheet!BW$2,1,""))))</f>
        <v>3</v>
      </c>
      <c r="BX16" s="58">
        <f>IF(Sheet!BX16=Sheet!BX$2,4,IF(Sheet!BY16=Sheet!BY$2,3,IF(Sheet!BZ16=Sheet!BZ$2,2,IF(Sheet!CA16=Sheet!CA$2,1,""))))</f>
        <v>1</v>
      </c>
      <c r="CB16" s="58">
        <f>IF(Sheet!CB16=Sheet!CB$2,4,IF(Sheet!CC16=Sheet!CC$2,3,IF(Sheet!CD16=Sheet!CD$2,2,IF(Sheet!CE16=Sheet!CE$2,1,""))))</f>
        <v>2</v>
      </c>
      <c r="CF16" s="58">
        <f>IF(Sheet!CF16=Sheet!CF$2,4,IF(Sheet!CG16=Sheet!CG$2,3,IF(Sheet!CH16=Sheet!CH$2,2,IF(Sheet!CI16=Sheet!CI$2,1,""))))</f>
        <v>4</v>
      </c>
      <c r="CJ16" s="58">
        <f>IF(Sheet!CJ16=Sheet!CJ$2,4,IF(Sheet!CK16=Sheet!CK$2,3,IF(Sheet!CL16=Sheet!CL$2,2,IF(Sheet!CM16=Sheet!CM$2,1,""))))</f>
        <v>1</v>
      </c>
      <c r="CN16" s="58">
        <f>IF(Sheet!CN16=Sheet!CN$2,4,IF(Sheet!CO16=Sheet!CO$2,3,IF(Sheet!CP16=Sheet!CP$2,2,IF(Sheet!CQ16=Sheet!CQ$2,1,""))))</f>
        <v>2</v>
      </c>
      <c r="CR16" s="58">
        <f>IF(Sheet!CR16=Sheet!CR$2,4,IF(Sheet!CS16=Sheet!CS$2,3,IF(Sheet!CT16=Sheet!CT$2,2,IF(Sheet!CU16=Sheet!CU$2,1,""))))</f>
        <v>3</v>
      </c>
      <c r="CV16" s="58">
        <f>IF(Sheet!CV16=Sheet!CV$2,4,IF(Sheet!CW16=Sheet!CW$2,3,IF(Sheet!CX16=Sheet!CX$2,2,IF(Sheet!CY16=Sheet!CY$2,1,""))))</f>
        <v>1</v>
      </c>
      <c r="CZ16" s="58">
        <f>IF(Sheet!CZ16=Sheet!CZ$2,4,IF(Sheet!DA16=Sheet!DA$2,3,IF(Sheet!DB16=Sheet!DB$2,2,IF(Sheet!DC16=Sheet!DC$2,1,""))))</f>
        <v>1</v>
      </c>
      <c r="DD16" s="58">
        <f>IF(Sheet!DD16=Sheet!DD$2,4,IF(Sheet!DE16=Sheet!DE$2,3,IF(Sheet!DF16=Sheet!DF$2,2,IF(Sheet!DG16=Sheet!DG$2,1,""))))</f>
        <v>2</v>
      </c>
      <c r="DH16" s="58">
        <f>IF(Sheet!DH16=Sheet!DH$2,4,IF(Sheet!DI16=Sheet!DI$2,3,IF(Sheet!DJ16=Sheet!DJ$2,2,IF(Sheet!DK16=Sheet!DK$2,1,""))))</f>
        <v>3</v>
      </c>
      <c r="DL16" s="58">
        <f>IF(Sheet!DL16=Sheet!DL$2,4,IF(Sheet!DM16=Sheet!DM$2,3,IF(Sheet!DN16=Sheet!DN$2,2,IF(Sheet!DO16=Sheet!DO$2,1,""))))</f>
        <v>4</v>
      </c>
      <c r="DP16" s="58">
        <f>IF(Sheet!DP16=Sheet!DP$2,4,IF(Sheet!DQ16=Sheet!DQ$2,3,IF(Sheet!DR16=Sheet!DR$2,2,IF(Sheet!DS16=Sheet!DS$2,1,""))))</f>
        <v>3</v>
      </c>
      <c r="DT16" s="58">
        <f>IF(Sheet!DT16=Sheet!DT$2,4,IF(Sheet!DU16=Sheet!DU$2,3,IF(Sheet!DV16=Sheet!DV$2,2,IF(Sheet!DW16=Sheet!DW$2,1,""))))</f>
        <v>2</v>
      </c>
      <c r="DX16" s="58">
        <f>IF(Sheet!DX16=Sheet!DX$2,4,IF(Sheet!DY16=Sheet!DY$2,3,IF(Sheet!DZ16=Sheet!DZ$2,2,IF(Sheet!EA16=Sheet!EA$2,1,""))))</f>
        <v>1</v>
      </c>
      <c r="EB16" s="58">
        <f>IF(Sheet!EB16=Sheet!EB$2,4,IF(Sheet!EC16=Sheet!EC$2,3,IF(Sheet!ED16=Sheet!ED$2,2,IF(Sheet!EE16=Sheet!EE$2,1,""))))</f>
        <v>1</v>
      </c>
      <c r="EF16" s="58">
        <f>IF(Sheet!EF16=Sheet!EF$2,4,IF(Sheet!EG16=Sheet!EG$2,3,IF(Sheet!EH16=Sheet!EH$2,2,IF(Sheet!EI16=Sheet!EI$2,1,""))))</f>
        <v>1</v>
      </c>
      <c r="EJ16" s="58">
        <f>IF(Sheet!EJ16=Sheet!EJ$2,4,IF(Sheet!EK16=Sheet!EK$2,3,IF(Sheet!EL16=Sheet!EL$2,2,IF(Sheet!EM16=Sheet!EM$2,1,""))))</f>
        <v>1</v>
      </c>
      <c r="EN16" s="58">
        <f>IF(Sheet!EN16=Sheet!EN$2,4,IF(Sheet!EO16=Sheet!EO$2,3,IF(Sheet!EP16=Sheet!EP$2,2,IF(Sheet!EQ16=Sheet!EQ$2,1,""))))</f>
        <v>2</v>
      </c>
      <c r="ER16" s="58">
        <f>IF(Sheet!ER16=Sheet!ER$2,4,IF(Sheet!ES16=Sheet!ES$2,3,IF(Sheet!ET16=Sheet!ET$2,2,IF(Sheet!EU16=Sheet!EU$2,1,""))))</f>
        <v>2</v>
      </c>
      <c r="EV16" s="58">
        <f>IF(Sheet!EV16=Sheet!EV$2,4,IF(Sheet!EW16=Sheet!EW$2,3,IF(Sheet!EX16=Sheet!EX$2,2,IF(Sheet!EY16=Sheet!EY$2,1,""))))</f>
        <v>3</v>
      </c>
      <c r="EZ16" s="58">
        <f>IF(Sheet!EZ16=Sheet!EZ$2,4,IF(Sheet!FA16=Sheet!FA$2,3,IF(Sheet!FB16=Sheet!FB$2,2,IF(Sheet!FC16=Sheet!FC$2,1,""))))</f>
        <v>3</v>
      </c>
      <c r="FD16" s="58">
        <f>IF(Sheet!FD16=Sheet!FD$2,4,IF(Sheet!FE16=Sheet!FE$2,3,IF(Sheet!FF16=Sheet!FF$2,2,IF(Sheet!FG16=Sheet!FG$2,1,""))))</f>
        <v>3</v>
      </c>
      <c r="FH16" s="58">
        <f>IF(Sheet!FH16=Sheet!FH$2,4,IF(Sheet!FI16=Sheet!FI$2,3,IF(Sheet!FJ16=Sheet!FJ$2,2,IF(Sheet!FK16=Sheet!FK$2,1,""))))</f>
        <v>4</v>
      </c>
      <c r="FL16" s="58">
        <f>IF(Sheet!FL16=Sheet!FL$2,4,IF(Sheet!FM16=Sheet!FM$2,3,IF(Sheet!FN16=Sheet!FN$2,2,IF(Sheet!FO16=Sheet!FO$2,1,""))))</f>
        <v>4</v>
      </c>
    </row>
    <row r="17" spans="1:168">
      <c r="A17" t="str">
        <f>Sheet!A17</f>
        <v>FG001</v>
      </c>
      <c r="E17" s="6" t="s">
        <v>33</v>
      </c>
      <c r="F17" s="16">
        <f>G17/66</f>
        <v>0.71212121212121215</v>
      </c>
      <c r="G17" s="6">
        <v>47</v>
      </c>
      <c r="AT17" s="56">
        <f t="shared" si="0"/>
        <v>2.838709677419355</v>
      </c>
      <c r="AV17" s="58">
        <f>IF(Sheet!AV17=Sheet!AV$2,4,IF(Sheet!AW17=Sheet!AW$2,3,IF(Sheet!AX17=Sheet!AX$2,2,IF(Sheet!AY17=Sheet!AY$2,1,""))))</f>
        <v>3</v>
      </c>
      <c r="AZ17" s="58">
        <f>IF(Sheet!AZ17=Sheet!AZ$2,4,IF(Sheet!BA17=Sheet!BA$2,3,IF(Sheet!BB17=Sheet!BB$2,2,IF(Sheet!BC17=Sheet!BC$2,1,""))))</f>
        <v>1</v>
      </c>
      <c r="BD17" s="58">
        <f>IF(Sheet!BD17=Sheet!BD$2,4,IF(Sheet!BE17=Sheet!BE$2,3,IF(Sheet!BF17=Sheet!BF$2,2,IF(Sheet!BG17=Sheet!BG$2,1,""))))</f>
        <v>4</v>
      </c>
      <c r="BH17" s="58">
        <f>IF(Sheet!BH17=Sheet!BH$2,4,IF(Sheet!BI17=Sheet!BI$2,3,IF(Sheet!BJ17=Sheet!BJ$2,2,IF(Sheet!BK17=Sheet!BK$2,1,""))))</f>
        <v>4</v>
      </c>
      <c r="BL17" s="58">
        <f>IF(Sheet!BL17=Sheet!BL$2,4,IF(Sheet!BM17=Sheet!BM$2,3,IF(Sheet!BN17=Sheet!BN$2,2,IF(Sheet!BO17=Sheet!BO$2,1,""))))</f>
        <v>4</v>
      </c>
      <c r="BP17" s="58">
        <f>IF(Sheet!BP17=Sheet!BP$2,4,IF(Sheet!BQ17=Sheet!BQ$2,3,IF(Sheet!BR17=Sheet!BR$2,2,IF(Sheet!BS17=Sheet!BS$2,1,""))))</f>
        <v>1</v>
      </c>
      <c r="BT17" s="58">
        <f>IF(Sheet!BT17=Sheet!BT$2,4,IF(Sheet!BU17=Sheet!BU$2,3,IF(Sheet!BV17=Sheet!BV$2,2,IF(Sheet!BW17=Sheet!BW$2,1,""))))</f>
        <v>3</v>
      </c>
      <c r="BX17" s="58">
        <f>IF(Sheet!BX17=Sheet!BX$2,4,IF(Sheet!BY17=Sheet!BY$2,3,IF(Sheet!BZ17=Sheet!BZ$2,2,IF(Sheet!CA17=Sheet!CA$2,1,""))))</f>
        <v>4</v>
      </c>
      <c r="CB17" s="58">
        <f>IF(Sheet!CB17=Sheet!CB$2,4,IF(Sheet!CC17=Sheet!CC$2,3,IF(Sheet!CD17=Sheet!CD$2,2,IF(Sheet!CE17=Sheet!CE$2,1,""))))</f>
        <v>4</v>
      </c>
      <c r="CF17" s="58">
        <f>IF(Sheet!CF17=Sheet!CF$2,4,IF(Sheet!CG17=Sheet!CG$2,3,IF(Sheet!CH17=Sheet!CH$2,2,IF(Sheet!CI17=Sheet!CI$2,1,""))))</f>
        <v>4</v>
      </c>
      <c r="CJ17" s="58">
        <f>IF(Sheet!CJ17=Sheet!CJ$2,4,IF(Sheet!CK17=Sheet!CK$2,3,IF(Sheet!CL17=Sheet!CL$2,2,IF(Sheet!CM17=Sheet!CM$2,1,""))))</f>
        <v>4</v>
      </c>
      <c r="CN17" s="58">
        <f>IF(Sheet!CN17=Sheet!CN$2,4,IF(Sheet!CO17=Sheet!CO$2,3,IF(Sheet!CP17=Sheet!CP$2,2,IF(Sheet!CQ17=Sheet!CQ$2,1,""))))</f>
        <v>4</v>
      </c>
      <c r="CR17" s="58">
        <f>IF(Sheet!CR17=Sheet!CR$2,4,IF(Sheet!CS17=Sheet!CS$2,3,IF(Sheet!CT17=Sheet!CT$2,2,IF(Sheet!CU17=Sheet!CU$2,1,""))))</f>
        <v>3</v>
      </c>
      <c r="CV17" s="58">
        <f>IF(Sheet!CV17=Sheet!CV$2,4,IF(Sheet!CW17=Sheet!CW$2,3,IF(Sheet!CX17=Sheet!CX$2,2,IF(Sheet!CY17=Sheet!CY$2,1,""))))</f>
        <v>1</v>
      </c>
      <c r="CZ17" s="58">
        <f>IF(Sheet!CZ17=Sheet!CZ$2,4,IF(Sheet!DA17=Sheet!DA$2,3,IF(Sheet!DB17=Sheet!DB$2,2,IF(Sheet!DC17=Sheet!DC$2,1,""))))</f>
        <v>1</v>
      </c>
      <c r="DD17" s="58">
        <f>IF(Sheet!DD17=Sheet!DD$2,4,IF(Sheet!DE17=Sheet!DE$2,3,IF(Sheet!DF17=Sheet!DF$2,2,IF(Sheet!DG17=Sheet!DG$2,1,""))))</f>
        <v>1</v>
      </c>
      <c r="DH17" s="58">
        <f>IF(Sheet!DH17=Sheet!DH$2,4,IF(Sheet!DI17=Sheet!DI$2,3,IF(Sheet!DJ17=Sheet!DJ$2,2,IF(Sheet!DK17=Sheet!DK$2,1,""))))</f>
        <v>3</v>
      </c>
      <c r="DL17" s="58">
        <f>IF(Sheet!DL17=Sheet!DL$2,4,IF(Sheet!DM17=Sheet!DM$2,3,IF(Sheet!DN17=Sheet!DN$2,2,IF(Sheet!DO17=Sheet!DO$2,1,""))))</f>
        <v>4</v>
      </c>
      <c r="DP17" s="58">
        <f>IF(Sheet!DP17=Sheet!DP$2,4,IF(Sheet!DQ17=Sheet!DQ$2,3,IF(Sheet!DR17=Sheet!DR$2,2,IF(Sheet!DS17=Sheet!DS$2,1,""))))</f>
        <v>4</v>
      </c>
      <c r="DT17" s="58">
        <f>IF(Sheet!DT17=Sheet!DT$2,4,IF(Sheet!DU17=Sheet!DU$2,3,IF(Sheet!DV17=Sheet!DV$2,2,IF(Sheet!DW17=Sheet!DW$2,1,""))))</f>
        <v>4</v>
      </c>
      <c r="DX17" s="58">
        <f>IF(Sheet!DX17=Sheet!DX$2,4,IF(Sheet!DY17=Sheet!DY$2,3,IF(Sheet!DZ17=Sheet!DZ$2,2,IF(Sheet!EA17=Sheet!EA$2,1,""))))</f>
        <v>2</v>
      </c>
      <c r="EB17" s="58">
        <f>IF(Sheet!EB17=Sheet!EB$2,4,IF(Sheet!EC17=Sheet!EC$2,3,IF(Sheet!ED17=Sheet!ED$2,2,IF(Sheet!EE17=Sheet!EE$2,1,""))))</f>
        <v>3</v>
      </c>
      <c r="EF17" s="58">
        <f>IF(Sheet!EF17=Sheet!EF$2,4,IF(Sheet!EG17=Sheet!EG$2,3,IF(Sheet!EH17=Sheet!EH$2,2,IF(Sheet!EI17=Sheet!EI$2,1,""))))</f>
        <v>1</v>
      </c>
      <c r="EJ17" s="58">
        <f>IF(Sheet!EJ17=Sheet!EJ$2,4,IF(Sheet!EK17=Sheet!EK$2,3,IF(Sheet!EL17=Sheet!EL$2,2,IF(Sheet!EM17=Sheet!EM$2,1,""))))</f>
        <v>1</v>
      </c>
      <c r="EN17" s="58">
        <f>IF(Sheet!EN17=Sheet!EN$2,4,IF(Sheet!EO17=Sheet!EO$2,3,IF(Sheet!EP17=Sheet!EP$2,2,IF(Sheet!EQ17=Sheet!EQ$2,1,""))))</f>
        <v>1</v>
      </c>
      <c r="ER17" s="58">
        <f>IF(Sheet!ER17=Sheet!ER$2,4,IF(Sheet!ES17=Sheet!ES$2,3,IF(Sheet!ET17=Sheet!ET$2,2,IF(Sheet!EU17=Sheet!EU$2,1,""))))</f>
        <v>4</v>
      </c>
      <c r="EV17" s="58">
        <f>IF(Sheet!EV17=Sheet!EV$2,4,IF(Sheet!EW17=Sheet!EW$2,3,IF(Sheet!EX17=Sheet!EX$2,2,IF(Sheet!EY17=Sheet!EY$2,1,""))))</f>
        <v>1</v>
      </c>
      <c r="EZ17" s="58">
        <f>IF(Sheet!EZ17=Sheet!EZ$2,4,IF(Sheet!FA17=Sheet!FA$2,3,IF(Sheet!FB17=Sheet!FB$2,2,IF(Sheet!FC17=Sheet!FC$2,1,""))))</f>
        <v>4</v>
      </c>
      <c r="FD17" s="58">
        <f>IF(Sheet!FD17=Sheet!FD$2,4,IF(Sheet!FE17=Sheet!FE$2,3,IF(Sheet!FF17=Sheet!FF$2,2,IF(Sheet!FG17=Sheet!FG$2,1,""))))</f>
        <v>4</v>
      </c>
      <c r="FH17" s="58">
        <f>IF(Sheet!FH17=Sheet!FH$2,4,IF(Sheet!FI17=Sheet!FI$2,3,IF(Sheet!FJ17=Sheet!FJ$2,2,IF(Sheet!FK17=Sheet!FK$2,1,""))))</f>
        <v>2</v>
      </c>
      <c r="FL17" s="58">
        <f>IF(Sheet!FL17=Sheet!FL$2,4,IF(Sheet!FM17=Sheet!FM$2,3,IF(Sheet!FN17=Sheet!FN$2,2,IF(Sheet!FO17=Sheet!FO$2,1,""))))</f>
        <v>4</v>
      </c>
    </row>
    <row r="18" spans="1:168">
      <c r="A18" t="str">
        <f>Sheet!A18</f>
        <v>GR001</v>
      </c>
      <c r="E18" s="6" t="s">
        <v>34</v>
      </c>
      <c r="F18" s="16">
        <f>G18/66</f>
        <v>0.81818181818181823</v>
      </c>
      <c r="G18" s="6">
        <v>54</v>
      </c>
      <c r="AT18" s="56">
        <f t="shared" si="0"/>
        <v>1.903225806451613</v>
      </c>
      <c r="AV18" s="58">
        <f>IF(Sheet!AV18=Sheet!AV$2,4,IF(Sheet!AW18=Sheet!AW$2,3,IF(Sheet!AX18=Sheet!AX$2,2,IF(Sheet!AY18=Sheet!AY$2,1,""))))</f>
        <v>2</v>
      </c>
      <c r="AZ18" s="58">
        <f>IF(Sheet!AZ18=Sheet!AZ$2,4,IF(Sheet!BA18=Sheet!BA$2,3,IF(Sheet!BB18=Sheet!BB$2,2,IF(Sheet!BC18=Sheet!BC$2,1,""))))</f>
        <v>1</v>
      </c>
      <c r="BD18" s="58">
        <f>IF(Sheet!BD18=Sheet!BD$2,4,IF(Sheet!BE18=Sheet!BE$2,3,IF(Sheet!BF18=Sheet!BF$2,2,IF(Sheet!BG18=Sheet!BG$2,1,""))))</f>
        <v>2</v>
      </c>
      <c r="BH18" s="58">
        <f>IF(Sheet!BH18=Sheet!BH$2,4,IF(Sheet!BI18=Sheet!BI$2,3,IF(Sheet!BJ18=Sheet!BJ$2,2,IF(Sheet!BK18=Sheet!BK$2,1,""))))</f>
        <v>1</v>
      </c>
      <c r="BL18" s="58">
        <f>IF(Sheet!BL18=Sheet!BL$2,4,IF(Sheet!BM18=Sheet!BM$2,3,IF(Sheet!BN18=Sheet!BN$2,2,IF(Sheet!BO18=Sheet!BO$2,1,""))))</f>
        <v>2</v>
      </c>
      <c r="BP18" s="58">
        <f>IF(Sheet!BP18=Sheet!BP$2,4,IF(Sheet!BQ18=Sheet!BQ$2,3,IF(Sheet!BR18=Sheet!BR$2,2,IF(Sheet!BS18=Sheet!BS$2,1,""))))</f>
        <v>1</v>
      </c>
      <c r="BT18" s="58">
        <f>IF(Sheet!BT18=Sheet!BT$2,4,IF(Sheet!BU18=Sheet!BU$2,3,IF(Sheet!BV18=Sheet!BV$2,2,IF(Sheet!BW18=Sheet!BW$2,1,""))))</f>
        <v>1</v>
      </c>
      <c r="BX18" s="58">
        <f>IF(Sheet!BX18=Sheet!BX$2,4,IF(Sheet!BY18=Sheet!BY$2,3,IF(Sheet!BZ18=Sheet!BZ$2,2,IF(Sheet!CA18=Sheet!CA$2,1,""))))</f>
        <v>2</v>
      </c>
      <c r="CB18" s="58">
        <f>IF(Sheet!CB18=Sheet!CB$2,4,IF(Sheet!CC18=Sheet!CC$2,3,IF(Sheet!CD18=Sheet!CD$2,2,IF(Sheet!CE18=Sheet!CE$2,1,""))))</f>
        <v>3</v>
      </c>
      <c r="CF18" s="58">
        <f>IF(Sheet!CF18=Sheet!CF$2,4,IF(Sheet!CG18=Sheet!CG$2,3,IF(Sheet!CH18=Sheet!CH$2,2,IF(Sheet!CI18=Sheet!CI$2,1,""))))</f>
        <v>2</v>
      </c>
      <c r="CJ18" s="58">
        <f>IF(Sheet!CJ18=Sheet!CJ$2,4,IF(Sheet!CK18=Sheet!CK$2,3,IF(Sheet!CL18=Sheet!CL$2,2,IF(Sheet!CM18=Sheet!CM$2,1,""))))</f>
        <v>1</v>
      </c>
      <c r="CN18" s="58">
        <f>IF(Sheet!CN18=Sheet!CN$2,4,IF(Sheet!CO18=Sheet!CO$2,3,IF(Sheet!CP18=Sheet!CP$2,2,IF(Sheet!CQ18=Sheet!CQ$2,1,""))))</f>
        <v>3</v>
      </c>
      <c r="CR18" s="58">
        <f>IF(Sheet!CR18=Sheet!CR$2,4,IF(Sheet!CS18=Sheet!CS$2,3,IF(Sheet!CT18=Sheet!CT$2,2,IF(Sheet!CU18=Sheet!CU$2,1,""))))</f>
        <v>2</v>
      </c>
      <c r="CV18" s="58">
        <f>IF(Sheet!CV18=Sheet!CV$2,4,IF(Sheet!CW18=Sheet!CW$2,3,IF(Sheet!CX18=Sheet!CX$2,2,IF(Sheet!CY18=Sheet!CY$2,1,""))))</f>
        <v>1</v>
      </c>
      <c r="CZ18" s="58">
        <f>IF(Sheet!CZ18=Sheet!CZ$2,4,IF(Sheet!DA18=Sheet!DA$2,3,IF(Sheet!DB18=Sheet!DB$2,2,IF(Sheet!DC18=Sheet!DC$2,1,""))))</f>
        <v>1</v>
      </c>
      <c r="DD18" s="58">
        <f>IF(Sheet!DD18=Sheet!DD$2,4,IF(Sheet!DE18=Sheet!DE$2,3,IF(Sheet!DF18=Sheet!DF$2,2,IF(Sheet!DG18=Sheet!DG$2,1,""))))</f>
        <v>1</v>
      </c>
      <c r="DH18" s="58">
        <f>IF(Sheet!DH18=Sheet!DH$2,4,IF(Sheet!DI18=Sheet!DI$2,3,IF(Sheet!DJ18=Sheet!DJ$2,2,IF(Sheet!DK18=Sheet!DK$2,1,""))))</f>
        <v>3</v>
      </c>
      <c r="DL18" s="58">
        <f>IF(Sheet!DL18=Sheet!DL$2,4,IF(Sheet!DM18=Sheet!DM$2,3,IF(Sheet!DN18=Sheet!DN$2,2,IF(Sheet!DO18=Sheet!DO$2,1,""))))</f>
        <v>3</v>
      </c>
      <c r="DP18" s="58">
        <f>IF(Sheet!DP18=Sheet!DP$2,4,IF(Sheet!DQ18=Sheet!DQ$2,3,IF(Sheet!DR18=Sheet!DR$2,2,IF(Sheet!DS18=Sheet!DS$2,1,""))))</f>
        <v>3</v>
      </c>
      <c r="DT18" s="58">
        <f>IF(Sheet!DT18=Sheet!DT$2,4,IF(Sheet!DU18=Sheet!DU$2,3,IF(Sheet!DV18=Sheet!DV$2,2,IF(Sheet!DW18=Sheet!DW$2,1,""))))</f>
        <v>3</v>
      </c>
      <c r="DX18" s="58">
        <f>IF(Sheet!DX18=Sheet!DX$2,4,IF(Sheet!DY18=Sheet!DY$2,3,IF(Sheet!DZ18=Sheet!DZ$2,2,IF(Sheet!EA18=Sheet!EA$2,1,""))))</f>
        <v>1</v>
      </c>
      <c r="EB18" s="58">
        <f>IF(Sheet!EB18=Sheet!EB$2,4,IF(Sheet!EC18=Sheet!EC$2,3,IF(Sheet!ED18=Sheet!ED$2,2,IF(Sheet!EE18=Sheet!EE$2,1,""))))</f>
        <v>1</v>
      </c>
      <c r="EF18" s="58">
        <f>IF(Sheet!EF18=Sheet!EF$2,4,IF(Sheet!EG18=Sheet!EG$2,3,IF(Sheet!EH18=Sheet!EH$2,2,IF(Sheet!EI18=Sheet!EI$2,1,""))))</f>
        <v>1</v>
      </c>
      <c r="EJ18" s="58">
        <f>IF(Sheet!EJ18=Sheet!EJ$2,4,IF(Sheet!EK18=Sheet!EK$2,3,IF(Sheet!EL18=Sheet!EL$2,2,IF(Sheet!EM18=Sheet!EM$2,1,""))))</f>
        <v>1</v>
      </c>
      <c r="EN18" s="58">
        <f>IF(Sheet!EN18=Sheet!EN$2,4,IF(Sheet!EO18=Sheet!EO$2,3,IF(Sheet!EP18=Sheet!EP$2,2,IF(Sheet!EQ18=Sheet!EQ$2,1,""))))</f>
        <v>2</v>
      </c>
      <c r="ER18" s="58">
        <f>IF(Sheet!ER18=Sheet!ER$2,4,IF(Sheet!ES18=Sheet!ES$2,3,IF(Sheet!ET18=Sheet!ET$2,2,IF(Sheet!EU18=Sheet!EU$2,1,""))))</f>
        <v>3</v>
      </c>
      <c r="EV18" s="58">
        <f>IF(Sheet!EV18=Sheet!EV$2,4,IF(Sheet!EW18=Sheet!EW$2,3,IF(Sheet!EX18=Sheet!EX$2,2,IF(Sheet!EY18=Sheet!EY$2,1,""))))</f>
        <v>3</v>
      </c>
      <c r="EZ18" s="58">
        <f>IF(Sheet!EZ18=Sheet!EZ$2,4,IF(Sheet!FA18=Sheet!FA$2,3,IF(Sheet!FB18=Sheet!FB$2,2,IF(Sheet!FC18=Sheet!FC$2,1,""))))</f>
        <v>1</v>
      </c>
      <c r="FD18" s="58">
        <f>IF(Sheet!FD18=Sheet!FD$2,4,IF(Sheet!FE18=Sheet!FE$2,3,IF(Sheet!FF18=Sheet!FF$2,2,IF(Sheet!FG18=Sheet!FG$2,1,""))))</f>
        <v>3</v>
      </c>
      <c r="FH18" s="58">
        <f>IF(Sheet!FH18=Sheet!FH$2,4,IF(Sheet!FI18=Sheet!FI$2,3,IF(Sheet!FJ18=Sheet!FJ$2,2,IF(Sheet!FK18=Sheet!FK$2,1,""))))</f>
        <v>1</v>
      </c>
      <c r="FL18" s="58">
        <f>IF(Sheet!FL18=Sheet!FL$2,4,IF(Sheet!FM18=Sheet!FM$2,3,IF(Sheet!FN18=Sheet!FN$2,2,IF(Sheet!FO18=Sheet!FO$2,1,""))))</f>
        <v>4</v>
      </c>
    </row>
    <row r="19" spans="1:168">
      <c r="A19" t="str">
        <f>Sheet!A19</f>
        <v>TB001</v>
      </c>
      <c r="E19" s="6" t="s">
        <v>35</v>
      </c>
      <c r="F19" s="16">
        <f>G19/66</f>
        <v>0.81818181818181823</v>
      </c>
      <c r="G19" s="6">
        <v>54</v>
      </c>
      <c r="AT19" s="56">
        <f t="shared" si="0"/>
        <v>2.0344827586206895</v>
      </c>
      <c r="AV19" s="58">
        <f>IF(Sheet!AV19=Sheet!AV$2,4,IF(Sheet!AW19=Sheet!AW$2,3,IF(Sheet!AX19=Sheet!AX$2,2,IF(Sheet!AY19=Sheet!AY$2,1,""))))</f>
        <v>3</v>
      </c>
      <c r="AZ19" s="58">
        <f>IF(Sheet!AZ19=Sheet!AZ$2,4,IF(Sheet!BA19=Sheet!BA$2,3,IF(Sheet!BB19=Sheet!BB$2,2,IF(Sheet!BC19=Sheet!BC$2,1,""))))</f>
        <v>3</v>
      </c>
      <c r="BD19" s="58">
        <f>IF(Sheet!BD19=Sheet!BD$2,4,IF(Sheet!BE19=Sheet!BE$2,3,IF(Sheet!BF19=Sheet!BF$2,2,IF(Sheet!BG19=Sheet!BG$2,1,""))))</f>
        <v>1</v>
      </c>
      <c r="BH19" s="58">
        <f>IF(Sheet!BH19=Sheet!BH$2,4,IF(Sheet!BI19=Sheet!BI$2,3,IF(Sheet!BJ19=Sheet!BJ$2,2,IF(Sheet!BK19=Sheet!BK$2,1,""))))</f>
        <v>2</v>
      </c>
      <c r="BL19" s="58">
        <f>IF(Sheet!BL19=Sheet!BL$2,4,IF(Sheet!BM19=Sheet!BM$2,3,IF(Sheet!BN19=Sheet!BN$2,2,IF(Sheet!BO19=Sheet!BO$2,1,""))))</f>
        <v>2</v>
      </c>
      <c r="BP19" s="58" t="str">
        <f>IF(Sheet!BP19=Sheet!BP$2,4,IF(Sheet!BQ19=Sheet!BQ$2,3,IF(Sheet!BR19=Sheet!BR$2,2,IF(Sheet!BS19=Sheet!BS$2,1,""))))</f>
        <v/>
      </c>
      <c r="BT19" s="58">
        <f>IF(Sheet!BT19=Sheet!BT$2,4,IF(Sheet!BU19=Sheet!BU$2,3,IF(Sheet!BV19=Sheet!BV$2,2,IF(Sheet!BW19=Sheet!BW$2,1,""))))</f>
        <v>3</v>
      </c>
      <c r="BX19" s="58">
        <f>IF(Sheet!BX19=Sheet!BX$2,4,IF(Sheet!BY19=Sheet!BY$2,3,IF(Sheet!BZ19=Sheet!BZ$2,2,IF(Sheet!CA19=Sheet!CA$2,1,""))))</f>
        <v>3</v>
      </c>
      <c r="CB19" s="58">
        <f>IF(Sheet!CB19=Sheet!CB$2,4,IF(Sheet!CC19=Sheet!CC$2,3,IF(Sheet!CD19=Sheet!CD$2,2,IF(Sheet!CE19=Sheet!CE$2,1,""))))</f>
        <v>1</v>
      </c>
      <c r="CF19" s="58">
        <f>IF(Sheet!CF19=Sheet!CF$2,4,IF(Sheet!CG19=Sheet!CG$2,3,IF(Sheet!CH19=Sheet!CH$2,2,IF(Sheet!CI19=Sheet!CI$2,1,""))))</f>
        <v>1</v>
      </c>
      <c r="CJ19" s="58">
        <f>IF(Sheet!CJ19=Sheet!CJ$2,4,IF(Sheet!CK19=Sheet!CK$2,3,IF(Sheet!CL19=Sheet!CL$2,2,IF(Sheet!CM19=Sheet!CM$2,1,""))))</f>
        <v>2</v>
      </c>
      <c r="CN19" s="58">
        <f>IF(Sheet!CN19=Sheet!CN$2,4,IF(Sheet!CO19=Sheet!CO$2,3,IF(Sheet!CP19=Sheet!CP$2,2,IF(Sheet!CQ19=Sheet!CQ$2,1,""))))</f>
        <v>4</v>
      </c>
      <c r="CR19" s="58">
        <f>IF(Sheet!CR19=Sheet!CR$2,4,IF(Sheet!CS19=Sheet!CS$2,3,IF(Sheet!CT19=Sheet!CT$2,2,IF(Sheet!CU19=Sheet!CU$2,1,""))))</f>
        <v>1</v>
      </c>
      <c r="CV19" s="58">
        <f>IF(Sheet!CV19=Sheet!CV$2,4,IF(Sheet!CW19=Sheet!CW$2,3,IF(Sheet!CX19=Sheet!CX$2,2,IF(Sheet!CY19=Sheet!CY$2,1,""))))</f>
        <v>3</v>
      </c>
      <c r="CZ19" s="58">
        <f>IF(Sheet!CZ19=Sheet!CZ$2,4,IF(Sheet!DA19=Sheet!DA$2,3,IF(Sheet!DB19=Sheet!DB$2,2,IF(Sheet!DC19=Sheet!DC$2,1,""))))</f>
        <v>3</v>
      </c>
      <c r="DD19" s="58">
        <f>IF(Sheet!DD19=Sheet!DD$2,4,IF(Sheet!DE19=Sheet!DE$2,3,IF(Sheet!DF19=Sheet!DF$2,2,IF(Sheet!DG19=Sheet!DG$2,1,""))))</f>
        <v>3</v>
      </c>
      <c r="DH19" s="58">
        <f>IF(Sheet!DH19=Sheet!DH$2,4,IF(Sheet!DI19=Sheet!DI$2,3,IF(Sheet!DJ19=Sheet!DJ$2,2,IF(Sheet!DK19=Sheet!DK$2,1,""))))</f>
        <v>2</v>
      </c>
      <c r="DL19" s="58">
        <f>IF(Sheet!DL19=Sheet!DL$2,4,IF(Sheet!DM19=Sheet!DM$2,3,IF(Sheet!DN19=Sheet!DN$2,2,IF(Sheet!DO19=Sheet!DO$2,1,""))))</f>
        <v>1</v>
      </c>
      <c r="DP19" s="58">
        <f>IF(Sheet!DP19=Sheet!DP$2,4,IF(Sheet!DQ19=Sheet!DQ$2,3,IF(Sheet!DR19=Sheet!DR$2,2,IF(Sheet!DS19=Sheet!DS$2,1,""))))</f>
        <v>1</v>
      </c>
      <c r="DT19" s="58">
        <f>IF(Sheet!DT19=Sheet!DT$2,4,IF(Sheet!DU19=Sheet!DU$2,3,IF(Sheet!DV19=Sheet!DV$2,2,IF(Sheet!DW19=Sheet!DW$2,1,""))))</f>
        <v>1</v>
      </c>
      <c r="DX19" s="58">
        <f>IF(Sheet!DX19=Sheet!DX$2,4,IF(Sheet!DY19=Sheet!DY$2,3,IF(Sheet!DZ19=Sheet!DZ$2,2,IF(Sheet!EA19=Sheet!EA$2,1,""))))</f>
        <v>1</v>
      </c>
      <c r="EB19" s="58">
        <f>IF(Sheet!EB19=Sheet!EB$2,4,IF(Sheet!EC19=Sheet!EC$2,3,IF(Sheet!ED19=Sheet!ED$2,2,IF(Sheet!EE19=Sheet!EE$2,1,""))))</f>
        <v>4</v>
      </c>
      <c r="EF19" s="58">
        <f>IF(Sheet!EF19=Sheet!EF$2,4,IF(Sheet!EG19=Sheet!EG$2,3,IF(Sheet!EH19=Sheet!EH$2,2,IF(Sheet!EI19=Sheet!EI$2,1,""))))</f>
        <v>2</v>
      </c>
      <c r="EJ19" s="58">
        <f>IF(Sheet!EJ19=Sheet!EJ$2,4,IF(Sheet!EK19=Sheet!EK$2,3,IF(Sheet!EL19=Sheet!EL$2,2,IF(Sheet!EM19=Sheet!EM$2,1,""))))</f>
        <v>1</v>
      </c>
      <c r="EN19" s="58">
        <f>IF(Sheet!EN19=Sheet!EN$2,4,IF(Sheet!EO19=Sheet!EO$2,3,IF(Sheet!EP19=Sheet!EP$2,2,IF(Sheet!EQ19=Sheet!EQ$2,1,""))))</f>
        <v>1</v>
      </c>
      <c r="ER19" s="58" t="str">
        <f>IF(Sheet!ER19=Sheet!ER$2,4,IF(Sheet!ES19=Sheet!ES$2,3,IF(Sheet!ET19=Sheet!ET$2,2,IF(Sheet!EU19=Sheet!EU$2,1,""))))</f>
        <v/>
      </c>
      <c r="EV19" s="58">
        <f>IF(Sheet!EV19=Sheet!EV$2,4,IF(Sheet!EW19=Sheet!EW$2,3,IF(Sheet!EX19=Sheet!EX$2,2,IF(Sheet!EY19=Sheet!EY$2,1,""))))</f>
        <v>2</v>
      </c>
      <c r="EZ19" s="58">
        <f>IF(Sheet!EZ19=Sheet!EZ$2,4,IF(Sheet!FA19=Sheet!FA$2,3,IF(Sheet!FB19=Sheet!FB$2,2,IF(Sheet!FC19=Sheet!FC$2,1,""))))</f>
        <v>2</v>
      </c>
      <c r="FD19" s="58">
        <f>IF(Sheet!FD19=Sheet!FD$2,4,IF(Sheet!FE19=Sheet!FE$2,3,IF(Sheet!FF19=Sheet!FF$2,2,IF(Sheet!FG19=Sheet!FG$2,1,""))))</f>
        <v>2</v>
      </c>
      <c r="FH19" s="58">
        <f>IF(Sheet!FH19=Sheet!FH$2,4,IF(Sheet!FI19=Sheet!FI$2,3,IF(Sheet!FJ19=Sheet!FJ$2,2,IF(Sheet!FK19=Sheet!FK$2,1,""))))</f>
        <v>3</v>
      </c>
      <c r="FL19" s="58">
        <f>IF(Sheet!FL19=Sheet!FL$2,4,IF(Sheet!FM19=Sheet!FM$2,3,IF(Sheet!FN19=Sheet!FN$2,2,IF(Sheet!FO19=Sheet!FO$2,1,""))))</f>
        <v>1</v>
      </c>
    </row>
    <row r="20" spans="1:168">
      <c r="A20" t="str">
        <f>Sheet!A20</f>
        <v>VI001</v>
      </c>
      <c r="E20" s="6" t="s">
        <v>36</v>
      </c>
      <c r="F20" s="16">
        <f>G20/66</f>
        <v>0.71212121212121215</v>
      </c>
      <c r="G20" s="6">
        <v>47</v>
      </c>
      <c r="AT20" s="56">
        <f t="shared" si="0"/>
        <v>2.4516129032258065</v>
      </c>
      <c r="AV20" s="58">
        <f>IF(Sheet!AV20=Sheet!AV$2,4,IF(Sheet!AW20=Sheet!AW$2,3,IF(Sheet!AX20=Sheet!AX$2,2,IF(Sheet!AY20=Sheet!AY$2,1,""))))</f>
        <v>1</v>
      </c>
      <c r="AZ20" s="58">
        <f>IF(Sheet!AZ20=Sheet!AZ$2,4,IF(Sheet!BA20=Sheet!BA$2,3,IF(Sheet!BB20=Sheet!BB$2,2,IF(Sheet!BC20=Sheet!BC$2,1,""))))</f>
        <v>3</v>
      </c>
      <c r="BD20" s="58">
        <f>IF(Sheet!BD20=Sheet!BD$2,4,IF(Sheet!BE20=Sheet!BE$2,3,IF(Sheet!BF20=Sheet!BF$2,2,IF(Sheet!BG20=Sheet!BG$2,1,""))))</f>
        <v>4</v>
      </c>
      <c r="BH20" s="58">
        <f>IF(Sheet!BH20=Sheet!BH$2,4,IF(Sheet!BI20=Sheet!BI$2,3,IF(Sheet!BJ20=Sheet!BJ$2,2,IF(Sheet!BK20=Sheet!BK$2,1,""))))</f>
        <v>2</v>
      </c>
      <c r="BL20" s="58">
        <f>IF(Sheet!BL20=Sheet!BL$2,4,IF(Sheet!BM20=Sheet!BM$2,3,IF(Sheet!BN20=Sheet!BN$2,2,IF(Sheet!BO20=Sheet!BO$2,1,""))))</f>
        <v>3</v>
      </c>
      <c r="BP20" s="58">
        <f>IF(Sheet!BP20=Sheet!BP$2,4,IF(Sheet!BQ20=Sheet!BQ$2,3,IF(Sheet!BR20=Sheet!BR$2,2,IF(Sheet!BS20=Sheet!BS$2,1,""))))</f>
        <v>3</v>
      </c>
      <c r="BT20" s="58">
        <f>IF(Sheet!BT20=Sheet!BT$2,4,IF(Sheet!BU20=Sheet!BU$2,3,IF(Sheet!BV20=Sheet!BV$2,2,IF(Sheet!BW20=Sheet!BW$2,1,""))))</f>
        <v>1</v>
      </c>
      <c r="BX20" s="58">
        <f>IF(Sheet!BX20=Sheet!BX$2,4,IF(Sheet!BY20=Sheet!BY$2,3,IF(Sheet!BZ20=Sheet!BZ$2,2,IF(Sheet!CA20=Sheet!CA$2,1,""))))</f>
        <v>2</v>
      </c>
      <c r="CB20" s="58">
        <f>IF(Sheet!CB20=Sheet!CB$2,4,IF(Sheet!CC20=Sheet!CC$2,3,IF(Sheet!CD20=Sheet!CD$2,2,IF(Sheet!CE20=Sheet!CE$2,1,""))))</f>
        <v>2</v>
      </c>
      <c r="CF20" s="58">
        <f>IF(Sheet!CF20=Sheet!CF$2,4,IF(Sheet!CG20=Sheet!CG$2,3,IF(Sheet!CH20=Sheet!CH$2,2,IF(Sheet!CI20=Sheet!CI$2,1,""))))</f>
        <v>2</v>
      </c>
      <c r="CJ20" s="58">
        <f>IF(Sheet!CJ20=Sheet!CJ$2,4,IF(Sheet!CK20=Sheet!CK$2,3,IF(Sheet!CL20=Sheet!CL$2,2,IF(Sheet!CM20=Sheet!CM$2,1,""))))</f>
        <v>3</v>
      </c>
      <c r="CN20" s="58">
        <f>IF(Sheet!CN20=Sheet!CN$2,4,IF(Sheet!CO20=Sheet!CO$2,3,IF(Sheet!CP20=Sheet!CP$2,2,IF(Sheet!CQ20=Sheet!CQ$2,1,""))))</f>
        <v>4</v>
      </c>
      <c r="CR20" s="58">
        <f>IF(Sheet!CR20=Sheet!CR$2,4,IF(Sheet!CS20=Sheet!CS$2,3,IF(Sheet!CT20=Sheet!CT$2,2,IF(Sheet!CU20=Sheet!CU$2,1,""))))</f>
        <v>1</v>
      </c>
      <c r="CV20" s="58">
        <f>IF(Sheet!CV20=Sheet!CV$2,4,IF(Sheet!CW20=Sheet!CW$2,3,IF(Sheet!CX20=Sheet!CX$2,2,IF(Sheet!CY20=Sheet!CY$2,1,""))))</f>
        <v>4</v>
      </c>
      <c r="CZ20" s="58">
        <f>IF(Sheet!CZ20=Sheet!CZ$2,4,IF(Sheet!DA20=Sheet!DA$2,3,IF(Sheet!DB20=Sheet!DB$2,2,IF(Sheet!DC20=Sheet!DC$2,1,""))))</f>
        <v>3</v>
      </c>
      <c r="DD20" s="58">
        <f>IF(Sheet!DD20=Sheet!DD$2,4,IF(Sheet!DE20=Sheet!DE$2,3,IF(Sheet!DF20=Sheet!DF$2,2,IF(Sheet!DG20=Sheet!DG$2,1,""))))</f>
        <v>4</v>
      </c>
      <c r="DH20" s="58">
        <f>IF(Sheet!DH20=Sheet!DH$2,4,IF(Sheet!DI20=Sheet!DI$2,3,IF(Sheet!DJ20=Sheet!DJ$2,2,IF(Sheet!DK20=Sheet!DK$2,1,""))))</f>
        <v>4</v>
      </c>
      <c r="DL20" s="58">
        <f>IF(Sheet!DL20=Sheet!DL$2,4,IF(Sheet!DM20=Sheet!DM$2,3,IF(Sheet!DN20=Sheet!DN$2,2,IF(Sheet!DO20=Sheet!DO$2,1,""))))</f>
        <v>4</v>
      </c>
      <c r="DP20" s="58">
        <f>IF(Sheet!DP20=Sheet!DP$2,4,IF(Sheet!DQ20=Sheet!DQ$2,3,IF(Sheet!DR20=Sheet!DR$2,2,IF(Sheet!DS20=Sheet!DS$2,1,""))))</f>
        <v>3</v>
      </c>
      <c r="DT20" s="58">
        <f>IF(Sheet!DT20=Sheet!DT$2,4,IF(Sheet!DU20=Sheet!DU$2,3,IF(Sheet!DV20=Sheet!DV$2,2,IF(Sheet!DW20=Sheet!DW$2,1,""))))</f>
        <v>2</v>
      </c>
      <c r="DX20" s="58">
        <f>IF(Sheet!DX20=Sheet!DX$2,4,IF(Sheet!DY20=Sheet!DY$2,3,IF(Sheet!DZ20=Sheet!DZ$2,2,IF(Sheet!EA20=Sheet!EA$2,1,""))))</f>
        <v>2</v>
      </c>
      <c r="EB20" s="58">
        <f>IF(Sheet!EB20=Sheet!EB$2,4,IF(Sheet!EC20=Sheet!EC$2,3,IF(Sheet!ED20=Sheet!ED$2,2,IF(Sheet!EE20=Sheet!EE$2,1,""))))</f>
        <v>2</v>
      </c>
      <c r="EF20" s="58">
        <f>IF(Sheet!EF20=Sheet!EF$2,4,IF(Sheet!EG20=Sheet!EG$2,3,IF(Sheet!EH20=Sheet!EH$2,2,IF(Sheet!EI20=Sheet!EI$2,1,""))))</f>
        <v>1</v>
      </c>
      <c r="EJ20" s="58">
        <f>IF(Sheet!EJ20=Sheet!EJ$2,4,IF(Sheet!EK20=Sheet!EK$2,3,IF(Sheet!EL20=Sheet!EL$2,2,IF(Sheet!EM20=Sheet!EM$2,1,""))))</f>
        <v>1</v>
      </c>
      <c r="EN20" s="58">
        <f>IF(Sheet!EN20=Sheet!EN$2,4,IF(Sheet!EO20=Sheet!EO$2,3,IF(Sheet!EP20=Sheet!EP$2,2,IF(Sheet!EQ20=Sheet!EQ$2,1,""))))</f>
        <v>1</v>
      </c>
      <c r="ER20" s="58">
        <f>IF(Sheet!ER20=Sheet!ER$2,4,IF(Sheet!ES20=Sheet!ES$2,3,IF(Sheet!ET20=Sheet!ET$2,2,IF(Sheet!EU20=Sheet!EU$2,1,""))))</f>
        <v>1</v>
      </c>
      <c r="EV20" s="58">
        <f>IF(Sheet!EV20=Sheet!EV$2,4,IF(Sheet!EW20=Sheet!EW$2,3,IF(Sheet!EX20=Sheet!EX$2,2,IF(Sheet!EY20=Sheet!EY$2,1,""))))</f>
        <v>3</v>
      </c>
      <c r="EZ20" s="58">
        <f>IF(Sheet!EZ20=Sheet!EZ$2,4,IF(Sheet!FA20=Sheet!FA$2,3,IF(Sheet!FB20=Sheet!FB$2,2,IF(Sheet!FC20=Sheet!FC$2,1,""))))</f>
        <v>2</v>
      </c>
      <c r="FD20" s="58">
        <f>IF(Sheet!FD20=Sheet!FD$2,4,IF(Sheet!FE20=Sheet!FE$2,3,IF(Sheet!FF20=Sheet!FF$2,2,IF(Sheet!FG20=Sheet!FG$2,1,""))))</f>
        <v>2</v>
      </c>
      <c r="FH20" s="58">
        <f>IF(Sheet!FH20=Sheet!FH$2,4,IF(Sheet!FI20=Sheet!FI$2,3,IF(Sheet!FJ20=Sheet!FJ$2,2,IF(Sheet!FK20=Sheet!FK$2,1,""))))</f>
        <v>4</v>
      </c>
      <c r="FL20" s="58">
        <f>IF(Sheet!FL20=Sheet!FL$2,4,IF(Sheet!FM20=Sheet!FM$2,3,IF(Sheet!FN20=Sheet!FN$2,2,IF(Sheet!FO20=Sheet!FO$2,1,""))))</f>
        <v>2</v>
      </c>
    </row>
    <row r="21" spans="1:168">
      <c r="A21" t="str">
        <f>Sheet!A21</f>
        <v>ID MT002</v>
      </c>
      <c r="E21" t="s">
        <v>37</v>
      </c>
      <c r="G21">
        <v>34</v>
      </c>
      <c r="AT21" s="56">
        <f t="shared" si="0"/>
        <v>2.2580645161290325</v>
      </c>
      <c r="AV21" s="58">
        <f>IF(Sheet!AV21=Sheet!AV$2,4,IF(Sheet!AW21=Sheet!AW$2,3,IF(Sheet!AX21=Sheet!AX$2,2,IF(Sheet!AY21=Sheet!AY$2,1,""))))</f>
        <v>1</v>
      </c>
      <c r="AZ21" s="58">
        <f>IF(Sheet!AZ21=Sheet!AZ$2,4,IF(Sheet!BA21=Sheet!BA$2,3,IF(Sheet!BB21=Sheet!BB$2,2,IF(Sheet!BC21=Sheet!BC$2,1,""))))</f>
        <v>3</v>
      </c>
      <c r="BD21" s="58">
        <f>IF(Sheet!BD21=Sheet!BD$2,4,IF(Sheet!BE21=Sheet!BE$2,3,IF(Sheet!BF21=Sheet!BF$2,2,IF(Sheet!BG21=Sheet!BG$2,1,""))))</f>
        <v>1</v>
      </c>
      <c r="BH21" s="58">
        <f>IF(Sheet!BH21=Sheet!BH$2,4,IF(Sheet!BI21=Sheet!BI$2,3,IF(Sheet!BJ21=Sheet!BJ$2,2,IF(Sheet!BK21=Sheet!BK$2,1,""))))</f>
        <v>3</v>
      </c>
      <c r="BL21" s="58">
        <f>IF(Sheet!BL21=Sheet!BL$2,4,IF(Sheet!BM21=Sheet!BM$2,3,IF(Sheet!BN21=Sheet!BN$2,2,IF(Sheet!BO21=Sheet!BO$2,1,""))))</f>
        <v>3</v>
      </c>
      <c r="BP21" s="58">
        <f>IF(Sheet!BP21=Sheet!BP$2,4,IF(Sheet!BQ21=Sheet!BQ$2,3,IF(Sheet!BR21=Sheet!BR$2,2,IF(Sheet!BS21=Sheet!BS$2,1,""))))</f>
        <v>2</v>
      </c>
      <c r="BT21" s="58">
        <f>IF(Sheet!BT21=Sheet!BT$2,4,IF(Sheet!BU21=Sheet!BU$2,3,IF(Sheet!BV21=Sheet!BV$2,2,IF(Sheet!BW21=Sheet!BW$2,1,""))))</f>
        <v>2</v>
      </c>
      <c r="BX21" s="58">
        <f>IF(Sheet!BX21=Sheet!BX$2,4,IF(Sheet!BY21=Sheet!BY$2,3,IF(Sheet!BZ21=Sheet!BZ$2,2,IF(Sheet!CA21=Sheet!CA$2,1,""))))</f>
        <v>3</v>
      </c>
      <c r="CB21" s="58">
        <f>IF(Sheet!CB21=Sheet!CB$2,4,IF(Sheet!CC21=Sheet!CC$2,3,IF(Sheet!CD21=Sheet!CD$2,2,IF(Sheet!CE21=Sheet!CE$2,1,""))))</f>
        <v>3</v>
      </c>
      <c r="CF21" s="58">
        <f>IF(Sheet!CF21=Sheet!CF$2,4,IF(Sheet!CG21=Sheet!CG$2,3,IF(Sheet!CH21=Sheet!CH$2,2,IF(Sheet!CI21=Sheet!CI$2,1,""))))</f>
        <v>2</v>
      </c>
      <c r="CJ21" s="58">
        <f>IF(Sheet!CJ21=Sheet!CJ$2,4,IF(Sheet!CK21=Sheet!CK$2,3,IF(Sheet!CL21=Sheet!CL$2,2,IF(Sheet!CM21=Sheet!CM$2,1,""))))</f>
        <v>2</v>
      </c>
      <c r="CN21" s="58">
        <f>IF(Sheet!CN21=Sheet!CN$2,4,IF(Sheet!CO21=Sheet!CO$2,3,IF(Sheet!CP21=Sheet!CP$2,2,IF(Sheet!CQ21=Sheet!CQ$2,1,""))))</f>
        <v>3</v>
      </c>
      <c r="CR21" s="58">
        <f>IF(Sheet!CR21=Sheet!CR$2,4,IF(Sheet!CS21=Sheet!CS$2,3,IF(Sheet!CT21=Sheet!CT$2,2,IF(Sheet!CU21=Sheet!CU$2,1,""))))</f>
        <v>1</v>
      </c>
      <c r="CV21" s="58">
        <f>IF(Sheet!CV21=Sheet!CV$2,4,IF(Sheet!CW21=Sheet!CW$2,3,IF(Sheet!CX21=Sheet!CX$2,2,IF(Sheet!CY21=Sheet!CY$2,1,""))))</f>
        <v>3</v>
      </c>
      <c r="CZ21" s="58">
        <f>IF(Sheet!CZ21=Sheet!CZ$2,4,IF(Sheet!DA21=Sheet!DA$2,3,IF(Sheet!DB21=Sheet!DB$2,2,IF(Sheet!DC21=Sheet!DC$2,1,""))))</f>
        <v>3</v>
      </c>
      <c r="DD21" s="58">
        <f>IF(Sheet!DD21=Sheet!DD$2,4,IF(Sheet!DE21=Sheet!DE$2,3,IF(Sheet!DF21=Sheet!DF$2,2,IF(Sheet!DG21=Sheet!DG$2,1,""))))</f>
        <v>3</v>
      </c>
      <c r="DH21" s="58">
        <f>IF(Sheet!DH21=Sheet!DH$2,4,IF(Sheet!DI21=Sheet!DI$2,3,IF(Sheet!DJ21=Sheet!DJ$2,2,IF(Sheet!DK21=Sheet!DK$2,1,""))))</f>
        <v>4</v>
      </c>
      <c r="DL21" s="58">
        <f>IF(Sheet!DL21=Sheet!DL$2,4,IF(Sheet!DM21=Sheet!DM$2,3,IF(Sheet!DN21=Sheet!DN$2,2,IF(Sheet!DO21=Sheet!DO$2,1,""))))</f>
        <v>3</v>
      </c>
      <c r="DP21" s="58">
        <f>IF(Sheet!DP21=Sheet!DP$2,4,IF(Sheet!DQ21=Sheet!DQ$2,3,IF(Sheet!DR21=Sheet!DR$2,2,IF(Sheet!DS21=Sheet!DS$2,1,""))))</f>
        <v>3</v>
      </c>
      <c r="DT21" s="58">
        <f>IF(Sheet!DT21=Sheet!DT$2,4,IF(Sheet!DU21=Sheet!DU$2,3,IF(Sheet!DV21=Sheet!DV$2,2,IF(Sheet!DW21=Sheet!DW$2,1,""))))</f>
        <v>2</v>
      </c>
      <c r="DX21" s="58">
        <f>IF(Sheet!DX21=Sheet!DX$2,4,IF(Sheet!DY21=Sheet!DY$2,3,IF(Sheet!DZ21=Sheet!DZ$2,2,IF(Sheet!EA21=Sheet!EA$2,1,""))))</f>
        <v>1</v>
      </c>
      <c r="EB21" s="58">
        <f>IF(Sheet!EB21=Sheet!EB$2,4,IF(Sheet!EC21=Sheet!EC$2,3,IF(Sheet!ED21=Sheet!ED$2,2,IF(Sheet!EE21=Sheet!EE$2,1,""))))</f>
        <v>2</v>
      </c>
      <c r="EF21" s="58">
        <f>IF(Sheet!EF21=Sheet!EF$2,4,IF(Sheet!EG21=Sheet!EG$2,3,IF(Sheet!EH21=Sheet!EH$2,2,IF(Sheet!EI21=Sheet!EI$2,1,""))))</f>
        <v>2</v>
      </c>
      <c r="EJ21" s="58">
        <f>IF(Sheet!EJ21=Sheet!EJ$2,4,IF(Sheet!EK21=Sheet!EK$2,3,IF(Sheet!EL21=Sheet!EL$2,2,IF(Sheet!EM21=Sheet!EM$2,1,""))))</f>
        <v>1</v>
      </c>
      <c r="EN21" s="58">
        <f>IF(Sheet!EN21=Sheet!EN$2,4,IF(Sheet!EO21=Sheet!EO$2,3,IF(Sheet!EP21=Sheet!EP$2,2,IF(Sheet!EQ21=Sheet!EQ$2,1,""))))</f>
        <v>1</v>
      </c>
      <c r="ER21" s="58">
        <f>IF(Sheet!ER21=Sheet!ER$2,4,IF(Sheet!ES21=Sheet!ES$2,3,IF(Sheet!ET21=Sheet!ET$2,2,IF(Sheet!EU21=Sheet!EU$2,1,""))))</f>
        <v>1</v>
      </c>
      <c r="EV21" s="58">
        <f>IF(Sheet!EV21=Sheet!EV$2,4,IF(Sheet!EW21=Sheet!EW$2,3,IF(Sheet!EX21=Sheet!EX$2,2,IF(Sheet!EY21=Sheet!EY$2,1,""))))</f>
        <v>3</v>
      </c>
      <c r="EZ21" s="58">
        <f>IF(Sheet!EZ21=Sheet!EZ$2,4,IF(Sheet!FA21=Sheet!FA$2,3,IF(Sheet!FB21=Sheet!FB$2,2,IF(Sheet!FC21=Sheet!FC$2,1,""))))</f>
        <v>1</v>
      </c>
      <c r="FD21" s="58">
        <f>IF(Sheet!FD21=Sheet!FD$2,4,IF(Sheet!FE21=Sheet!FE$2,3,IF(Sheet!FF21=Sheet!FF$2,2,IF(Sheet!FG21=Sheet!FG$2,1,""))))</f>
        <v>2</v>
      </c>
      <c r="FH21" s="58">
        <f>IF(Sheet!FH21=Sheet!FH$2,4,IF(Sheet!FI21=Sheet!FI$2,3,IF(Sheet!FJ21=Sheet!FJ$2,2,IF(Sheet!FK21=Sheet!FK$2,1,""))))</f>
        <v>4</v>
      </c>
      <c r="FL21" s="58">
        <f>IF(Sheet!FL21=Sheet!FL$2,4,IF(Sheet!FM21=Sheet!FM$2,3,IF(Sheet!FN21=Sheet!FN$2,2,IF(Sheet!FO21=Sheet!FO$2,1,""))))</f>
        <v>2</v>
      </c>
    </row>
    <row r="22" spans="1:168">
      <c r="A22" t="str">
        <f>Sheet!A22</f>
        <v>TI001</v>
      </c>
      <c r="E22" t="s">
        <v>38</v>
      </c>
      <c r="G22">
        <v>8</v>
      </c>
      <c r="AT22" s="56">
        <f t="shared" si="0"/>
        <v>2.7333333333333334</v>
      </c>
      <c r="AV22" s="58">
        <f>IF(Sheet!AV22=Sheet!AV$2,4,IF(Sheet!AW22=Sheet!AW$2,3,IF(Sheet!AX22=Sheet!AX$2,2,IF(Sheet!AY22=Sheet!AY$2,1,""))))</f>
        <v>2</v>
      </c>
      <c r="AZ22" s="58">
        <f>IF(Sheet!AZ22=Sheet!AZ$2,4,IF(Sheet!BA22=Sheet!BA$2,3,IF(Sheet!BB22=Sheet!BB$2,2,IF(Sheet!BC22=Sheet!BC$2,1,""))))</f>
        <v>2</v>
      </c>
      <c r="BD22" s="58">
        <f>IF(Sheet!BD22=Sheet!BD$2,4,IF(Sheet!BE22=Sheet!BE$2,3,IF(Sheet!BF22=Sheet!BF$2,2,IF(Sheet!BG22=Sheet!BG$2,1,""))))</f>
        <v>2</v>
      </c>
      <c r="BH22" s="58">
        <f>IF(Sheet!BH22=Sheet!BH$2,4,IF(Sheet!BI22=Sheet!BI$2,3,IF(Sheet!BJ22=Sheet!BJ$2,2,IF(Sheet!BK22=Sheet!BK$2,1,""))))</f>
        <v>3</v>
      </c>
      <c r="BL22" s="58">
        <f>IF(Sheet!BL22=Sheet!BL$2,4,IF(Sheet!BM22=Sheet!BM$2,3,IF(Sheet!BN22=Sheet!BN$2,2,IF(Sheet!BO22=Sheet!BO$2,1,""))))</f>
        <v>2</v>
      </c>
      <c r="BP22" s="58">
        <f>IF(Sheet!BP22=Sheet!BP$2,4,IF(Sheet!BQ22=Sheet!BQ$2,3,IF(Sheet!BR22=Sheet!BR$2,2,IF(Sheet!BS22=Sheet!BS$2,1,""))))</f>
        <v>2</v>
      </c>
      <c r="BT22" s="58">
        <f>IF(Sheet!BT22=Sheet!BT$2,4,IF(Sheet!BU22=Sheet!BU$2,3,IF(Sheet!BV22=Sheet!BV$2,2,IF(Sheet!BW22=Sheet!BW$2,1,""))))</f>
        <v>4</v>
      </c>
      <c r="BX22" s="58">
        <f>IF(Sheet!BX22=Sheet!BX$2,4,IF(Sheet!BY22=Sheet!BY$2,3,IF(Sheet!BZ22=Sheet!BZ$2,2,IF(Sheet!CA22=Sheet!CA$2,1,""))))</f>
        <v>3</v>
      </c>
      <c r="CB22" s="58">
        <f>IF(Sheet!CB22=Sheet!CB$2,4,IF(Sheet!CC22=Sheet!CC$2,3,IF(Sheet!CD22=Sheet!CD$2,2,IF(Sheet!CE22=Sheet!CE$2,1,""))))</f>
        <v>3</v>
      </c>
      <c r="CF22" s="58">
        <f>IF(Sheet!CF22=Sheet!CF$2,4,IF(Sheet!CG22=Sheet!CG$2,3,IF(Sheet!CH22=Sheet!CH$2,2,IF(Sheet!CI22=Sheet!CI$2,1,""))))</f>
        <v>2</v>
      </c>
      <c r="CJ22" s="58">
        <f>IF(Sheet!CJ22=Sheet!CJ$2,4,IF(Sheet!CK22=Sheet!CK$2,3,IF(Sheet!CL22=Sheet!CL$2,2,IF(Sheet!CM22=Sheet!CM$2,1,""))))</f>
        <v>3</v>
      </c>
      <c r="CN22" s="58">
        <f>IF(Sheet!CN22=Sheet!CN$2,4,IF(Sheet!CO22=Sheet!CO$2,3,IF(Sheet!CP22=Sheet!CP$2,2,IF(Sheet!CQ22=Sheet!CQ$2,1,""))))</f>
        <v>4</v>
      </c>
      <c r="CR22" s="58">
        <f>IF(Sheet!CR22=Sheet!CR$2,4,IF(Sheet!CS22=Sheet!CS$2,3,IF(Sheet!CT22=Sheet!CT$2,2,IF(Sheet!CU22=Sheet!CU$2,1,""))))</f>
        <v>4</v>
      </c>
      <c r="CV22" s="58">
        <f>IF(Sheet!CV22=Sheet!CV$2,4,IF(Sheet!CW22=Sheet!CW$2,3,IF(Sheet!CX22=Sheet!CX$2,2,IF(Sheet!CY22=Sheet!CY$2,1,""))))</f>
        <v>3</v>
      </c>
      <c r="CZ22" s="58">
        <f>IF(Sheet!CZ22=Sheet!CZ$2,4,IF(Sheet!DA22=Sheet!DA$2,3,IF(Sheet!DB22=Sheet!DB$2,2,IF(Sheet!DC22=Sheet!DC$2,1,""))))</f>
        <v>2</v>
      </c>
      <c r="DD22" s="58">
        <f>IF(Sheet!DD22=Sheet!DD$2,4,IF(Sheet!DE22=Sheet!DE$2,3,IF(Sheet!DF22=Sheet!DF$2,2,IF(Sheet!DG22=Sheet!DG$2,1,""))))</f>
        <v>4</v>
      </c>
      <c r="DH22" s="58">
        <f>IF(Sheet!DH22=Sheet!DH$2,4,IF(Sheet!DI22=Sheet!DI$2,3,IF(Sheet!DJ22=Sheet!DJ$2,2,IF(Sheet!DK22=Sheet!DK$2,1,""))))</f>
        <v>4</v>
      </c>
      <c r="DL22" s="58">
        <f>IF(Sheet!DL22=Sheet!DL$2,4,IF(Sheet!DM22=Sheet!DM$2,3,IF(Sheet!DN22=Sheet!DN$2,2,IF(Sheet!DO22=Sheet!DO$2,1,""))))</f>
        <v>2</v>
      </c>
      <c r="DP22" s="58">
        <f>IF(Sheet!DP22=Sheet!DP$2,4,IF(Sheet!DQ22=Sheet!DQ$2,3,IF(Sheet!DR22=Sheet!DR$2,2,IF(Sheet!DS22=Sheet!DS$2,1,""))))</f>
        <v>4</v>
      </c>
      <c r="DT22" s="58">
        <f>IF(Sheet!DT22=Sheet!DT$2,4,IF(Sheet!DU22=Sheet!DU$2,3,IF(Sheet!DV22=Sheet!DV$2,2,IF(Sheet!DW22=Sheet!DW$2,1,""))))</f>
        <v>4</v>
      </c>
      <c r="DX22" s="58">
        <f>IF(Sheet!DX22=Sheet!DX$2,4,IF(Sheet!DY22=Sheet!DY$2,3,IF(Sheet!DZ22=Sheet!DZ$2,2,IF(Sheet!EA22=Sheet!EA$2,1,""))))</f>
        <v>1</v>
      </c>
      <c r="EB22" s="58">
        <f>IF(Sheet!EB22=Sheet!EB$2,4,IF(Sheet!EC22=Sheet!EC$2,3,IF(Sheet!ED22=Sheet!ED$2,2,IF(Sheet!EE22=Sheet!EE$2,1,""))))</f>
        <v>2</v>
      </c>
      <c r="EF22" s="58">
        <f>IF(Sheet!EF22=Sheet!EF$2,4,IF(Sheet!EG22=Sheet!EG$2,3,IF(Sheet!EH22=Sheet!EH$2,2,IF(Sheet!EI22=Sheet!EI$2,1,""))))</f>
        <v>1</v>
      </c>
      <c r="EJ22" s="58">
        <f>IF(Sheet!EJ22=Sheet!EJ$2,4,IF(Sheet!EK22=Sheet!EK$2,3,IF(Sheet!EL22=Sheet!EL$2,2,IF(Sheet!EM22=Sheet!EM$2,1,""))))</f>
        <v>3</v>
      </c>
      <c r="EN22" s="58">
        <f>IF(Sheet!EN22=Sheet!EN$2,4,IF(Sheet!EO22=Sheet!EO$2,3,IF(Sheet!EP22=Sheet!EP$2,2,IF(Sheet!EQ22=Sheet!EQ$2,1,""))))</f>
        <v>2</v>
      </c>
      <c r="ER22" s="58">
        <f>IF(Sheet!ER22=Sheet!ER$2,4,IF(Sheet!ES22=Sheet!ES$2,3,IF(Sheet!ET22=Sheet!ET$2,2,IF(Sheet!EU22=Sheet!EU$2,1,""))))</f>
        <v>2</v>
      </c>
      <c r="EV22" s="58" t="str">
        <f>IF(Sheet!EV22=Sheet!EV$2,4,IF(Sheet!EW22=Sheet!EW$2,3,IF(Sheet!EX22=Sheet!EX$2,2,IF(Sheet!EY22=Sheet!EY$2,1,""))))</f>
        <v/>
      </c>
      <c r="EZ22" s="58">
        <f>IF(Sheet!EZ22=Sheet!EZ$2,4,IF(Sheet!FA22=Sheet!FA$2,3,IF(Sheet!FB22=Sheet!FB$2,2,IF(Sheet!FC22=Sheet!FC$2,1,""))))</f>
        <v>2</v>
      </c>
      <c r="FD22" s="58">
        <f>IF(Sheet!FD22=Sheet!FD$2,4,IF(Sheet!FE22=Sheet!FE$2,3,IF(Sheet!FF22=Sheet!FF$2,2,IF(Sheet!FG22=Sheet!FG$2,1,""))))</f>
        <v>3</v>
      </c>
      <c r="FH22" s="58">
        <f>IF(Sheet!FH22=Sheet!FH$2,4,IF(Sheet!FI22=Sheet!FI$2,3,IF(Sheet!FJ22=Sheet!FJ$2,2,IF(Sheet!FK22=Sheet!FK$2,1,""))))</f>
        <v>4</v>
      </c>
      <c r="FL22" s="58">
        <f>IF(Sheet!FL22=Sheet!FL$2,4,IF(Sheet!FM22=Sheet!FM$2,3,IF(Sheet!FN22=Sheet!FN$2,2,IF(Sheet!FO22=Sheet!FO$2,1,""))))</f>
        <v>3</v>
      </c>
    </row>
    <row r="23" spans="1:168">
      <c r="A23" t="str">
        <f>Sheet!A23</f>
        <v>TK001</v>
      </c>
      <c r="E23" t="s">
        <v>39</v>
      </c>
      <c r="G23">
        <v>19</v>
      </c>
      <c r="AT23" s="56">
        <f t="shared" si="0"/>
        <v>2.193548387096774</v>
      </c>
      <c r="AV23" s="58">
        <f>IF(Sheet!AV23=Sheet!AV$2,4,IF(Sheet!AW23=Sheet!AW$2,3,IF(Sheet!AX23=Sheet!AX$2,2,IF(Sheet!AY23=Sheet!AY$2,1,""))))</f>
        <v>2</v>
      </c>
      <c r="AZ23" s="58">
        <f>IF(Sheet!AZ23=Sheet!AZ$2,4,IF(Sheet!BA23=Sheet!BA$2,3,IF(Sheet!BB23=Sheet!BB$2,2,IF(Sheet!BC23=Sheet!BC$2,1,""))))</f>
        <v>2</v>
      </c>
      <c r="BD23" s="58">
        <f>IF(Sheet!BD23=Sheet!BD$2,4,IF(Sheet!BE23=Sheet!BE$2,3,IF(Sheet!BF23=Sheet!BF$2,2,IF(Sheet!BG23=Sheet!BG$2,1,""))))</f>
        <v>2</v>
      </c>
      <c r="BH23" s="58">
        <f>IF(Sheet!BH23=Sheet!BH$2,4,IF(Sheet!BI23=Sheet!BI$2,3,IF(Sheet!BJ23=Sheet!BJ$2,2,IF(Sheet!BK23=Sheet!BK$2,1,""))))</f>
        <v>3</v>
      </c>
      <c r="BL23" s="58">
        <f>IF(Sheet!BL23=Sheet!BL$2,4,IF(Sheet!BM23=Sheet!BM$2,3,IF(Sheet!BN23=Sheet!BN$2,2,IF(Sheet!BO23=Sheet!BO$2,1,""))))</f>
        <v>2</v>
      </c>
      <c r="BP23" s="58">
        <f>IF(Sheet!BP23=Sheet!BP$2,4,IF(Sheet!BQ23=Sheet!BQ$2,3,IF(Sheet!BR23=Sheet!BR$2,2,IF(Sheet!BS23=Sheet!BS$2,1,""))))</f>
        <v>2</v>
      </c>
      <c r="BT23" s="58">
        <f>IF(Sheet!BT23=Sheet!BT$2,4,IF(Sheet!BU23=Sheet!BU$2,3,IF(Sheet!BV23=Sheet!BV$2,2,IF(Sheet!BW23=Sheet!BW$2,1,""))))</f>
        <v>3</v>
      </c>
      <c r="BX23" s="58">
        <f>IF(Sheet!BX23=Sheet!BX$2,4,IF(Sheet!BY23=Sheet!BY$2,3,IF(Sheet!BZ23=Sheet!BZ$2,2,IF(Sheet!CA23=Sheet!CA$2,1,""))))</f>
        <v>4</v>
      </c>
      <c r="CB23" s="58">
        <f>IF(Sheet!CB23=Sheet!CB$2,4,IF(Sheet!CC23=Sheet!CC$2,3,IF(Sheet!CD23=Sheet!CD$2,2,IF(Sheet!CE23=Sheet!CE$2,1,""))))</f>
        <v>3</v>
      </c>
      <c r="CF23" s="58">
        <f>IF(Sheet!CF23=Sheet!CF$2,4,IF(Sheet!CG23=Sheet!CG$2,3,IF(Sheet!CH23=Sheet!CH$2,2,IF(Sheet!CI23=Sheet!CI$2,1,""))))</f>
        <v>3</v>
      </c>
      <c r="CJ23" s="58">
        <f>IF(Sheet!CJ23=Sheet!CJ$2,4,IF(Sheet!CK23=Sheet!CK$2,3,IF(Sheet!CL23=Sheet!CL$2,2,IF(Sheet!CM23=Sheet!CM$2,1,""))))</f>
        <v>1</v>
      </c>
      <c r="CN23" s="58">
        <f>IF(Sheet!CN23=Sheet!CN$2,4,IF(Sheet!CO23=Sheet!CO$2,3,IF(Sheet!CP23=Sheet!CP$2,2,IF(Sheet!CQ23=Sheet!CQ$2,1,""))))</f>
        <v>3</v>
      </c>
      <c r="CR23" s="58">
        <f>IF(Sheet!CR23=Sheet!CR$2,4,IF(Sheet!CS23=Sheet!CS$2,3,IF(Sheet!CT23=Sheet!CT$2,2,IF(Sheet!CU23=Sheet!CU$2,1,""))))</f>
        <v>2</v>
      </c>
      <c r="CV23" s="58">
        <f>IF(Sheet!CV23=Sheet!CV$2,4,IF(Sheet!CW23=Sheet!CW$2,3,IF(Sheet!CX23=Sheet!CX$2,2,IF(Sheet!CY23=Sheet!CY$2,1,""))))</f>
        <v>1</v>
      </c>
      <c r="CZ23" s="58">
        <f>IF(Sheet!CZ23=Sheet!CZ$2,4,IF(Sheet!DA23=Sheet!DA$2,3,IF(Sheet!DB23=Sheet!DB$2,2,IF(Sheet!DC23=Sheet!DC$2,1,""))))</f>
        <v>1</v>
      </c>
      <c r="DD23" s="58">
        <f>IF(Sheet!DD23=Sheet!DD$2,4,IF(Sheet!DE23=Sheet!DE$2,3,IF(Sheet!DF23=Sheet!DF$2,2,IF(Sheet!DG23=Sheet!DG$2,1,""))))</f>
        <v>1</v>
      </c>
      <c r="DH23" s="58">
        <f>IF(Sheet!DH23=Sheet!DH$2,4,IF(Sheet!DI23=Sheet!DI$2,3,IF(Sheet!DJ23=Sheet!DJ$2,2,IF(Sheet!DK23=Sheet!DK$2,1,""))))</f>
        <v>3</v>
      </c>
      <c r="DL23" s="58">
        <f>IF(Sheet!DL23=Sheet!DL$2,4,IF(Sheet!DM23=Sheet!DM$2,3,IF(Sheet!DN23=Sheet!DN$2,2,IF(Sheet!DO23=Sheet!DO$2,1,""))))</f>
        <v>4</v>
      </c>
      <c r="DP23" s="58">
        <f>IF(Sheet!DP23=Sheet!DP$2,4,IF(Sheet!DQ23=Sheet!DQ$2,3,IF(Sheet!DR23=Sheet!DR$2,2,IF(Sheet!DS23=Sheet!DS$2,1,""))))</f>
        <v>2</v>
      </c>
      <c r="DT23" s="58">
        <f>IF(Sheet!DT23=Sheet!DT$2,4,IF(Sheet!DU23=Sheet!DU$2,3,IF(Sheet!DV23=Sheet!DV$2,2,IF(Sheet!DW23=Sheet!DW$2,1,""))))</f>
        <v>1</v>
      </c>
      <c r="DX23" s="58">
        <f>IF(Sheet!DX23=Sheet!DX$2,4,IF(Sheet!DY23=Sheet!DY$2,3,IF(Sheet!DZ23=Sheet!DZ$2,2,IF(Sheet!EA23=Sheet!EA$2,1,""))))</f>
        <v>1</v>
      </c>
      <c r="EB23" s="58">
        <f>IF(Sheet!EB23=Sheet!EB$2,4,IF(Sheet!EC23=Sheet!EC$2,3,IF(Sheet!ED23=Sheet!ED$2,2,IF(Sheet!EE23=Sheet!EE$2,1,""))))</f>
        <v>2</v>
      </c>
      <c r="EF23" s="58">
        <f>IF(Sheet!EF23=Sheet!EF$2,4,IF(Sheet!EG23=Sheet!EG$2,3,IF(Sheet!EH23=Sheet!EH$2,2,IF(Sheet!EI23=Sheet!EI$2,1,""))))</f>
        <v>1</v>
      </c>
      <c r="EJ23" s="58">
        <f>IF(Sheet!EJ23=Sheet!EJ$2,4,IF(Sheet!EK23=Sheet!EK$2,3,IF(Sheet!EL23=Sheet!EL$2,2,IF(Sheet!EM23=Sheet!EM$2,1,""))))</f>
        <v>1</v>
      </c>
      <c r="EN23" s="58">
        <f>IF(Sheet!EN23=Sheet!EN$2,4,IF(Sheet!EO23=Sheet!EO$2,3,IF(Sheet!EP23=Sheet!EP$2,2,IF(Sheet!EQ23=Sheet!EQ$2,1,""))))</f>
        <v>2</v>
      </c>
      <c r="ER23" s="58">
        <f>IF(Sheet!ER23=Sheet!ER$2,4,IF(Sheet!ES23=Sheet!ES$2,3,IF(Sheet!ET23=Sheet!ET$2,2,IF(Sheet!EU23=Sheet!EU$2,1,""))))</f>
        <v>4</v>
      </c>
      <c r="EV23" s="58">
        <f>IF(Sheet!EV23=Sheet!EV$2,4,IF(Sheet!EW23=Sheet!EW$2,3,IF(Sheet!EX23=Sheet!EX$2,2,IF(Sheet!EY23=Sheet!EY$2,1,""))))</f>
        <v>2</v>
      </c>
      <c r="EZ23" s="58">
        <f>IF(Sheet!EZ23=Sheet!EZ$2,4,IF(Sheet!FA23=Sheet!FA$2,3,IF(Sheet!FB23=Sheet!FB$2,2,IF(Sheet!FC23=Sheet!FC$2,1,""))))</f>
        <v>2</v>
      </c>
      <c r="FD23" s="58">
        <f>IF(Sheet!FD23=Sheet!FD$2,4,IF(Sheet!FE23=Sheet!FE$2,3,IF(Sheet!FF23=Sheet!FF$2,2,IF(Sheet!FG23=Sheet!FG$2,1,""))))</f>
        <v>2</v>
      </c>
      <c r="FH23" s="58">
        <f>IF(Sheet!FH23=Sheet!FH$2,4,IF(Sheet!FI23=Sheet!FI$2,3,IF(Sheet!FJ23=Sheet!FJ$2,2,IF(Sheet!FK23=Sheet!FK$2,1,""))))</f>
        <v>3</v>
      </c>
      <c r="FL23" s="58">
        <f>IF(Sheet!FL23=Sheet!FL$2,4,IF(Sheet!FM23=Sheet!FM$2,3,IF(Sheet!FN23=Sheet!FN$2,2,IF(Sheet!FO23=Sheet!FO$2,1,""))))</f>
        <v>3</v>
      </c>
    </row>
    <row r="24" spans="1:168">
      <c r="A24" t="str">
        <f>Sheet!A24</f>
        <v>PG001</v>
      </c>
      <c r="E24" t="s">
        <v>40</v>
      </c>
      <c r="G24">
        <v>10</v>
      </c>
      <c r="AT24" s="56">
        <f t="shared" si="0"/>
        <v>2.032258064516129</v>
      </c>
      <c r="AV24" s="58">
        <f>IF(Sheet!AV24=Sheet!AV$2,4,IF(Sheet!AW24=Sheet!AW$2,3,IF(Sheet!AX24=Sheet!AX$2,2,IF(Sheet!AY24=Sheet!AY$2,1,""))))</f>
        <v>1</v>
      </c>
      <c r="AZ24" s="58">
        <f>IF(Sheet!AZ24=Sheet!AZ$2,4,IF(Sheet!BA24=Sheet!BA$2,3,IF(Sheet!BB24=Sheet!BB$2,2,IF(Sheet!BC24=Sheet!BC$2,1,""))))</f>
        <v>1</v>
      </c>
      <c r="BD24" s="58">
        <f>IF(Sheet!BD24=Sheet!BD$2,4,IF(Sheet!BE24=Sheet!BE$2,3,IF(Sheet!BF24=Sheet!BF$2,2,IF(Sheet!BG24=Sheet!BG$2,1,""))))</f>
        <v>1</v>
      </c>
      <c r="BH24" s="58">
        <f>IF(Sheet!BH24=Sheet!BH$2,4,IF(Sheet!BI24=Sheet!BI$2,3,IF(Sheet!BJ24=Sheet!BJ$2,2,IF(Sheet!BK24=Sheet!BK$2,1,""))))</f>
        <v>2</v>
      </c>
      <c r="BL24" s="58">
        <f>IF(Sheet!BL24=Sheet!BL$2,4,IF(Sheet!BM24=Sheet!BM$2,3,IF(Sheet!BN24=Sheet!BN$2,2,IF(Sheet!BO24=Sheet!BO$2,1,""))))</f>
        <v>3</v>
      </c>
      <c r="BP24" s="58">
        <f>IF(Sheet!BP24=Sheet!BP$2,4,IF(Sheet!BQ24=Sheet!BQ$2,3,IF(Sheet!BR24=Sheet!BR$2,2,IF(Sheet!BS24=Sheet!BS$2,1,""))))</f>
        <v>1</v>
      </c>
      <c r="BT24" s="58">
        <f>IF(Sheet!BT24=Sheet!BT$2,4,IF(Sheet!BU24=Sheet!BU$2,3,IF(Sheet!BV24=Sheet!BV$2,2,IF(Sheet!BW24=Sheet!BW$2,1,""))))</f>
        <v>2</v>
      </c>
      <c r="BX24" s="58">
        <f>IF(Sheet!BX24=Sheet!BX$2,4,IF(Sheet!BY24=Sheet!BY$2,3,IF(Sheet!BZ24=Sheet!BZ$2,2,IF(Sheet!CA24=Sheet!CA$2,1,""))))</f>
        <v>2</v>
      </c>
      <c r="CB24" s="58">
        <f>IF(Sheet!CB24=Sheet!CB$2,4,IF(Sheet!CC24=Sheet!CC$2,3,IF(Sheet!CD24=Sheet!CD$2,2,IF(Sheet!CE24=Sheet!CE$2,1,""))))</f>
        <v>2</v>
      </c>
      <c r="CF24" s="58">
        <f>IF(Sheet!CF24=Sheet!CF$2,4,IF(Sheet!CG24=Sheet!CG$2,3,IF(Sheet!CH24=Sheet!CH$2,2,IF(Sheet!CI24=Sheet!CI$2,1,""))))</f>
        <v>1</v>
      </c>
      <c r="CJ24" s="58">
        <f>IF(Sheet!CJ24=Sheet!CJ$2,4,IF(Sheet!CK24=Sheet!CK$2,3,IF(Sheet!CL24=Sheet!CL$2,2,IF(Sheet!CM24=Sheet!CM$2,1,""))))</f>
        <v>2</v>
      </c>
      <c r="CN24" s="58">
        <f>IF(Sheet!CN24=Sheet!CN$2,4,IF(Sheet!CO24=Sheet!CO$2,3,IF(Sheet!CP24=Sheet!CP$2,2,IF(Sheet!CQ24=Sheet!CQ$2,1,""))))</f>
        <v>2</v>
      </c>
      <c r="CR24" s="58">
        <f>IF(Sheet!CR24=Sheet!CR$2,4,IF(Sheet!CS24=Sheet!CS$2,3,IF(Sheet!CT24=Sheet!CT$2,2,IF(Sheet!CU24=Sheet!CU$2,1,""))))</f>
        <v>3</v>
      </c>
      <c r="CV24" s="58">
        <f>IF(Sheet!CV24=Sheet!CV$2,4,IF(Sheet!CW24=Sheet!CW$2,3,IF(Sheet!CX24=Sheet!CX$2,2,IF(Sheet!CY24=Sheet!CY$2,1,""))))</f>
        <v>4</v>
      </c>
      <c r="CZ24" s="58">
        <f>IF(Sheet!CZ24=Sheet!CZ$2,4,IF(Sheet!DA24=Sheet!DA$2,3,IF(Sheet!DB24=Sheet!DB$2,2,IF(Sheet!DC24=Sheet!DC$2,1,""))))</f>
        <v>3</v>
      </c>
      <c r="DD24" s="58">
        <f>IF(Sheet!DD24=Sheet!DD$2,4,IF(Sheet!DE24=Sheet!DE$2,3,IF(Sheet!DF24=Sheet!DF$2,2,IF(Sheet!DG24=Sheet!DG$2,1,""))))</f>
        <v>4</v>
      </c>
      <c r="DH24" s="58">
        <f>IF(Sheet!DH24=Sheet!DH$2,4,IF(Sheet!DI24=Sheet!DI$2,3,IF(Sheet!DJ24=Sheet!DJ$2,2,IF(Sheet!DK24=Sheet!DK$2,1,""))))</f>
        <v>3</v>
      </c>
      <c r="DL24" s="58">
        <f>IF(Sheet!DL24=Sheet!DL$2,4,IF(Sheet!DM24=Sheet!DM$2,3,IF(Sheet!DN24=Sheet!DN$2,2,IF(Sheet!DO24=Sheet!DO$2,1,""))))</f>
        <v>2</v>
      </c>
      <c r="DP24" s="58">
        <f>IF(Sheet!DP24=Sheet!DP$2,4,IF(Sheet!DQ24=Sheet!DQ$2,3,IF(Sheet!DR24=Sheet!DR$2,2,IF(Sheet!DS24=Sheet!DS$2,1,""))))</f>
        <v>3</v>
      </c>
      <c r="DT24" s="58">
        <f>IF(Sheet!DT24=Sheet!DT$2,4,IF(Sheet!DU24=Sheet!DU$2,3,IF(Sheet!DV24=Sheet!DV$2,2,IF(Sheet!DW24=Sheet!DW$2,1,""))))</f>
        <v>3</v>
      </c>
      <c r="DX24" s="58">
        <f>IF(Sheet!DX24=Sheet!DX$2,4,IF(Sheet!DY24=Sheet!DY$2,3,IF(Sheet!DZ24=Sheet!DZ$2,2,IF(Sheet!EA24=Sheet!EA$2,1,""))))</f>
        <v>1</v>
      </c>
      <c r="EB24" s="58">
        <f>IF(Sheet!EB24=Sheet!EB$2,4,IF(Sheet!EC24=Sheet!EC$2,3,IF(Sheet!ED24=Sheet!ED$2,2,IF(Sheet!EE24=Sheet!EE$2,1,""))))</f>
        <v>2</v>
      </c>
      <c r="EF24" s="58">
        <f>IF(Sheet!EF24=Sheet!EF$2,4,IF(Sheet!EG24=Sheet!EG$2,3,IF(Sheet!EH24=Sheet!EH$2,2,IF(Sheet!EI24=Sheet!EI$2,1,""))))</f>
        <v>1</v>
      </c>
      <c r="EJ24" s="58">
        <f>IF(Sheet!EJ24=Sheet!EJ$2,4,IF(Sheet!EK24=Sheet!EK$2,3,IF(Sheet!EL24=Sheet!EL$2,2,IF(Sheet!EM24=Sheet!EM$2,1,""))))</f>
        <v>1</v>
      </c>
      <c r="EN24" s="58">
        <f>IF(Sheet!EN24=Sheet!EN$2,4,IF(Sheet!EO24=Sheet!EO$2,3,IF(Sheet!EP24=Sheet!EP$2,2,IF(Sheet!EQ24=Sheet!EQ$2,1,""))))</f>
        <v>1</v>
      </c>
      <c r="ER24" s="58">
        <f>IF(Sheet!ER24=Sheet!ER$2,4,IF(Sheet!ES24=Sheet!ES$2,3,IF(Sheet!ET24=Sheet!ET$2,2,IF(Sheet!EU24=Sheet!EU$2,1,""))))</f>
        <v>3</v>
      </c>
      <c r="EV24" s="58">
        <f>IF(Sheet!EV24=Sheet!EV$2,4,IF(Sheet!EW24=Sheet!EW$2,3,IF(Sheet!EX24=Sheet!EX$2,2,IF(Sheet!EY24=Sheet!EY$2,1,""))))</f>
        <v>3</v>
      </c>
      <c r="EZ24" s="58">
        <f>IF(Sheet!EZ24=Sheet!EZ$2,4,IF(Sheet!FA24=Sheet!FA$2,3,IF(Sheet!FB24=Sheet!FB$2,2,IF(Sheet!FC24=Sheet!FC$2,1,""))))</f>
        <v>1</v>
      </c>
      <c r="FD24" s="58">
        <f>IF(Sheet!FD24=Sheet!FD$2,4,IF(Sheet!FE24=Sheet!FE$2,3,IF(Sheet!FF24=Sheet!FF$2,2,IF(Sheet!FG24=Sheet!FG$2,1,""))))</f>
        <v>1</v>
      </c>
      <c r="FH24" s="58">
        <f>IF(Sheet!FH24=Sheet!FH$2,4,IF(Sheet!FI24=Sheet!FI$2,3,IF(Sheet!FJ24=Sheet!FJ$2,2,IF(Sheet!FK24=Sheet!FK$2,1,""))))</f>
        <v>2</v>
      </c>
      <c r="FL24" s="58">
        <f>IF(Sheet!FL24=Sheet!FL$2,4,IF(Sheet!FM24=Sheet!FM$2,3,IF(Sheet!FN24=Sheet!FN$2,2,IF(Sheet!FO24=Sheet!FO$2,1,""))))</f>
        <v>2</v>
      </c>
    </row>
    <row r="25" spans="1:168">
      <c r="A25" t="str">
        <f>Sheet!A25</f>
        <v>CV001</v>
      </c>
      <c r="E25" t="s">
        <v>41</v>
      </c>
      <c r="G25">
        <v>11</v>
      </c>
      <c r="AT25" s="56">
        <f t="shared" si="0"/>
        <v>2.6451612903225805</v>
      </c>
      <c r="AV25" s="58">
        <f>IF(Sheet!AV25=Sheet!AV$2,4,IF(Sheet!AW25=Sheet!AW$2,3,IF(Sheet!AX25=Sheet!AX$2,2,IF(Sheet!AY25=Sheet!AY$2,1,""))))</f>
        <v>1</v>
      </c>
      <c r="AZ25" s="58">
        <f>IF(Sheet!AZ25=Sheet!AZ$2,4,IF(Sheet!BA25=Sheet!BA$2,3,IF(Sheet!BB25=Sheet!BB$2,2,IF(Sheet!BC25=Sheet!BC$2,1,""))))</f>
        <v>2</v>
      </c>
      <c r="BD25" s="58">
        <f>IF(Sheet!BD25=Sheet!BD$2,4,IF(Sheet!BE25=Sheet!BE$2,3,IF(Sheet!BF25=Sheet!BF$2,2,IF(Sheet!BG25=Sheet!BG$2,1,""))))</f>
        <v>4</v>
      </c>
      <c r="BH25" s="58">
        <f>IF(Sheet!BH25=Sheet!BH$2,4,IF(Sheet!BI25=Sheet!BI$2,3,IF(Sheet!BJ25=Sheet!BJ$2,2,IF(Sheet!BK25=Sheet!BK$2,1,""))))</f>
        <v>2</v>
      </c>
      <c r="BL25" s="58">
        <f>IF(Sheet!BL25=Sheet!BL$2,4,IF(Sheet!BM25=Sheet!BM$2,3,IF(Sheet!BN25=Sheet!BN$2,2,IF(Sheet!BO25=Sheet!BO$2,1,""))))</f>
        <v>3</v>
      </c>
      <c r="BP25" s="58">
        <f>IF(Sheet!BP25=Sheet!BP$2,4,IF(Sheet!BQ25=Sheet!BQ$2,3,IF(Sheet!BR25=Sheet!BR$2,2,IF(Sheet!BS25=Sheet!BS$2,1,""))))</f>
        <v>1</v>
      </c>
      <c r="BT25" s="58">
        <f>IF(Sheet!BT25=Sheet!BT$2,4,IF(Sheet!BU25=Sheet!BU$2,3,IF(Sheet!BV25=Sheet!BV$2,2,IF(Sheet!BW25=Sheet!BW$2,1,""))))</f>
        <v>1</v>
      </c>
      <c r="BX25" s="58">
        <f>IF(Sheet!BX25=Sheet!BX$2,4,IF(Sheet!BY25=Sheet!BY$2,3,IF(Sheet!BZ25=Sheet!BZ$2,2,IF(Sheet!CA25=Sheet!CA$2,1,""))))</f>
        <v>4</v>
      </c>
      <c r="CB25" s="58">
        <f>IF(Sheet!CB25=Sheet!CB$2,4,IF(Sheet!CC25=Sheet!CC$2,3,IF(Sheet!CD25=Sheet!CD$2,2,IF(Sheet!CE25=Sheet!CE$2,1,""))))</f>
        <v>2</v>
      </c>
      <c r="CF25" s="58">
        <f>IF(Sheet!CF25=Sheet!CF$2,4,IF(Sheet!CG25=Sheet!CG$2,3,IF(Sheet!CH25=Sheet!CH$2,2,IF(Sheet!CI25=Sheet!CI$2,1,""))))</f>
        <v>4</v>
      </c>
      <c r="CJ25" s="58">
        <f>IF(Sheet!CJ25=Sheet!CJ$2,4,IF(Sheet!CK25=Sheet!CK$2,3,IF(Sheet!CL25=Sheet!CL$2,2,IF(Sheet!CM25=Sheet!CM$2,1,""))))</f>
        <v>4</v>
      </c>
      <c r="CN25" s="58">
        <f>IF(Sheet!CN25=Sheet!CN$2,4,IF(Sheet!CO25=Sheet!CO$2,3,IF(Sheet!CP25=Sheet!CP$2,2,IF(Sheet!CQ25=Sheet!CQ$2,1,""))))</f>
        <v>3</v>
      </c>
      <c r="CR25" s="58">
        <f>IF(Sheet!CR25=Sheet!CR$2,4,IF(Sheet!CS25=Sheet!CS$2,3,IF(Sheet!CT25=Sheet!CT$2,2,IF(Sheet!CU25=Sheet!CU$2,1,""))))</f>
        <v>3</v>
      </c>
      <c r="CV25" s="58">
        <f>IF(Sheet!CV25=Sheet!CV$2,4,IF(Sheet!CW25=Sheet!CW$2,3,IF(Sheet!CX25=Sheet!CX$2,2,IF(Sheet!CY25=Sheet!CY$2,1,""))))</f>
        <v>1</v>
      </c>
      <c r="CZ25" s="58">
        <f>IF(Sheet!CZ25=Sheet!CZ$2,4,IF(Sheet!DA25=Sheet!DA$2,3,IF(Sheet!DB25=Sheet!DB$2,2,IF(Sheet!DC25=Sheet!DC$2,1,""))))</f>
        <v>1</v>
      </c>
      <c r="DD25" s="58">
        <f>IF(Sheet!DD25=Sheet!DD$2,4,IF(Sheet!DE25=Sheet!DE$2,3,IF(Sheet!DF25=Sheet!DF$2,2,IF(Sheet!DG25=Sheet!DG$2,1,""))))</f>
        <v>3</v>
      </c>
      <c r="DH25" s="58">
        <f>IF(Sheet!DH25=Sheet!DH$2,4,IF(Sheet!DI25=Sheet!DI$2,3,IF(Sheet!DJ25=Sheet!DJ$2,2,IF(Sheet!DK25=Sheet!DK$2,1,""))))</f>
        <v>4</v>
      </c>
      <c r="DL25" s="58">
        <f>IF(Sheet!DL25=Sheet!DL$2,4,IF(Sheet!DM25=Sheet!DM$2,3,IF(Sheet!DN25=Sheet!DN$2,2,IF(Sheet!DO25=Sheet!DO$2,1,""))))</f>
        <v>4</v>
      </c>
      <c r="DP25" s="58">
        <f>IF(Sheet!DP25=Sheet!DP$2,4,IF(Sheet!DQ25=Sheet!DQ$2,3,IF(Sheet!DR25=Sheet!DR$2,2,IF(Sheet!DS25=Sheet!DS$2,1,""))))</f>
        <v>4</v>
      </c>
      <c r="DT25" s="58">
        <f>IF(Sheet!DT25=Sheet!DT$2,4,IF(Sheet!DU25=Sheet!DU$2,3,IF(Sheet!DV25=Sheet!DV$2,2,IF(Sheet!DW25=Sheet!DW$2,1,""))))</f>
        <v>2</v>
      </c>
      <c r="DX25" s="58">
        <f>IF(Sheet!DX25=Sheet!DX$2,4,IF(Sheet!DY25=Sheet!DY$2,3,IF(Sheet!DZ25=Sheet!DZ$2,2,IF(Sheet!EA25=Sheet!EA$2,1,""))))</f>
        <v>1</v>
      </c>
      <c r="EB25" s="58">
        <f>IF(Sheet!EB25=Sheet!EB$2,4,IF(Sheet!EC25=Sheet!EC$2,3,IF(Sheet!ED25=Sheet!ED$2,2,IF(Sheet!EE25=Sheet!EE$2,1,""))))</f>
        <v>4</v>
      </c>
      <c r="EF25" s="58">
        <f>IF(Sheet!EF25=Sheet!EF$2,4,IF(Sheet!EG25=Sheet!EG$2,3,IF(Sheet!EH25=Sheet!EH$2,2,IF(Sheet!EI25=Sheet!EI$2,1,""))))</f>
        <v>1</v>
      </c>
      <c r="EJ25" s="58">
        <f>IF(Sheet!EJ25=Sheet!EJ$2,4,IF(Sheet!EK25=Sheet!EK$2,3,IF(Sheet!EL25=Sheet!EL$2,2,IF(Sheet!EM25=Sheet!EM$2,1,""))))</f>
        <v>3</v>
      </c>
      <c r="EN25" s="58">
        <f>IF(Sheet!EN25=Sheet!EN$2,4,IF(Sheet!EO25=Sheet!EO$2,3,IF(Sheet!EP25=Sheet!EP$2,2,IF(Sheet!EQ25=Sheet!EQ$2,1,""))))</f>
        <v>3</v>
      </c>
      <c r="ER25" s="58">
        <f>IF(Sheet!ER25=Sheet!ER$2,4,IF(Sheet!ES25=Sheet!ES$2,3,IF(Sheet!ET25=Sheet!ET$2,2,IF(Sheet!EU25=Sheet!EU$2,1,""))))</f>
        <v>1</v>
      </c>
      <c r="EV25" s="58">
        <f>IF(Sheet!EV25=Sheet!EV$2,4,IF(Sheet!EW25=Sheet!EW$2,3,IF(Sheet!EX25=Sheet!EX$2,2,IF(Sheet!EY25=Sheet!EY$2,1,""))))</f>
        <v>2</v>
      </c>
      <c r="EZ25" s="58">
        <f>IF(Sheet!EZ25=Sheet!EZ$2,4,IF(Sheet!FA25=Sheet!FA$2,3,IF(Sheet!FB25=Sheet!FB$2,2,IF(Sheet!FC25=Sheet!FC$2,1,""))))</f>
        <v>4</v>
      </c>
      <c r="FD25" s="58">
        <f>IF(Sheet!FD25=Sheet!FD$2,4,IF(Sheet!FE25=Sheet!FE$2,3,IF(Sheet!FF25=Sheet!FF$2,2,IF(Sheet!FG25=Sheet!FG$2,1,""))))</f>
        <v>4</v>
      </c>
      <c r="FH25" s="58">
        <f>IF(Sheet!FH25=Sheet!FH$2,4,IF(Sheet!FI25=Sheet!FI$2,3,IF(Sheet!FJ25=Sheet!FJ$2,2,IF(Sheet!FK25=Sheet!FK$2,1,""))))</f>
        <v>2</v>
      </c>
      <c r="FL25" s="58">
        <f>IF(Sheet!FL25=Sheet!FL$2,4,IF(Sheet!FM25=Sheet!FM$2,3,IF(Sheet!FN25=Sheet!FN$2,2,IF(Sheet!FO25=Sheet!FO$2,1,""))))</f>
        <v>4</v>
      </c>
    </row>
    <row r="26" spans="1:168">
      <c r="A26" t="str">
        <f>Sheet!A26</f>
        <v>CG001</v>
      </c>
      <c r="E26" t="s">
        <v>42</v>
      </c>
      <c r="G26">
        <v>7</v>
      </c>
      <c r="AT26" s="56">
        <f t="shared" si="0"/>
        <v>3</v>
      </c>
      <c r="AV26" s="58">
        <f>IF(Sheet!AV26=Sheet!AV$2,4,IF(Sheet!AW26=Sheet!AW$2,3,IF(Sheet!AX26=Sheet!AX$2,2,IF(Sheet!AY26=Sheet!AY$2,1,""))))</f>
        <v>3</v>
      </c>
      <c r="AZ26" s="58">
        <f>IF(Sheet!AZ26=Sheet!AZ$2,4,IF(Sheet!BA26=Sheet!BA$2,3,IF(Sheet!BB26=Sheet!BB$2,2,IF(Sheet!BC26=Sheet!BC$2,1,""))))</f>
        <v>4</v>
      </c>
      <c r="BD26" s="58">
        <f>IF(Sheet!BD26=Sheet!BD$2,4,IF(Sheet!BE26=Sheet!BE$2,3,IF(Sheet!BF26=Sheet!BF$2,2,IF(Sheet!BG26=Sheet!BG$2,1,""))))</f>
        <v>2</v>
      </c>
      <c r="BH26" s="58">
        <f>IF(Sheet!BH26=Sheet!BH$2,4,IF(Sheet!BI26=Sheet!BI$2,3,IF(Sheet!BJ26=Sheet!BJ$2,2,IF(Sheet!BK26=Sheet!BK$2,1,""))))</f>
        <v>4</v>
      </c>
      <c r="BL26" s="58">
        <f>IF(Sheet!BL26=Sheet!BL$2,4,IF(Sheet!BM26=Sheet!BM$2,3,IF(Sheet!BN26=Sheet!BN$2,2,IF(Sheet!BO26=Sheet!BO$2,1,""))))</f>
        <v>2</v>
      </c>
      <c r="BP26" s="58">
        <f>IF(Sheet!BP26=Sheet!BP$2,4,IF(Sheet!BQ26=Sheet!BQ$2,3,IF(Sheet!BR26=Sheet!BR$2,2,IF(Sheet!BS26=Sheet!BS$2,1,""))))</f>
        <v>3</v>
      </c>
      <c r="BT26" s="58">
        <f>IF(Sheet!BT26=Sheet!BT$2,4,IF(Sheet!BU26=Sheet!BU$2,3,IF(Sheet!BV26=Sheet!BV$2,2,IF(Sheet!BW26=Sheet!BW$2,1,""))))</f>
        <v>2</v>
      </c>
      <c r="BX26" s="58">
        <f>IF(Sheet!BX26=Sheet!BX$2,4,IF(Sheet!BY26=Sheet!BY$2,3,IF(Sheet!BZ26=Sheet!BZ$2,2,IF(Sheet!CA26=Sheet!CA$2,1,""))))</f>
        <v>3</v>
      </c>
      <c r="CB26" s="58">
        <f>IF(Sheet!CB26=Sheet!CB$2,4,IF(Sheet!CC26=Sheet!CC$2,3,IF(Sheet!CD26=Sheet!CD$2,2,IF(Sheet!CE26=Sheet!CE$2,1,""))))</f>
        <v>4</v>
      </c>
      <c r="CF26" s="58">
        <f>IF(Sheet!CF26=Sheet!CF$2,4,IF(Sheet!CG26=Sheet!CG$2,3,IF(Sheet!CH26=Sheet!CH$2,2,IF(Sheet!CI26=Sheet!CI$2,1,""))))</f>
        <v>3</v>
      </c>
      <c r="CJ26" s="58">
        <f>IF(Sheet!CJ26=Sheet!CJ$2,4,IF(Sheet!CK26=Sheet!CK$2,3,IF(Sheet!CL26=Sheet!CL$2,2,IF(Sheet!CM26=Sheet!CM$2,1,""))))</f>
        <v>4</v>
      </c>
      <c r="CN26" s="58">
        <f>IF(Sheet!CN26=Sheet!CN$2,4,IF(Sheet!CO26=Sheet!CO$2,3,IF(Sheet!CP26=Sheet!CP$2,2,IF(Sheet!CQ26=Sheet!CQ$2,1,""))))</f>
        <v>3</v>
      </c>
      <c r="CR26" s="58">
        <f>IF(Sheet!CR26=Sheet!CR$2,4,IF(Sheet!CS26=Sheet!CS$2,3,IF(Sheet!CT26=Sheet!CT$2,2,IF(Sheet!CU26=Sheet!CU$2,1,""))))</f>
        <v>4</v>
      </c>
      <c r="CV26" s="58">
        <f>IF(Sheet!CV26=Sheet!CV$2,4,IF(Sheet!CW26=Sheet!CW$2,3,IF(Sheet!CX26=Sheet!CX$2,2,IF(Sheet!CY26=Sheet!CY$2,1,""))))</f>
        <v>3</v>
      </c>
      <c r="CZ26" s="58">
        <f>IF(Sheet!CZ26=Sheet!CZ$2,4,IF(Sheet!DA26=Sheet!DA$2,3,IF(Sheet!DB26=Sheet!DB$2,2,IF(Sheet!DC26=Sheet!DC$2,1,""))))</f>
        <v>2</v>
      </c>
      <c r="DD26" s="58">
        <f>IF(Sheet!DD26=Sheet!DD$2,4,IF(Sheet!DE26=Sheet!DE$2,3,IF(Sheet!DF26=Sheet!DF$2,2,IF(Sheet!DG26=Sheet!DG$2,1,""))))</f>
        <v>4</v>
      </c>
      <c r="DH26" s="58">
        <f>IF(Sheet!DH26=Sheet!DH$2,4,IF(Sheet!DI26=Sheet!DI$2,3,IF(Sheet!DJ26=Sheet!DJ$2,2,IF(Sheet!DK26=Sheet!DK$2,1,""))))</f>
        <v>3</v>
      </c>
      <c r="DL26" s="58">
        <f>IF(Sheet!DL26=Sheet!DL$2,4,IF(Sheet!DM26=Sheet!DM$2,3,IF(Sheet!DN26=Sheet!DN$2,2,IF(Sheet!DO26=Sheet!DO$2,1,""))))</f>
        <v>4</v>
      </c>
      <c r="DP26" s="58">
        <f>IF(Sheet!DP26=Sheet!DP$2,4,IF(Sheet!DQ26=Sheet!DQ$2,3,IF(Sheet!DR26=Sheet!DR$2,2,IF(Sheet!DS26=Sheet!DS$2,1,""))))</f>
        <v>4</v>
      </c>
      <c r="DT26" s="58">
        <f>IF(Sheet!DT26=Sheet!DT$2,4,IF(Sheet!DU26=Sheet!DU$2,3,IF(Sheet!DV26=Sheet!DV$2,2,IF(Sheet!DW26=Sheet!DW$2,1,""))))</f>
        <v>4</v>
      </c>
      <c r="DX26" s="58">
        <f>IF(Sheet!DX26=Sheet!DX$2,4,IF(Sheet!DY26=Sheet!DY$2,3,IF(Sheet!DZ26=Sheet!DZ$2,2,IF(Sheet!EA26=Sheet!EA$2,1,""))))</f>
        <v>3</v>
      </c>
      <c r="EB26" s="58">
        <f>IF(Sheet!EB26=Sheet!EB$2,4,IF(Sheet!EC26=Sheet!EC$2,3,IF(Sheet!ED26=Sheet!ED$2,2,IF(Sheet!EE26=Sheet!EE$2,1,""))))</f>
        <v>3</v>
      </c>
      <c r="EF26" s="58">
        <f>IF(Sheet!EF26=Sheet!EF$2,4,IF(Sheet!EG26=Sheet!EG$2,3,IF(Sheet!EH26=Sheet!EH$2,2,IF(Sheet!EI26=Sheet!EI$2,1,""))))</f>
        <v>1</v>
      </c>
      <c r="EJ26" s="58">
        <f>IF(Sheet!EJ26=Sheet!EJ$2,4,IF(Sheet!EK26=Sheet!EK$2,3,IF(Sheet!EL26=Sheet!EL$2,2,IF(Sheet!EM26=Sheet!EM$2,1,""))))</f>
        <v>2</v>
      </c>
      <c r="EN26" s="58">
        <f>IF(Sheet!EN26=Sheet!EN$2,4,IF(Sheet!EO26=Sheet!EO$2,3,IF(Sheet!EP26=Sheet!EP$2,2,IF(Sheet!EQ26=Sheet!EQ$2,1,""))))</f>
        <v>1</v>
      </c>
      <c r="ER26" s="58">
        <f>IF(Sheet!ER26=Sheet!ER$2,4,IF(Sheet!ES26=Sheet!ES$2,3,IF(Sheet!ET26=Sheet!ET$2,2,IF(Sheet!EU26=Sheet!EU$2,1,""))))</f>
        <v>3</v>
      </c>
      <c r="EV26" s="58">
        <f>IF(Sheet!EV26=Sheet!EV$2,4,IF(Sheet!EW26=Sheet!EW$2,3,IF(Sheet!EX26=Sheet!EX$2,2,IF(Sheet!EY26=Sheet!EY$2,1,""))))</f>
        <v>4</v>
      </c>
      <c r="EZ26" s="58">
        <f>IF(Sheet!EZ26=Sheet!EZ$2,4,IF(Sheet!FA26=Sheet!FA$2,3,IF(Sheet!FB26=Sheet!FB$2,2,IF(Sheet!FC26=Sheet!FC$2,1,""))))</f>
        <v>3</v>
      </c>
      <c r="FD26" s="58">
        <f>IF(Sheet!FD26=Sheet!FD$2,4,IF(Sheet!FE26=Sheet!FE$2,3,IF(Sheet!FF26=Sheet!FF$2,2,IF(Sheet!FG26=Sheet!FG$2,1,""))))</f>
        <v>2</v>
      </c>
      <c r="FH26" s="58">
        <f>IF(Sheet!FH26=Sheet!FH$2,4,IF(Sheet!FI26=Sheet!FI$2,3,IF(Sheet!FJ26=Sheet!FJ$2,2,IF(Sheet!FK26=Sheet!FK$2,1,""))))</f>
        <v>4</v>
      </c>
      <c r="FL26" s="58">
        <f>IF(Sheet!FL26=Sheet!FL$2,4,IF(Sheet!FM26=Sheet!FM$2,3,IF(Sheet!FN26=Sheet!FN$2,2,IF(Sheet!FO26=Sheet!FO$2,1,""))))</f>
        <v>2</v>
      </c>
    </row>
    <row r="27" spans="1:168">
      <c r="A27" t="str">
        <f>Sheet!A27</f>
        <v>RG001</v>
      </c>
      <c r="E27" t="s">
        <v>43</v>
      </c>
      <c r="G27">
        <v>25</v>
      </c>
      <c r="AT27" s="56">
        <f t="shared" si="0"/>
        <v>2.193548387096774</v>
      </c>
      <c r="AV27" s="58">
        <f>IF(Sheet!AV27=Sheet!AV$2,4,IF(Sheet!AW27=Sheet!AW$2,3,IF(Sheet!AX27=Sheet!AX$2,2,IF(Sheet!AY27=Sheet!AY$2,1,""))))</f>
        <v>2</v>
      </c>
      <c r="AZ27" s="58">
        <f>IF(Sheet!AZ27=Sheet!AZ$2,4,IF(Sheet!BA27=Sheet!BA$2,3,IF(Sheet!BB27=Sheet!BB$2,2,IF(Sheet!BC27=Sheet!BC$2,1,""))))</f>
        <v>1</v>
      </c>
      <c r="BD27" s="58">
        <f>IF(Sheet!BD27=Sheet!BD$2,4,IF(Sheet!BE27=Sheet!BE$2,3,IF(Sheet!BF27=Sheet!BF$2,2,IF(Sheet!BG27=Sheet!BG$2,1,""))))</f>
        <v>2</v>
      </c>
      <c r="BH27" s="58">
        <f>IF(Sheet!BH27=Sheet!BH$2,4,IF(Sheet!BI27=Sheet!BI$2,3,IF(Sheet!BJ27=Sheet!BJ$2,2,IF(Sheet!BK27=Sheet!BK$2,1,""))))</f>
        <v>4</v>
      </c>
      <c r="BL27" s="58">
        <f>IF(Sheet!BL27=Sheet!BL$2,4,IF(Sheet!BM27=Sheet!BM$2,3,IF(Sheet!BN27=Sheet!BN$2,2,IF(Sheet!BO27=Sheet!BO$2,1,""))))</f>
        <v>4</v>
      </c>
      <c r="BP27" s="58">
        <f>IF(Sheet!BP27=Sheet!BP$2,4,IF(Sheet!BQ27=Sheet!BQ$2,3,IF(Sheet!BR27=Sheet!BR$2,2,IF(Sheet!BS27=Sheet!BS$2,1,""))))</f>
        <v>1</v>
      </c>
      <c r="BT27" s="58">
        <f>IF(Sheet!BT27=Sheet!BT$2,4,IF(Sheet!BU27=Sheet!BU$2,3,IF(Sheet!BV27=Sheet!BV$2,2,IF(Sheet!BW27=Sheet!BW$2,1,""))))</f>
        <v>1</v>
      </c>
      <c r="BX27" s="58">
        <f>IF(Sheet!BX27=Sheet!BX$2,4,IF(Sheet!BY27=Sheet!BY$2,3,IF(Sheet!BZ27=Sheet!BZ$2,2,IF(Sheet!CA27=Sheet!CA$2,1,""))))</f>
        <v>4</v>
      </c>
      <c r="CB27" s="58">
        <f>IF(Sheet!CB27=Sheet!CB$2,4,IF(Sheet!CC27=Sheet!CC$2,3,IF(Sheet!CD27=Sheet!CD$2,2,IF(Sheet!CE27=Sheet!CE$2,1,""))))</f>
        <v>1</v>
      </c>
      <c r="CF27" s="58">
        <f>IF(Sheet!CF27=Sheet!CF$2,4,IF(Sheet!CG27=Sheet!CG$2,3,IF(Sheet!CH27=Sheet!CH$2,2,IF(Sheet!CI27=Sheet!CI$2,1,""))))</f>
        <v>3</v>
      </c>
      <c r="CJ27" s="58">
        <f>IF(Sheet!CJ27=Sheet!CJ$2,4,IF(Sheet!CK27=Sheet!CK$2,3,IF(Sheet!CL27=Sheet!CL$2,2,IF(Sheet!CM27=Sheet!CM$2,1,""))))</f>
        <v>1</v>
      </c>
      <c r="CN27" s="58">
        <f>IF(Sheet!CN27=Sheet!CN$2,4,IF(Sheet!CO27=Sheet!CO$2,3,IF(Sheet!CP27=Sheet!CP$2,2,IF(Sheet!CQ27=Sheet!CQ$2,1,""))))</f>
        <v>4</v>
      </c>
      <c r="CR27" s="58">
        <f>IF(Sheet!CR27=Sheet!CR$2,4,IF(Sheet!CS27=Sheet!CS$2,3,IF(Sheet!CT27=Sheet!CT$2,2,IF(Sheet!CU27=Sheet!CU$2,1,""))))</f>
        <v>3</v>
      </c>
      <c r="CV27" s="58">
        <f>IF(Sheet!CV27=Sheet!CV$2,4,IF(Sheet!CW27=Sheet!CW$2,3,IF(Sheet!CX27=Sheet!CX$2,2,IF(Sheet!CY27=Sheet!CY$2,1,""))))</f>
        <v>1</v>
      </c>
      <c r="CZ27" s="58">
        <f>IF(Sheet!CZ27=Sheet!CZ$2,4,IF(Sheet!DA27=Sheet!DA$2,3,IF(Sheet!DB27=Sheet!DB$2,2,IF(Sheet!DC27=Sheet!DC$2,1,""))))</f>
        <v>1</v>
      </c>
      <c r="DD27" s="58">
        <f>IF(Sheet!DD27=Sheet!DD$2,4,IF(Sheet!DE27=Sheet!DE$2,3,IF(Sheet!DF27=Sheet!DF$2,2,IF(Sheet!DG27=Sheet!DG$2,1,""))))</f>
        <v>2</v>
      </c>
      <c r="DH27" s="58">
        <f>IF(Sheet!DH27=Sheet!DH$2,4,IF(Sheet!DI27=Sheet!DI$2,3,IF(Sheet!DJ27=Sheet!DJ$2,2,IF(Sheet!DK27=Sheet!DK$2,1,""))))</f>
        <v>4</v>
      </c>
      <c r="DL27" s="58">
        <f>IF(Sheet!DL27=Sheet!DL$2,4,IF(Sheet!DM27=Sheet!DM$2,3,IF(Sheet!DN27=Sheet!DN$2,2,IF(Sheet!DO27=Sheet!DO$2,1,""))))</f>
        <v>4</v>
      </c>
      <c r="DP27" s="58">
        <f>IF(Sheet!DP27=Sheet!DP$2,4,IF(Sheet!DQ27=Sheet!DQ$2,3,IF(Sheet!DR27=Sheet!DR$2,2,IF(Sheet!DS27=Sheet!DS$2,1,""))))</f>
        <v>2</v>
      </c>
      <c r="DT27" s="58">
        <f>IF(Sheet!DT27=Sheet!DT$2,4,IF(Sheet!DU27=Sheet!DU$2,3,IF(Sheet!DV27=Sheet!DV$2,2,IF(Sheet!DW27=Sheet!DW$2,1,""))))</f>
        <v>2</v>
      </c>
      <c r="DX27" s="58">
        <f>IF(Sheet!DX27=Sheet!DX$2,4,IF(Sheet!DY27=Sheet!DY$2,3,IF(Sheet!DZ27=Sheet!DZ$2,2,IF(Sheet!EA27=Sheet!EA$2,1,""))))</f>
        <v>1</v>
      </c>
      <c r="EB27" s="58">
        <f>IF(Sheet!EB27=Sheet!EB$2,4,IF(Sheet!EC27=Sheet!EC$2,3,IF(Sheet!ED27=Sheet!ED$2,2,IF(Sheet!EE27=Sheet!EE$2,1,""))))</f>
        <v>1</v>
      </c>
      <c r="EF27" s="58">
        <f>IF(Sheet!EF27=Sheet!EF$2,4,IF(Sheet!EG27=Sheet!EG$2,3,IF(Sheet!EH27=Sheet!EH$2,2,IF(Sheet!EI27=Sheet!EI$2,1,""))))</f>
        <v>1</v>
      </c>
      <c r="EJ27" s="58">
        <f>IF(Sheet!EJ27=Sheet!EJ$2,4,IF(Sheet!EK27=Sheet!EK$2,3,IF(Sheet!EL27=Sheet!EL$2,2,IF(Sheet!EM27=Sheet!EM$2,1,""))))</f>
        <v>1</v>
      </c>
      <c r="EN27" s="58">
        <f>IF(Sheet!EN27=Sheet!EN$2,4,IF(Sheet!EO27=Sheet!EO$2,3,IF(Sheet!EP27=Sheet!EP$2,2,IF(Sheet!EQ27=Sheet!EQ$2,1,""))))</f>
        <v>1</v>
      </c>
      <c r="ER27" s="58">
        <f>IF(Sheet!ER27=Sheet!ER$2,4,IF(Sheet!ES27=Sheet!ES$2,3,IF(Sheet!ET27=Sheet!ET$2,2,IF(Sheet!EU27=Sheet!EU$2,1,""))))</f>
        <v>3</v>
      </c>
      <c r="EV27" s="58">
        <f>IF(Sheet!EV27=Sheet!EV$2,4,IF(Sheet!EW27=Sheet!EW$2,3,IF(Sheet!EX27=Sheet!EX$2,2,IF(Sheet!EY27=Sheet!EY$2,1,""))))</f>
        <v>3</v>
      </c>
      <c r="EZ27" s="58">
        <f>IF(Sheet!EZ27=Sheet!EZ$2,4,IF(Sheet!FA27=Sheet!FA$2,3,IF(Sheet!FB27=Sheet!FB$2,2,IF(Sheet!FC27=Sheet!FC$2,1,""))))</f>
        <v>2</v>
      </c>
      <c r="FD27" s="58">
        <f>IF(Sheet!FD27=Sheet!FD$2,4,IF(Sheet!FE27=Sheet!FE$2,3,IF(Sheet!FF27=Sheet!FF$2,2,IF(Sheet!FG27=Sheet!FG$2,1,""))))</f>
        <v>3</v>
      </c>
      <c r="FH27" s="58">
        <f>IF(Sheet!FH27=Sheet!FH$2,4,IF(Sheet!FI27=Sheet!FI$2,3,IF(Sheet!FJ27=Sheet!FJ$2,2,IF(Sheet!FK27=Sheet!FK$2,1,""))))</f>
        <v>1</v>
      </c>
      <c r="FL27" s="58">
        <f>IF(Sheet!FL27=Sheet!FL$2,4,IF(Sheet!FM27=Sheet!FM$2,3,IF(Sheet!FN27=Sheet!FN$2,2,IF(Sheet!FO27=Sheet!FO$2,1,""))))</f>
        <v>4</v>
      </c>
    </row>
    <row r="28" spans="1:168">
      <c r="A28" t="str">
        <f>Sheet!A28</f>
        <v>AO001</v>
      </c>
      <c r="E28" t="s">
        <v>44</v>
      </c>
      <c r="F28" s="15">
        <f>G28/66</f>
        <v>0.69696969696969702</v>
      </c>
      <c r="G28">
        <v>46</v>
      </c>
      <c r="AT28" s="56">
        <f t="shared" si="0"/>
        <v>2.3225806451612905</v>
      </c>
      <c r="AV28" s="58">
        <f>IF(Sheet!AV28=Sheet!AV$2,4,IF(Sheet!AW28=Sheet!AW$2,3,IF(Sheet!AX28=Sheet!AX$2,2,IF(Sheet!AY28=Sheet!AY$2,1,""))))</f>
        <v>3</v>
      </c>
      <c r="AZ28" s="58">
        <f>IF(Sheet!AZ28=Sheet!AZ$2,4,IF(Sheet!BA28=Sheet!BA$2,3,IF(Sheet!BB28=Sheet!BB$2,2,IF(Sheet!BC28=Sheet!BC$2,1,""))))</f>
        <v>2</v>
      </c>
      <c r="BD28" s="58">
        <f>IF(Sheet!BD28=Sheet!BD$2,4,IF(Sheet!BE28=Sheet!BE$2,3,IF(Sheet!BF28=Sheet!BF$2,2,IF(Sheet!BG28=Sheet!BG$2,1,""))))</f>
        <v>3</v>
      </c>
      <c r="BH28" s="58">
        <f>IF(Sheet!BH28=Sheet!BH$2,4,IF(Sheet!BI28=Sheet!BI$2,3,IF(Sheet!BJ28=Sheet!BJ$2,2,IF(Sheet!BK28=Sheet!BK$2,1,""))))</f>
        <v>1</v>
      </c>
      <c r="BL28" s="58">
        <f>IF(Sheet!BL28=Sheet!BL$2,4,IF(Sheet!BM28=Sheet!BM$2,3,IF(Sheet!BN28=Sheet!BN$2,2,IF(Sheet!BO28=Sheet!BO$2,1,""))))</f>
        <v>4</v>
      </c>
      <c r="BP28" s="58">
        <f>IF(Sheet!BP28=Sheet!BP$2,4,IF(Sheet!BQ28=Sheet!BQ$2,3,IF(Sheet!BR28=Sheet!BR$2,2,IF(Sheet!BS28=Sheet!BS$2,1,""))))</f>
        <v>2</v>
      </c>
      <c r="BT28" s="58">
        <f>IF(Sheet!BT28=Sheet!BT$2,4,IF(Sheet!BU28=Sheet!BU$2,3,IF(Sheet!BV28=Sheet!BV$2,2,IF(Sheet!BW28=Sheet!BW$2,1,""))))</f>
        <v>2</v>
      </c>
      <c r="BX28" s="58">
        <f>IF(Sheet!BX28=Sheet!BX$2,4,IF(Sheet!BY28=Sheet!BY$2,3,IF(Sheet!BZ28=Sheet!BZ$2,2,IF(Sheet!CA28=Sheet!CA$2,1,""))))</f>
        <v>2</v>
      </c>
      <c r="CB28" s="58">
        <f>IF(Sheet!CB28=Sheet!CB$2,4,IF(Sheet!CC28=Sheet!CC$2,3,IF(Sheet!CD28=Sheet!CD$2,2,IF(Sheet!CE28=Sheet!CE$2,1,""))))</f>
        <v>1</v>
      </c>
      <c r="CF28" s="58">
        <f>IF(Sheet!CF28=Sheet!CF$2,4,IF(Sheet!CG28=Sheet!CG$2,3,IF(Sheet!CH28=Sheet!CH$2,2,IF(Sheet!CI28=Sheet!CI$2,1,""))))</f>
        <v>2</v>
      </c>
      <c r="CJ28" s="58">
        <f>IF(Sheet!CJ28=Sheet!CJ$2,4,IF(Sheet!CK28=Sheet!CK$2,3,IF(Sheet!CL28=Sheet!CL$2,2,IF(Sheet!CM28=Sheet!CM$2,1,""))))</f>
        <v>2</v>
      </c>
      <c r="CN28" s="58">
        <f>IF(Sheet!CN28=Sheet!CN$2,4,IF(Sheet!CO28=Sheet!CO$2,3,IF(Sheet!CP28=Sheet!CP$2,2,IF(Sheet!CQ28=Sheet!CQ$2,1,""))))</f>
        <v>3</v>
      </c>
      <c r="CR28" s="58">
        <f>IF(Sheet!CR28=Sheet!CR$2,4,IF(Sheet!CS28=Sheet!CS$2,3,IF(Sheet!CT28=Sheet!CT$2,2,IF(Sheet!CU28=Sheet!CU$2,1,""))))</f>
        <v>3</v>
      </c>
      <c r="CV28" s="58">
        <f>IF(Sheet!CV28=Sheet!CV$2,4,IF(Sheet!CW28=Sheet!CW$2,3,IF(Sheet!CX28=Sheet!CX$2,2,IF(Sheet!CY28=Sheet!CY$2,1,""))))</f>
        <v>3</v>
      </c>
      <c r="CZ28" s="58">
        <f>IF(Sheet!CZ28=Sheet!CZ$2,4,IF(Sheet!DA28=Sheet!DA$2,3,IF(Sheet!DB28=Sheet!DB$2,2,IF(Sheet!DC28=Sheet!DC$2,1,""))))</f>
        <v>3</v>
      </c>
      <c r="DD28" s="58">
        <f>IF(Sheet!DD28=Sheet!DD$2,4,IF(Sheet!DE28=Sheet!DE$2,3,IF(Sheet!DF28=Sheet!DF$2,2,IF(Sheet!DG28=Sheet!DG$2,1,""))))</f>
        <v>3</v>
      </c>
      <c r="DH28" s="58">
        <f>IF(Sheet!DH28=Sheet!DH$2,4,IF(Sheet!DI28=Sheet!DI$2,3,IF(Sheet!DJ28=Sheet!DJ$2,2,IF(Sheet!DK28=Sheet!DK$2,1,""))))</f>
        <v>3</v>
      </c>
      <c r="DL28" s="58">
        <f>IF(Sheet!DL28=Sheet!DL$2,4,IF(Sheet!DM28=Sheet!DM$2,3,IF(Sheet!DN28=Sheet!DN$2,2,IF(Sheet!DO28=Sheet!DO$2,1,""))))</f>
        <v>4</v>
      </c>
      <c r="DP28" s="58">
        <f>IF(Sheet!DP28=Sheet!DP$2,4,IF(Sheet!DQ28=Sheet!DQ$2,3,IF(Sheet!DR28=Sheet!DR$2,2,IF(Sheet!DS28=Sheet!DS$2,1,""))))</f>
        <v>3</v>
      </c>
      <c r="DT28" s="58">
        <f>IF(Sheet!DT28=Sheet!DT$2,4,IF(Sheet!DU28=Sheet!DU$2,3,IF(Sheet!DV28=Sheet!DV$2,2,IF(Sheet!DW28=Sheet!DW$2,1,""))))</f>
        <v>2</v>
      </c>
      <c r="DX28" s="58">
        <f>IF(Sheet!DX28=Sheet!DX$2,4,IF(Sheet!DY28=Sheet!DY$2,3,IF(Sheet!DZ28=Sheet!DZ$2,2,IF(Sheet!EA28=Sheet!EA$2,1,""))))</f>
        <v>2</v>
      </c>
      <c r="EB28" s="58">
        <f>IF(Sheet!EB28=Sheet!EB$2,4,IF(Sheet!EC28=Sheet!EC$2,3,IF(Sheet!ED28=Sheet!ED$2,2,IF(Sheet!EE28=Sheet!EE$2,1,""))))</f>
        <v>2</v>
      </c>
      <c r="EF28" s="58">
        <f>IF(Sheet!EF28=Sheet!EF$2,4,IF(Sheet!EG28=Sheet!EG$2,3,IF(Sheet!EH28=Sheet!EH$2,2,IF(Sheet!EI28=Sheet!EI$2,1,""))))</f>
        <v>1</v>
      </c>
      <c r="EJ28" s="58">
        <f>IF(Sheet!EJ28=Sheet!EJ$2,4,IF(Sheet!EK28=Sheet!EK$2,3,IF(Sheet!EL28=Sheet!EL$2,2,IF(Sheet!EM28=Sheet!EM$2,1,""))))</f>
        <v>2</v>
      </c>
      <c r="EN28" s="58">
        <f>IF(Sheet!EN28=Sheet!EN$2,4,IF(Sheet!EO28=Sheet!EO$2,3,IF(Sheet!EP28=Sheet!EP$2,2,IF(Sheet!EQ28=Sheet!EQ$2,1,""))))</f>
        <v>2</v>
      </c>
      <c r="ER28" s="58">
        <f>IF(Sheet!ER28=Sheet!ER$2,4,IF(Sheet!ES28=Sheet!ES$2,3,IF(Sheet!ET28=Sheet!ET$2,2,IF(Sheet!EU28=Sheet!EU$2,1,""))))</f>
        <v>2</v>
      </c>
      <c r="EV28" s="58">
        <f>IF(Sheet!EV28=Sheet!EV$2,4,IF(Sheet!EW28=Sheet!EW$2,3,IF(Sheet!EX28=Sheet!EX$2,2,IF(Sheet!EY28=Sheet!EY$2,1,""))))</f>
        <v>1</v>
      </c>
      <c r="EZ28" s="58">
        <f>IF(Sheet!EZ28=Sheet!EZ$2,4,IF(Sheet!FA28=Sheet!FA$2,3,IF(Sheet!FB28=Sheet!FB$2,2,IF(Sheet!FC28=Sheet!FC$2,1,""))))</f>
        <v>1</v>
      </c>
      <c r="FD28" s="58">
        <f>IF(Sheet!FD28=Sheet!FD$2,4,IF(Sheet!FE28=Sheet!FE$2,3,IF(Sheet!FF28=Sheet!FF$2,2,IF(Sheet!FG28=Sheet!FG$2,1,""))))</f>
        <v>2</v>
      </c>
      <c r="FH28" s="58">
        <f>IF(Sheet!FH28=Sheet!FH$2,4,IF(Sheet!FI28=Sheet!FI$2,3,IF(Sheet!FJ28=Sheet!FJ$2,2,IF(Sheet!FK28=Sheet!FK$2,1,""))))</f>
        <v>4</v>
      </c>
      <c r="FL28" s="58">
        <f>IF(Sheet!FL28=Sheet!FL$2,4,IF(Sheet!FM28=Sheet!FM$2,3,IF(Sheet!FN28=Sheet!FN$2,2,IF(Sheet!FO28=Sheet!FO$2,1,""))))</f>
        <v>2</v>
      </c>
    </row>
    <row r="29" spans="1:168">
      <c r="A29" t="str">
        <f>Sheet!A29</f>
        <v>FO001</v>
      </c>
      <c r="E29" t="s">
        <v>45</v>
      </c>
      <c r="G29">
        <v>18</v>
      </c>
      <c r="AT29" s="56">
        <f t="shared" si="0"/>
        <v>3.096774193548387</v>
      </c>
      <c r="AV29" s="58">
        <f>IF(Sheet!AV29=Sheet!AV$2,4,IF(Sheet!AW29=Sheet!AW$2,3,IF(Sheet!AX29=Sheet!AX$2,2,IF(Sheet!AY29=Sheet!AY$2,1,""))))</f>
        <v>2</v>
      </c>
      <c r="AZ29" s="58">
        <f>IF(Sheet!AZ29=Sheet!AZ$2,4,IF(Sheet!BA29=Sheet!BA$2,3,IF(Sheet!BB29=Sheet!BB$2,2,IF(Sheet!BC29=Sheet!BC$2,1,""))))</f>
        <v>4</v>
      </c>
      <c r="BD29" s="58">
        <f>IF(Sheet!BD29=Sheet!BD$2,4,IF(Sheet!BE29=Sheet!BE$2,3,IF(Sheet!BF29=Sheet!BF$2,2,IF(Sheet!BG29=Sheet!BG$2,1,""))))</f>
        <v>2</v>
      </c>
      <c r="BH29" s="58">
        <f>IF(Sheet!BH29=Sheet!BH$2,4,IF(Sheet!BI29=Sheet!BI$2,3,IF(Sheet!BJ29=Sheet!BJ$2,2,IF(Sheet!BK29=Sheet!BK$2,1,""))))</f>
        <v>4</v>
      </c>
      <c r="BL29" s="58">
        <f>IF(Sheet!BL29=Sheet!BL$2,4,IF(Sheet!BM29=Sheet!BM$2,3,IF(Sheet!BN29=Sheet!BN$2,2,IF(Sheet!BO29=Sheet!BO$2,1,""))))</f>
        <v>3</v>
      </c>
      <c r="BP29" s="58">
        <f>IF(Sheet!BP29=Sheet!BP$2,4,IF(Sheet!BQ29=Sheet!BQ$2,3,IF(Sheet!BR29=Sheet!BR$2,2,IF(Sheet!BS29=Sheet!BS$2,1,""))))</f>
        <v>3</v>
      </c>
      <c r="BT29" s="58">
        <f>IF(Sheet!BT29=Sheet!BT$2,4,IF(Sheet!BU29=Sheet!BU$2,3,IF(Sheet!BV29=Sheet!BV$2,2,IF(Sheet!BW29=Sheet!BW$2,1,""))))</f>
        <v>2</v>
      </c>
      <c r="BX29" s="58">
        <f>IF(Sheet!BX29=Sheet!BX$2,4,IF(Sheet!BY29=Sheet!BY$2,3,IF(Sheet!BZ29=Sheet!BZ$2,2,IF(Sheet!CA29=Sheet!CA$2,1,""))))</f>
        <v>3</v>
      </c>
      <c r="CB29" s="58">
        <f>IF(Sheet!CB29=Sheet!CB$2,4,IF(Sheet!CC29=Sheet!CC$2,3,IF(Sheet!CD29=Sheet!CD$2,2,IF(Sheet!CE29=Sheet!CE$2,1,""))))</f>
        <v>3</v>
      </c>
      <c r="CF29" s="58">
        <f>IF(Sheet!CF29=Sheet!CF$2,4,IF(Sheet!CG29=Sheet!CG$2,3,IF(Sheet!CH29=Sheet!CH$2,2,IF(Sheet!CI29=Sheet!CI$2,1,""))))</f>
        <v>2</v>
      </c>
      <c r="CJ29" s="58">
        <f>IF(Sheet!CJ29=Sheet!CJ$2,4,IF(Sheet!CK29=Sheet!CK$2,3,IF(Sheet!CL29=Sheet!CL$2,2,IF(Sheet!CM29=Sheet!CM$2,1,""))))</f>
        <v>4</v>
      </c>
      <c r="CN29" s="58">
        <f>IF(Sheet!CN29=Sheet!CN$2,4,IF(Sheet!CO29=Sheet!CO$2,3,IF(Sheet!CP29=Sheet!CP$2,2,IF(Sheet!CQ29=Sheet!CQ$2,1,""))))</f>
        <v>3</v>
      </c>
      <c r="CR29" s="58">
        <f>IF(Sheet!CR29=Sheet!CR$2,4,IF(Sheet!CS29=Sheet!CS$2,3,IF(Sheet!CT29=Sheet!CT$2,2,IF(Sheet!CU29=Sheet!CU$2,1,""))))</f>
        <v>3</v>
      </c>
      <c r="CV29" s="58">
        <f>IF(Sheet!CV29=Sheet!CV$2,4,IF(Sheet!CW29=Sheet!CW$2,3,IF(Sheet!CX29=Sheet!CX$2,2,IF(Sheet!CY29=Sheet!CY$2,1,""))))</f>
        <v>4</v>
      </c>
      <c r="CZ29" s="58">
        <f>IF(Sheet!CZ29=Sheet!CZ$2,4,IF(Sheet!DA29=Sheet!DA$2,3,IF(Sheet!DB29=Sheet!DB$2,2,IF(Sheet!DC29=Sheet!DC$2,1,""))))</f>
        <v>4</v>
      </c>
      <c r="DD29" s="58">
        <f>IF(Sheet!DD29=Sheet!DD$2,4,IF(Sheet!DE29=Sheet!DE$2,3,IF(Sheet!DF29=Sheet!DF$2,2,IF(Sheet!DG29=Sheet!DG$2,1,""))))</f>
        <v>4</v>
      </c>
      <c r="DH29" s="58">
        <f>IF(Sheet!DH29=Sheet!DH$2,4,IF(Sheet!DI29=Sheet!DI$2,3,IF(Sheet!DJ29=Sheet!DJ$2,2,IF(Sheet!DK29=Sheet!DK$2,1,""))))</f>
        <v>4</v>
      </c>
      <c r="DL29" s="58">
        <f>IF(Sheet!DL29=Sheet!DL$2,4,IF(Sheet!DM29=Sheet!DM$2,3,IF(Sheet!DN29=Sheet!DN$2,2,IF(Sheet!DO29=Sheet!DO$2,1,""))))</f>
        <v>3</v>
      </c>
      <c r="DP29" s="58">
        <f>IF(Sheet!DP29=Sheet!DP$2,4,IF(Sheet!DQ29=Sheet!DQ$2,3,IF(Sheet!DR29=Sheet!DR$2,2,IF(Sheet!DS29=Sheet!DS$2,1,""))))</f>
        <v>4</v>
      </c>
      <c r="DT29" s="58">
        <f>IF(Sheet!DT29=Sheet!DT$2,4,IF(Sheet!DU29=Sheet!DU$2,3,IF(Sheet!DV29=Sheet!DV$2,2,IF(Sheet!DW29=Sheet!DW$2,1,""))))</f>
        <v>3</v>
      </c>
      <c r="DX29" s="58">
        <f>IF(Sheet!DX29=Sheet!DX$2,4,IF(Sheet!DY29=Sheet!DY$2,3,IF(Sheet!DZ29=Sheet!DZ$2,2,IF(Sheet!EA29=Sheet!EA$2,1,""))))</f>
        <v>2</v>
      </c>
      <c r="EB29" s="58">
        <f>IF(Sheet!EB29=Sheet!EB$2,4,IF(Sheet!EC29=Sheet!EC$2,3,IF(Sheet!ED29=Sheet!ED$2,2,IF(Sheet!EE29=Sheet!EE$2,1,""))))</f>
        <v>3</v>
      </c>
      <c r="EF29" s="58">
        <f>IF(Sheet!EF29=Sheet!EF$2,4,IF(Sheet!EG29=Sheet!EG$2,3,IF(Sheet!EH29=Sheet!EH$2,2,IF(Sheet!EI29=Sheet!EI$2,1,""))))</f>
        <v>2</v>
      </c>
      <c r="EJ29" s="58">
        <f>IF(Sheet!EJ29=Sheet!EJ$2,4,IF(Sheet!EK29=Sheet!EK$2,3,IF(Sheet!EL29=Sheet!EL$2,2,IF(Sheet!EM29=Sheet!EM$2,1,""))))</f>
        <v>2</v>
      </c>
      <c r="EN29" s="58">
        <f>IF(Sheet!EN29=Sheet!EN$2,4,IF(Sheet!EO29=Sheet!EO$2,3,IF(Sheet!EP29=Sheet!EP$2,2,IF(Sheet!EQ29=Sheet!EQ$2,1,""))))</f>
        <v>2</v>
      </c>
      <c r="ER29" s="58">
        <f>IF(Sheet!ER29=Sheet!ER$2,4,IF(Sheet!ES29=Sheet!ES$2,3,IF(Sheet!ET29=Sheet!ET$2,2,IF(Sheet!EU29=Sheet!EU$2,1,""))))</f>
        <v>3</v>
      </c>
      <c r="EV29" s="58">
        <f>IF(Sheet!EV29=Sheet!EV$2,4,IF(Sheet!EW29=Sheet!EW$2,3,IF(Sheet!EX29=Sheet!EX$2,2,IF(Sheet!EY29=Sheet!EY$2,1,""))))</f>
        <v>4</v>
      </c>
      <c r="EZ29" s="58">
        <f>IF(Sheet!EZ29=Sheet!EZ$2,4,IF(Sheet!FA29=Sheet!FA$2,3,IF(Sheet!FB29=Sheet!FB$2,2,IF(Sheet!FC29=Sheet!FC$2,1,""))))</f>
        <v>3</v>
      </c>
      <c r="FD29" s="58">
        <f>IF(Sheet!FD29=Sheet!FD$2,4,IF(Sheet!FE29=Sheet!FE$2,3,IF(Sheet!FF29=Sheet!FF$2,2,IF(Sheet!FG29=Sheet!FG$2,1,""))))</f>
        <v>3</v>
      </c>
      <c r="FH29" s="58">
        <f>IF(Sheet!FH29=Sheet!FH$2,4,IF(Sheet!FI29=Sheet!FI$2,3,IF(Sheet!FJ29=Sheet!FJ$2,2,IF(Sheet!FK29=Sheet!FK$2,1,""))))</f>
        <v>4</v>
      </c>
      <c r="FL29" s="58">
        <f>IF(Sheet!FL29=Sheet!FL$2,4,IF(Sheet!FM29=Sheet!FM$2,3,IF(Sheet!FN29=Sheet!FN$2,2,IF(Sheet!FO29=Sheet!FO$2,1,""))))</f>
        <v>4</v>
      </c>
    </row>
    <row r="30" spans="1:168">
      <c r="A30" t="str">
        <f>Sheet!A30</f>
        <v>uu001</v>
      </c>
      <c r="E30" t="s">
        <v>46</v>
      </c>
      <c r="G30">
        <v>22</v>
      </c>
      <c r="AT30" s="56">
        <f t="shared" si="0"/>
        <v>2.4838709677419355</v>
      </c>
      <c r="AV30" s="58">
        <f>IF(Sheet!AV30=Sheet!AV$2,4,IF(Sheet!AW30=Sheet!AW$2,3,IF(Sheet!AX30=Sheet!AX$2,2,IF(Sheet!AY30=Sheet!AY$2,1,""))))</f>
        <v>3</v>
      </c>
      <c r="AZ30" s="58">
        <f>IF(Sheet!AZ30=Sheet!AZ$2,4,IF(Sheet!BA30=Sheet!BA$2,3,IF(Sheet!BB30=Sheet!BB$2,2,IF(Sheet!BC30=Sheet!BC$2,1,""))))</f>
        <v>1</v>
      </c>
      <c r="BD30" s="58">
        <f>IF(Sheet!BD30=Sheet!BD$2,4,IF(Sheet!BE30=Sheet!BE$2,3,IF(Sheet!BF30=Sheet!BF$2,2,IF(Sheet!BG30=Sheet!BG$2,1,""))))</f>
        <v>3</v>
      </c>
      <c r="BH30" s="58">
        <f>IF(Sheet!BH30=Sheet!BH$2,4,IF(Sheet!BI30=Sheet!BI$2,3,IF(Sheet!BJ30=Sheet!BJ$2,2,IF(Sheet!BK30=Sheet!BK$2,1,""))))</f>
        <v>1</v>
      </c>
      <c r="BL30" s="58">
        <f>IF(Sheet!BL30=Sheet!BL$2,4,IF(Sheet!BM30=Sheet!BM$2,3,IF(Sheet!BN30=Sheet!BN$2,2,IF(Sheet!BO30=Sheet!BO$2,1,""))))</f>
        <v>3</v>
      </c>
      <c r="BP30" s="58">
        <f>IF(Sheet!BP30=Sheet!BP$2,4,IF(Sheet!BQ30=Sheet!BQ$2,3,IF(Sheet!BR30=Sheet!BR$2,2,IF(Sheet!BS30=Sheet!BS$2,1,""))))</f>
        <v>1</v>
      </c>
      <c r="BT30" s="58">
        <f>IF(Sheet!BT30=Sheet!BT$2,4,IF(Sheet!BU30=Sheet!BU$2,3,IF(Sheet!BV30=Sheet!BV$2,2,IF(Sheet!BW30=Sheet!BW$2,1,""))))</f>
        <v>1</v>
      </c>
      <c r="BX30" s="58">
        <f>IF(Sheet!BX30=Sheet!BX$2,4,IF(Sheet!BY30=Sheet!BY$2,3,IF(Sheet!BZ30=Sheet!BZ$2,2,IF(Sheet!CA30=Sheet!CA$2,1,""))))</f>
        <v>2</v>
      </c>
      <c r="CB30" s="58">
        <f>IF(Sheet!CB30=Sheet!CB$2,4,IF(Sheet!CC30=Sheet!CC$2,3,IF(Sheet!CD30=Sheet!CD$2,2,IF(Sheet!CE30=Sheet!CE$2,1,""))))</f>
        <v>3</v>
      </c>
      <c r="CF30" s="58">
        <f>IF(Sheet!CF30=Sheet!CF$2,4,IF(Sheet!CG30=Sheet!CG$2,3,IF(Sheet!CH30=Sheet!CH$2,2,IF(Sheet!CI30=Sheet!CI$2,1,""))))</f>
        <v>4</v>
      </c>
      <c r="CJ30" s="58">
        <f>IF(Sheet!CJ30=Sheet!CJ$2,4,IF(Sheet!CK30=Sheet!CK$2,3,IF(Sheet!CL30=Sheet!CL$2,2,IF(Sheet!CM30=Sheet!CM$2,1,""))))</f>
        <v>1</v>
      </c>
      <c r="CN30" s="58">
        <f>IF(Sheet!CN30=Sheet!CN$2,4,IF(Sheet!CO30=Sheet!CO$2,3,IF(Sheet!CP30=Sheet!CP$2,2,IF(Sheet!CQ30=Sheet!CQ$2,1,""))))</f>
        <v>2</v>
      </c>
      <c r="CR30" s="58">
        <f>IF(Sheet!CR30=Sheet!CR$2,4,IF(Sheet!CS30=Sheet!CS$2,3,IF(Sheet!CT30=Sheet!CT$2,2,IF(Sheet!CU30=Sheet!CU$2,1,""))))</f>
        <v>3</v>
      </c>
      <c r="CV30" s="58">
        <f>IF(Sheet!CV30=Sheet!CV$2,4,IF(Sheet!CW30=Sheet!CW$2,3,IF(Sheet!CX30=Sheet!CX$2,2,IF(Sheet!CY30=Sheet!CY$2,1,""))))</f>
        <v>2</v>
      </c>
      <c r="CZ30" s="58">
        <f>IF(Sheet!CZ30=Sheet!CZ$2,4,IF(Sheet!DA30=Sheet!DA$2,3,IF(Sheet!DB30=Sheet!DB$2,2,IF(Sheet!DC30=Sheet!DC$2,1,""))))</f>
        <v>1</v>
      </c>
      <c r="DD30" s="58">
        <f>IF(Sheet!DD30=Sheet!DD$2,4,IF(Sheet!DE30=Sheet!DE$2,3,IF(Sheet!DF30=Sheet!DF$2,2,IF(Sheet!DG30=Sheet!DG$2,1,""))))</f>
        <v>2</v>
      </c>
      <c r="DH30" s="58">
        <f>IF(Sheet!DH30=Sheet!DH$2,4,IF(Sheet!DI30=Sheet!DI$2,3,IF(Sheet!DJ30=Sheet!DJ$2,2,IF(Sheet!DK30=Sheet!DK$2,1,""))))</f>
        <v>3</v>
      </c>
      <c r="DL30" s="58">
        <f>IF(Sheet!DL30=Sheet!DL$2,4,IF(Sheet!DM30=Sheet!DM$2,3,IF(Sheet!DN30=Sheet!DN$2,2,IF(Sheet!DO30=Sheet!DO$2,1,""))))</f>
        <v>4</v>
      </c>
      <c r="DP30" s="58">
        <f>IF(Sheet!DP30=Sheet!DP$2,4,IF(Sheet!DQ30=Sheet!DQ$2,3,IF(Sheet!DR30=Sheet!DR$2,2,IF(Sheet!DS30=Sheet!DS$2,1,""))))</f>
        <v>4</v>
      </c>
      <c r="DT30" s="58">
        <f>IF(Sheet!DT30=Sheet!DT$2,4,IF(Sheet!DU30=Sheet!DU$2,3,IF(Sheet!DV30=Sheet!DV$2,2,IF(Sheet!DW30=Sheet!DW$2,1,""))))</f>
        <v>3</v>
      </c>
      <c r="DX30" s="58">
        <f>IF(Sheet!DX30=Sheet!DX$2,4,IF(Sheet!DY30=Sheet!DY$2,3,IF(Sheet!DZ30=Sheet!DZ$2,2,IF(Sheet!EA30=Sheet!EA$2,1,""))))</f>
        <v>1</v>
      </c>
      <c r="EB30" s="58">
        <f>IF(Sheet!EB30=Sheet!EB$2,4,IF(Sheet!EC30=Sheet!EC$2,3,IF(Sheet!ED30=Sheet!ED$2,2,IF(Sheet!EE30=Sheet!EE$2,1,""))))</f>
        <v>2</v>
      </c>
      <c r="EF30" s="58">
        <f>IF(Sheet!EF30=Sheet!EF$2,4,IF(Sheet!EG30=Sheet!EG$2,3,IF(Sheet!EH30=Sheet!EH$2,2,IF(Sheet!EI30=Sheet!EI$2,1,""))))</f>
        <v>1</v>
      </c>
      <c r="EJ30" s="58">
        <f>IF(Sheet!EJ30=Sheet!EJ$2,4,IF(Sheet!EK30=Sheet!EK$2,3,IF(Sheet!EL30=Sheet!EL$2,2,IF(Sheet!EM30=Sheet!EM$2,1,""))))</f>
        <v>2</v>
      </c>
      <c r="EN30" s="58">
        <f>IF(Sheet!EN30=Sheet!EN$2,4,IF(Sheet!EO30=Sheet!EO$2,3,IF(Sheet!EP30=Sheet!EP$2,2,IF(Sheet!EQ30=Sheet!EQ$2,1,""))))</f>
        <v>3</v>
      </c>
      <c r="ER30" s="58">
        <f>IF(Sheet!ER30=Sheet!ER$2,4,IF(Sheet!ES30=Sheet!ES$2,3,IF(Sheet!ET30=Sheet!ET$2,2,IF(Sheet!EU30=Sheet!EU$2,1,""))))</f>
        <v>4</v>
      </c>
      <c r="EV30" s="58">
        <f>IF(Sheet!EV30=Sheet!EV$2,4,IF(Sheet!EW30=Sheet!EW$2,3,IF(Sheet!EX30=Sheet!EX$2,2,IF(Sheet!EY30=Sheet!EY$2,1,""))))</f>
        <v>4</v>
      </c>
      <c r="EZ30" s="58">
        <f>IF(Sheet!EZ30=Sheet!EZ$2,4,IF(Sheet!FA30=Sheet!FA$2,3,IF(Sheet!FB30=Sheet!FB$2,2,IF(Sheet!FC30=Sheet!FC$2,1,""))))</f>
        <v>2</v>
      </c>
      <c r="FD30" s="58">
        <f>IF(Sheet!FD30=Sheet!FD$2,4,IF(Sheet!FE30=Sheet!FE$2,3,IF(Sheet!FF30=Sheet!FF$2,2,IF(Sheet!FG30=Sheet!FG$2,1,""))))</f>
        <v>4</v>
      </c>
      <c r="FH30" s="58">
        <f>IF(Sheet!FH30=Sheet!FH$2,4,IF(Sheet!FI30=Sheet!FI$2,3,IF(Sheet!FJ30=Sheet!FJ$2,2,IF(Sheet!FK30=Sheet!FK$2,1,""))))</f>
        <v>4</v>
      </c>
      <c r="FL30" s="58">
        <f>IF(Sheet!FL30=Sheet!FL$2,4,IF(Sheet!FM30=Sheet!FM$2,3,IF(Sheet!FN30=Sheet!FN$2,2,IF(Sheet!FO30=Sheet!FO$2,1,""))))</f>
        <v>3</v>
      </c>
    </row>
    <row r="31" spans="1:168">
      <c r="A31" t="str">
        <f>Sheet!A31</f>
        <v>ID FP001</v>
      </c>
      <c r="E31" s="6" t="s">
        <v>47</v>
      </c>
      <c r="F31" s="16">
        <f>G31/66</f>
        <v>0.74242424242424243</v>
      </c>
      <c r="G31" s="6">
        <v>49</v>
      </c>
      <c r="AT31" s="56">
        <f t="shared" si="0"/>
        <v>3.032258064516129</v>
      </c>
      <c r="AV31" s="58">
        <f>IF(Sheet!AV31=Sheet!AV$2,4,IF(Sheet!AW31=Sheet!AW$2,3,IF(Sheet!AX31=Sheet!AX$2,2,IF(Sheet!AY31=Sheet!AY$2,1,""))))</f>
        <v>3</v>
      </c>
      <c r="AZ31" s="58">
        <f>IF(Sheet!AZ31=Sheet!AZ$2,4,IF(Sheet!BA31=Sheet!BA$2,3,IF(Sheet!BB31=Sheet!BB$2,2,IF(Sheet!BC31=Sheet!BC$2,1,""))))</f>
        <v>4</v>
      </c>
      <c r="BD31" s="58">
        <f>IF(Sheet!BD31=Sheet!BD$2,4,IF(Sheet!BE31=Sheet!BE$2,3,IF(Sheet!BF31=Sheet!BF$2,2,IF(Sheet!BG31=Sheet!BG$2,1,""))))</f>
        <v>4</v>
      </c>
      <c r="BH31" s="58">
        <f>IF(Sheet!BH31=Sheet!BH$2,4,IF(Sheet!BI31=Sheet!BI$2,3,IF(Sheet!BJ31=Sheet!BJ$2,2,IF(Sheet!BK31=Sheet!BK$2,1,""))))</f>
        <v>3</v>
      </c>
      <c r="BL31" s="58">
        <f>IF(Sheet!BL31=Sheet!BL$2,4,IF(Sheet!BM31=Sheet!BM$2,3,IF(Sheet!BN31=Sheet!BN$2,2,IF(Sheet!BO31=Sheet!BO$2,1,""))))</f>
        <v>3</v>
      </c>
      <c r="BP31" s="58">
        <f>IF(Sheet!BP31=Sheet!BP$2,4,IF(Sheet!BQ31=Sheet!BQ$2,3,IF(Sheet!BR31=Sheet!BR$2,2,IF(Sheet!BS31=Sheet!BS$2,1,""))))</f>
        <v>3</v>
      </c>
      <c r="BT31" s="58">
        <f>IF(Sheet!BT31=Sheet!BT$2,4,IF(Sheet!BU31=Sheet!BU$2,3,IF(Sheet!BV31=Sheet!BV$2,2,IF(Sheet!BW31=Sheet!BW$2,1,""))))</f>
        <v>3</v>
      </c>
      <c r="BX31" s="58">
        <f>IF(Sheet!BX31=Sheet!BX$2,4,IF(Sheet!BY31=Sheet!BY$2,3,IF(Sheet!BZ31=Sheet!BZ$2,2,IF(Sheet!CA31=Sheet!CA$2,1,""))))</f>
        <v>4</v>
      </c>
      <c r="CB31" s="58">
        <f>IF(Sheet!CB31=Sheet!CB$2,4,IF(Sheet!CC31=Sheet!CC$2,3,IF(Sheet!CD31=Sheet!CD$2,2,IF(Sheet!CE31=Sheet!CE$2,1,""))))</f>
        <v>2</v>
      </c>
      <c r="CF31" s="58">
        <f>IF(Sheet!CF31=Sheet!CF$2,4,IF(Sheet!CG31=Sheet!CG$2,3,IF(Sheet!CH31=Sheet!CH$2,2,IF(Sheet!CI31=Sheet!CI$2,1,""))))</f>
        <v>3</v>
      </c>
      <c r="CJ31" s="58">
        <f>IF(Sheet!CJ31=Sheet!CJ$2,4,IF(Sheet!CK31=Sheet!CK$2,3,IF(Sheet!CL31=Sheet!CL$2,2,IF(Sheet!CM31=Sheet!CM$2,1,""))))</f>
        <v>4</v>
      </c>
      <c r="CN31" s="58">
        <f>IF(Sheet!CN31=Sheet!CN$2,4,IF(Sheet!CO31=Sheet!CO$2,3,IF(Sheet!CP31=Sheet!CP$2,2,IF(Sheet!CQ31=Sheet!CQ$2,1,""))))</f>
        <v>3</v>
      </c>
      <c r="CR31" s="58">
        <f>IF(Sheet!CR31=Sheet!CR$2,4,IF(Sheet!CS31=Sheet!CS$2,3,IF(Sheet!CT31=Sheet!CT$2,2,IF(Sheet!CU31=Sheet!CU$2,1,""))))</f>
        <v>2</v>
      </c>
      <c r="CV31" s="58">
        <f>IF(Sheet!CV31=Sheet!CV$2,4,IF(Sheet!CW31=Sheet!CW$2,3,IF(Sheet!CX31=Sheet!CX$2,2,IF(Sheet!CY31=Sheet!CY$2,1,""))))</f>
        <v>4</v>
      </c>
      <c r="CZ31" s="58">
        <f>IF(Sheet!CZ31=Sheet!CZ$2,4,IF(Sheet!DA31=Sheet!DA$2,3,IF(Sheet!DB31=Sheet!DB$2,2,IF(Sheet!DC31=Sheet!DC$2,1,""))))</f>
        <v>3</v>
      </c>
      <c r="DD31" s="58">
        <f>IF(Sheet!DD31=Sheet!DD$2,4,IF(Sheet!DE31=Sheet!DE$2,3,IF(Sheet!DF31=Sheet!DF$2,2,IF(Sheet!DG31=Sheet!DG$2,1,""))))</f>
        <v>4</v>
      </c>
      <c r="DH31" s="58">
        <f>IF(Sheet!DH31=Sheet!DH$2,4,IF(Sheet!DI31=Sheet!DI$2,3,IF(Sheet!DJ31=Sheet!DJ$2,2,IF(Sheet!DK31=Sheet!DK$2,1,""))))</f>
        <v>4</v>
      </c>
      <c r="DL31" s="58">
        <f>IF(Sheet!DL31=Sheet!DL$2,4,IF(Sheet!DM31=Sheet!DM$2,3,IF(Sheet!DN31=Sheet!DN$2,2,IF(Sheet!DO31=Sheet!DO$2,1,""))))</f>
        <v>4</v>
      </c>
      <c r="DP31" s="58">
        <f>IF(Sheet!DP31=Sheet!DP$2,4,IF(Sheet!DQ31=Sheet!DQ$2,3,IF(Sheet!DR31=Sheet!DR$2,2,IF(Sheet!DS31=Sheet!DS$2,1,""))))</f>
        <v>3</v>
      </c>
      <c r="DT31" s="58">
        <f>IF(Sheet!DT31=Sheet!DT$2,4,IF(Sheet!DU31=Sheet!DU$2,3,IF(Sheet!DV31=Sheet!DV$2,2,IF(Sheet!DW31=Sheet!DW$2,1,""))))</f>
        <v>2</v>
      </c>
      <c r="DX31" s="58">
        <f>IF(Sheet!DX31=Sheet!DX$2,4,IF(Sheet!DY31=Sheet!DY$2,3,IF(Sheet!DZ31=Sheet!DZ$2,2,IF(Sheet!EA31=Sheet!EA$2,1,""))))</f>
        <v>3</v>
      </c>
      <c r="EB31" s="58">
        <f>IF(Sheet!EB31=Sheet!EB$2,4,IF(Sheet!EC31=Sheet!EC$2,3,IF(Sheet!ED31=Sheet!ED$2,2,IF(Sheet!EE31=Sheet!EE$2,1,""))))</f>
        <v>3</v>
      </c>
      <c r="EF31" s="58">
        <f>IF(Sheet!EF31=Sheet!EF$2,4,IF(Sheet!EG31=Sheet!EG$2,3,IF(Sheet!EH31=Sheet!EH$2,2,IF(Sheet!EI31=Sheet!EI$2,1,""))))</f>
        <v>4</v>
      </c>
      <c r="EJ31" s="58">
        <f>IF(Sheet!EJ31=Sheet!EJ$2,4,IF(Sheet!EK31=Sheet!EK$2,3,IF(Sheet!EL31=Sheet!EL$2,2,IF(Sheet!EM31=Sheet!EM$2,1,""))))</f>
        <v>2</v>
      </c>
      <c r="EN31" s="58">
        <f>IF(Sheet!EN31=Sheet!EN$2,4,IF(Sheet!EO31=Sheet!EO$2,3,IF(Sheet!EP31=Sheet!EP$2,2,IF(Sheet!EQ31=Sheet!EQ$2,1,""))))</f>
        <v>2</v>
      </c>
      <c r="ER31" s="58">
        <f>IF(Sheet!ER31=Sheet!ER$2,4,IF(Sheet!ES31=Sheet!ES$2,3,IF(Sheet!ET31=Sheet!ET$2,2,IF(Sheet!EU31=Sheet!EU$2,1,""))))</f>
        <v>2</v>
      </c>
      <c r="EV31" s="58">
        <f>IF(Sheet!EV31=Sheet!EV$2,4,IF(Sheet!EW31=Sheet!EW$2,3,IF(Sheet!EX31=Sheet!EX$2,2,IF(Sheet!EY31=Sheet!EY$2,1,""))))</f>
        <v>3</v>
      </c>
      <c r="EZ31" s="58">
        <f>IF(Sheet!EZ31=Sheet!EZ$2,4,IF(Sheet!FA31=Sheet!FA$2,3,IF(Sheet!FB31=Sheet!FB$2,2,IF(Sheet!FC31=Sheet!FC$2,1,""))))</f>
        <v>3</v>
      </c>
      <c r="FD31" s="58">
        <f>IF(Sheet!FD31=Sheet!FD$2,4,IF(Sheet!FE31=Sheet!FE$2,3,IF(Sheet!FF31=Sheet!FF$2,2,IF(Sheet!FG31=Sheet!FG$2,1,""))))</f>
        <v>2</v>
      </c>
      <c r="FH31" s="58">
        <f>IF(Sheet!FH31=Sheet!FH$2,4,IF(Sheet!FI31=Sheet!FI$2,3,IF(Sheet!FJ31=Sheet!FJ$2,2,IF(Sheet!FK31=Sheet!FK$2,1,""))))</f>
        <v>4</v>
      </c>
      <c r="FL31" s="58">
        <f>IF(Sheet!FL31=Sheet!FL$2,4,IF(Sheet!FM31=Sheet!FM$2,3,IF(Sheet!FN31=Sheet!FN$2,2,IF(Sheet!FO31=Sheet!FO$2,1,""))))</f>
        <v>1</v>
      </c>
    </row>
    <row r="32" spans="1:168">
      <c r="A32" t="str">
        <f>Sheet!A32</f>
        <v>FN001</v>
      </c>
      <c r="E32" t="s">
        <v>48</v>
      </c>
      <c r="G32">
        <v>40</v>
      </c>
      <c r="AT32" s="56">
        <f t="shared" si="0"/>
        <v>2.3870967741935485</v>
      </c>
      <c r="AV32" s="58">
        <f>IF(Sheet!AV32=Sheet!AV$2,4,IF(Sheet!AW32=Sheet!AW$2,3,IF(Sheet!AX32=Sheet!AX$2,2,IF(Sheet!AY32=Sheet!AY$2,1,""))))</f>
        <v>2</v>
      </c>
      <c r="AZ32" s="58">
        <f>IF(Sheet!AZ32=Sheet!AZ$2,4,IF(Sheet!BA32=Sheet!BA$2,3,IF(Sheet!BB32=Sheet!BB$2,2,IF(Sheet!BC32=Sheet!BC$2,1,""))))</f>
        <v>3</v>
      </c>
      <c r="BD32" s="58">
        <f>IF(Sheet!BD32=Sheet!BD$2,4,IF(Sheet!BE32=Sheet!BE$2,3,IF(Sheet!BF32=Sheet!BF$2,2,IF(Sheet!BG32=Sheet!BG$2,1,""))))</f>
        <v>2</v>
      </c>
      <c r="BH32" s="58">
        <f>IF(Sheet!BH32=Sheet!BH$2,4,IF(Sheet!BI32=Sheet!BI$2,3,IF(Sheet!BJ32=Sheet!BJ$2,2,IF(Sheet!BK32=Sheet!BK$2,1,""))))</f>
        <v>2</v>
      </c>
      <c r="BL32" s="58">
        <f>IF(Sheet!BL32=Sheet!BL$2,4,IF(Sheet!BM32=Sheet!BM$2,3,IF(Sheet!BN32=Sheet!BN$2,2,IF(Sheet!BO32=Sheet!BO$2,1,""))))</f>
        <v>3</v>
      </c>
      <c r="BP32" s="58">
        <f>IF(Sheet!BP32=Sheet!BP$2,4,IF(Sheet!BQ32=Sheet!BQ$2,3,IF(Sheet!BR32=Sheet!BR$2,2,IF(Sheet!BS32=Sheet!BS$2,1,""))))</f>
        <v>2</v>
      </c>
      <c r="BT32" s="58">
        <f>IF(Sheet!BT32=Sheet!BT$2,4,IF(Sheet!BU32=Sheet!BU$2,3,IF(Sheet!BV32=Sheet!BV$2,2,IF(Sheet!BW32=Sheet!BW$2,1,""))))</f>
        <v>1</v>
      </c>
      <c r="BX32" s="58">
        <f>IF(Sheet!BX32=Sheet!BX$2,4,IF(Sheet!BY32=Sheet!BY$2,3,IF(Sheet!BZ32=Sheet!BZ$2,2,IF(Sheet!CA32=Sheet!CA$2,1,""))))</f>
        <v>3</v>
      </c>
      <c r="CB32" s="58">
        <f>IF(Sheet!CB32=Sheet!CB$2,4,IF(Sheet!CC32=Sheet!CC$2,3,IF(Sheet!CD32=Sheet!CD$2,2,IF(Sheet!CE32=Sheet!CE$2,1,""))))</f>
        <v>3</v>
      </c>
      <c r="CF32" s="58">
        <f>IF(Sheet!CF32=Sheet!CF$2,4,IF(Sheet!CG32=Sheet!CG$2,3,IF(Sheet!CH32=Sheet!CH$2,2,IF(Sheet!CI32=Sheet!CI$2,1,""))))</f>
        <v>2</v>
      </c>
      <c r="CJ32" s="58">
        <f>IF(Sheet!CJ32=Sheet!CJ$2,4,IF(Sheet!CK32=Sheet!CK$2,3,IF(Sheet!CL32=Sheet!CL$2,2,IF(Sheet!CM32=Sheet!CM$2,1,""))))</f>
        <v>2</v>
      </c>
      <c r="CN32" s="58">
        <f>IF(Sheet!CN32=Sheet!CN$2,4,IF(Sheet!CO32=Sheet!CO$2,3,IF(Sheet!CP32=Sheet!CP$2,2,IF(Sheet!CQ32=Sheet!CQ$2,1,""))))</f>
        <v>3</v>
      </c>
      <c r="CR32" s="58">
        <f>IF(Sheet!CR32=Sheet!CR$2,4,IF(Sheet!CS32=Sheet!CS$2,3,IF(Sheet!CT32=Sheet!CT$2,2,IF(Sheet!CU32=Sheet!CU$2,1,""))))</f>
        <v>1</v>
      </c>
      <c r="CV32" s="58">
        <f>IF(Sheet!CV32=Sheet!CV$2,4,IF(Sheet!CW32=Sheet!CW$2,3,IF(Sheet!CX32=Sheet!CX$2,2,IF(Sheet!CY32=Sheet!CY$2,1,""))))</f>
        <v>1</v>
      </c>
      <c r="CZ32" s="58">
        <f>IF(Sheet!CZ32=Sheet!CZ$2,4,IF(Sheet!DA32=Sheet!DA$2,3,IF(Sheet!DB32=Sheet!DB$2,2,IF(Sheet!DC32=Sheet!DC$2,1,""))))</f>
        <v>1</v>
      </c>
      <c r="DD32" s="58">
        <f>IF(Sheet!DD32=Sheet!DD$2,4,IF(Sheet!DE32=Sheet!DE$2,3,IF(Sheet!DF32=Sheet!DF$2,2,IF(Sheet!DG32=Sheet!DG$2,1,""))))</f>
        <v>4</v>
      </c>
      <c r="DH32" s="58">
        <f>IF(Sheet!DH32=Sheet!DH$2,4,IF(Sheet!DI32=Sheet!DI$2,3,IF(Sheet!DJ32=Sheet!DJ$2,2,IF(Sheet!DK32=Sheet!DK$2,1,""))))</f>
        <v>4</v>
      </c>
      <c r="DL32" s="58">
        <f>IF(Sheet!DL32=Sheet!DL$2,4,IF(Sheet!DM32=Sheet!DM$2,3,IF(Sheet!DN32=Sheet!DN$2,2,IF(Sheet!DO32=Sheet!DO$2,1,""))))</f>
        <v>3</v>
      </c>
      <c r="DP32" s="58">
        <f>IF(Sheet!DP32=Sheet!DP$2,4,IF(Sheet!DQ32=Sheet!DQ$2,3,IF(Sheet!DR32=Sheet!DR$2,2,IF(Sheet!DS32=Sheet!DS$2,1,""))))</f>
        <v>4</v>
      </c>
      <c r="DT32" s="58">
        <f>IF(Sheet!DT32=Sheet!DT$2,4,IF(Sheet!DU32=Sheet!DU$2,3,IF(Sheet!DV32=Sheet!DV$2,2,IF(Sheet!DW32=Sheet!DW$2,1,""))))</f>
        <v>3</v>
      </c>
      <c r="DX32" s="58">
        <f>IF(Sheet!DX32=Sheet!DX$2,4,IF(Sheet!DY32=Sheet!DY$2,3,IF(Sheet!DZ32=Sheet!DZ$2,2,IF(Sheet!EA32=Sheet!EA$2,1,""))))</f>
        <v>1</v>
      </c>
      <c r="EB32" s="58">
        <f>IF(Sheet!EB32=Sheet!EB$2,4,IF(Sheet!EC32=Sheet!EC$2,3,IF(Sheet!ED32=Sheet!ED$2,2,IF(Sheet!EE32=Sheet!EE$2,1,""))))</f>
        <v>2</v>
      </c>
      <c r="EF32" s="58">
        <f>IF(Sheet!EF32=Sheet!EF$2,4,IF(Sheet!EG32=Sheet!EG$2,3,IF(Sheet!EH32=Sheet!EH$2,2,IF(Sheet!EI32=Sheet!EI$2,1,""))))</f>
        <v>1</v>
      </c>
      <c r="EJ32" s="58">
        <f>IF(Sheet!EJ32=Sheet!EJ$2,4,IF(Sheet!EK32=Sheet!EK$2,3,IF(Sheet!EL32=Sheet!EL$2,2,IF(Sheet!EM32=Sheet!EM$2,1,""))))</f>
        <v>2</v>
      </c>
      <c r="EN32" s="58">
        <f>IF(Sheet!EN32=Sheet!EN$2,4,IF(Sheet!EO32=Sheet!EO$2,3,IF(Sheet!EP32=Sheet!EP$2,2,IF(Sheet!EQ32=Sheet!EQ$2,1,""))))</f>
        <v>1</v>
      </c>
      <c r="ER32" s="58">
        <f>IF(Sheet!ER32=Sheet!ER$2,4,IF(Sheet!ES32=Sheet!ES$2,3,IF(Sheet!ET32=Sheet!ET$2,2,IF(Sheet!EU32=Sheet!EU$2,1,""))))</f>
        <v>3</v>
      </c>
      <c r="EV32" s="58">
        <f>IF(Sheet!EV32=Sheet!EV$2,4,IF(Sheet!EW32=Sheet!EW$2,3,IF(Sheet!EX32=Sheet!EX$2,2,IF(Sheet!EY32=Sheet!EY$2,1,""))))</f>
        <v>3</v>
      </c>
      <c r="EZ32" s="58">
        <f>IF(Sheet!EZ32=Sheet!EZ$2,4,IF(Sheet!FA32=Sheet!FA$2,3,IF(Sheet!FB32=Sheet!FB$2,2,IF(Sheet!FC32=Sheet!FC$2,1,""))))</f>
        <v>2</v>
      </c>
      <c r="FD32" s="58">
        <f>IF(Sheet!FD32=Sheet!FD$2,4,IF(Sheet!FE32=Sheet!FE$2,3,IF(Sheet!FF32=Sheet!FF$2,2,IF(Sheet!FG32=Sheet!FG$2,1,""))))</f>
        <v>3</v>
      </c>
      <c r="FH32" s="58">
        <f>IF(Sheet!FH32=Sheet!FH$2,4,IF(Sheet!FI32=Sheet!FI$2,3,IF(Sheet!FJ32=Sheet!FJ$2,2,IF(Sheet!FK32=Sheet!FK$2,1,""))))</f>
        <v>3</v>
      </c>
      <c r="FL32" s="58">
        <f>IF(Sheet!FL32=Sheet!FL$2,4,IF(Sheet!FM32=Sheet!FM$2,3,IF(Sheet!FN32=Sheet!FN$2,2,IF(Sheet!FO32=Sheet!FO$2,1,""))))</f>
        <v>4</v>
      </c>
    </row>
    <row r="33" spans="1:168">
      <c r="A33" t="str">
        <f>Sheet!A33</f>
        <v>NI001</v>
      </c>
      <c r="E33" s="17" t="s">
        <v>560</v>
      </c>
      <c r="F33" s="6"/>
      <c r="G33" s="6"/>
      <c r="AT33" s="56">
        <f t="shared" si="0"/>
        <v>2.3548387096774195</v>
      </c>
      <c r="AV33" s="58">
        <f>IF(Sheet!AV33=Sheet!AV$2,4,IF(Sheet!AW33=Sheet!AW$2,3,IF(Sheet!AX33=Sheet!AX$2,2,IF(Sheet!AY33=Sheet!AY$2,1,""))))</f>
        <v>4</v>
      </c>
      <c r="AZ33" s="58">
        <f>IF(Sheet!AZ33=Sheet!AZ$2,4,IF(Sheet!BA33=Sheet!BA$2,3,IF(Sheet!BB33=Sheet!BB$2,2,IF(Sheet!BC33=Sheet!BC$2,1,""))))</f>
        <v>1</v>
      </c>
      <c r="BD33" s="58">
        <f>IF(Sheet!BD33=Sheet!BD$2,4,IF(Sheet!BE33=Sheet!BE$2,3,IF(Sheet!BF33=Sheet!BF$2,2,IF(Sheet!BG33=Sheet!BG$2,1,""))))</f>
        <v>2</v>
      </c>
      <c r="BH33" s="58">
        <f>IF(Sheet!BH33=Sheet!BH$2,4,IF(Sheet!BI33=Sheet!BI$2,3,IF(Sheet!BJ33=Sheet!BJ$2,2,IF(Sheet!BK33=Sheet!BK$2,1,""))))</f>
        <v>2</v>
      </c>
      <c r="BL33" s="58">
        <f>IF(Sheet!BL33=Sheet!BL$2,4,IF(Sheet!BM33=Sheet!BM$2,3,IF(Sheet!BN33=Sheet!BN$2,2,IF(Sheet!BO33=Sheet!BO$2,1,""))))</f>
        <v>4</v>
      </c>
      <c r="BP33" s="58">
        <f>IF(Sheet!BP33=Sheet!BP$2,4,IF(Sheet!BQ33=Sheet!BQ$2,3,IF(Sheet!BR33=Sheet!BR$2,2,IF(Sheet!BS33=Sheet!BS$2,1,""))))</f>
        <v>2</v>
      </c>
      <c r="BT33" s="58">
        <f>IF(Sheet!BT33=Sheet!BT$2,4,IF(Sheet!BU33=Sheet!BU$2,3,IF(Sheet!BV33=Sheet!BV$2,2,IF(Sheet!BW33=Sheet!BW$2,1,""))))</f>
        <v>2</v>
      </c>
      <c r="BX33" s="58">
        <f>IF(Sheet!BX33=Sheet!BX$2,4,IF(Sheet!BY33=Sheet!BY$2,3,IF(Sheet!BZ33=Sheet!BZ$2,2,IF(Sheet!CA33=Sheet!CA$2,1,""))))</f>
        <v>2</v>
      </c>
      <c r="CB33" s="58">
        <f>IF(Sheet!CB33=Sheet!CB$2,4,IF(Sheet!CC33=Sheet!CC$2,3,IF(Sheet!CD33=Sheet!CD$2,2,IF(Sheet!CE33=Sheet!CE$2,1,""))))</f>
        <v>4</v>
      </c>
      <c r="CF33" s="58">
        <f>IF(Sheet!CF33=Sheet!CF$2,4,IF(Sheet!CG33=Sheet!CG$2,3,IF(Sheet!CH33=Sheet!CH$2,2,IF(Sheet!CI33=Sheet!CI$2,1,""))))</f>
        <v>2</v>
      </c>
      <c r="CJ33" s="58">
        <f>IF(Sheet!CJ33=Sheet!CJ$2,4,IF(Sheet!CK33=Sheet!CK$2,3,IF(Sheet!CL33=Sheet!CL$2,2,IF(Sheet!CM33=Sheet!CM$2,1,""))))</f>
        <v>3</v>
      </c>
      <c r="CN33" s="58">
        <f>IF(Sheet!CN33=Sheet!CN$2,4,IF(Sheet!CO33=Sheet!CO$2,3,IF(Sheet!CP33=Sheet!CP$2,2,IF(Sheet!CQ33=Sheet!CQ$2,1,""))))</f>
        <v>3</v>
      </c>
      <c r="CR33" s="58">
        <f>IF(Sheet!CR33=Sheet!CR$2,4,IF(Sheet!CS33=Sheet!CS$2,3,IF(Sheet!CT33=Sheet!CT$2,2,IF(Sheet!CU33=Sheet!CU$2,1,""))))</f>
        <v>2</v>
      </c>
      <c r="CV33" s="58">
        <f>IF(Sheet!CV33=Sheet!CV$2,4,IF(Sheet!CW33=Sheet!CW$2,3,IF(Sheet!CX33=Sheet!CX$2,2,IF(Sheet!CY33=Sheet!CY$2,1,""))))</f>
        <v>1</v>
      </c>
      <c r="CZ33" s="58">
        <f>IF(Sheet!CZ33=Sheet!CZ$2,4,IF(Sheet!DA33=Sheet!DA$2,3,IF(Sheet!DB33=Sheet!DB$2,2,IF(Sheet!DC33=Sheet!DC$2,1,""))))</f>
        <v>1</v>
      </c>
      <c r="DD33" s="58">
        <f>IF(Sheet!DD33=Sheet!DD$2,4,IF(Sheet!DE33=Sheet!DE$2,3,IF(Sheet!DF33=Sheet!DF$2,2,IF(Sheet!DG33=Sheet!DG$2,1,""))))</f>
        <v>1</v>
      </c>
      <c r="DH33" s="58">
        <f>IF(Sheet!DH33=Sheet!DH$2,4,IF(Sheet!DI33=Sheet!DI$2,3,IF(Sheet!DJ33=Sheet!DJ$2,2,IF(Sheet!DK33=Sheet!DK$2,1,""))))</f>
        <v>4</v>
      </c>
      <c r="DL33" s="58">
        <f>IF(Sheet!DL33=Sheet!DL$2,4,IF(Sheet!DM33=Sheet!DM$2,3,IF(Sheet!DN33=Sheet!DN$2,2,IF(Sheet!DO33=Sheet!DO$2,1,""))))</f>
        <v>2</v>
      </c>
      <c r="DP33" s="58">
        <f>IF(Sheet!DP33=Sheet!DP$2,4,IF(Sheet!DQ33=Sheet!DQ$2,3,IF(Sheet!DR33=Sheet!DR$2,2,IF(Sheet!DS33=Sheet!DS$2,1,""))))</f>
        <v>4</v>
      </c>
      <c r="DT33" s="58">
        <f>IF(Sheet!DT33=Sheet!DT$2,4,IF(Sheet!DU33=Sheet!DU$2,3,IF(Sheet!DV33=Sheet!DV$2,2,IF(Sheet!DW33=Sheet!DW$2,1,""))))</f>
        <v>4</v>
      </c>
      <c r="DX33" s="58">
        <f>IF(Sheet!DX33=Sheet!DX$2,4,IF(Sheet!DY33=Sheet!DY$2,3,IF(Sheet!DZ33=Sheet!DZ$2,2,IF(Sheet!EA33=Sheet!EA$2,1,""))))</f>
        <v>1</v>
      </c>
      <c r="EB33" s="58">
        <f>IF(Sheet!EB33=Sheet!EB$2,4,IF(Sheet!EC33=Sheet!EC$2,3,IF(Sheet!ED33=Sheet!ED$2,2,IF(Sheet!EE33=Sheet!EE$2,1,""))))</f>
        <v>3</v>
      </c>
      <c r="EF33" s="58">
        <f>IF(Sheet!EF33=Sheet!EF$2,4,IF(Sheet!EG33=Sheet!EG$2,3,IF(Sheet!EH33=Sheet!EH$2,2,IF(Sheet!EI33=Sheet!EI$2,1,""))))</f>
        <v>1</v>
      </c>
      <c r="EJ33" s="58">
        <f>IF(Sheet!EJ33=Sheet!EJ$2,4,IF(Sheet!EK33=Sheet!EK$2,3,IF(Sheet!EL33=Sheet!EL$2,2,IF(Sheet!EM33=Sheet!EM$2,1,""))))</f>
        <v>1</v>
      </c>
      <c r="EN33" s="58">
        <f>IF(Sheet!EN33=Sheet!EN$2,4,IF(Sheet!EO33=Sheet!EO$2,3,IF(Sheet!EP33=Sheet!EP$2,2,IF(Sheet!EQ33=Sheet!EQ$2,1,""))))</f>
        <v>1</v>
      </c>
      <c r="ER33" s="58">
        <f>IF(Sheet!ER33=Sheet!ER$2,4,IF(Sheet!ES33=Sheet!ES$2,3,IF(Sheet!ET33=Sheet!ET$2,2,IF(Sheet!EU33=Sheet!EU$2,1,""))))</f>
        <v>3</v>
      </c>
      <c r="EV33" s="58">
        <f>IF(Sheet!EV33=Sheet!EV$2,4,IF(Sheet!EW33=Sheet!EW$2,3,IF(Sheet!EX33=Sheet!EX$2,2,IF(Sheet!EY33=Sheet!EY$2,1,""))))</f>
        <v>4</v>
      </c>
      <c r="EZ33" s="58">
        <f>IF(Sheet!EZ33=Sheet!EZ$2,4,IF(Sheet!FA33=Sheet!FA$2,3,IF(Sheet!FB33=Sheet!FB$2,2,IF(Sheet!FC33=Sheet!FC$2,1,""))))</f>
        <v>2</v>
      </c>
      <c r="FD33" s="58">
        <f>IF(Sheet!FD33=Sheet!FD$2,4,IF(Sheet!FE33=Sheet!FE$2,3,IF(Sheet!FF33=Sheet!FF$2,2,IF(Sheet!FG33=Sheet!FG$2,1,""))))</f>
        <v>2</v>
      </c>
      <c r="FH33" s="58">
        <f>IF(Sheet!FH33=Sheet!FH$2,4,IF(Sheet!FI33=Sheet!FI$2,3,IF(Sheet!FJ33=Sheet!FJ$2,2,IF(Sheet!FK33=Sheet!FK$2,1,""))))</f>
        <v>1</v>
      </c>
      <c r="FL33" s="58">
        <f>IF(Sheet!FL33=Sheet!FL$2,4,IF(Sheet!FM33=Sheet!FM$2,3,IF(Sheet!FN33=Sheet!FN$2,2,IF(Sheet!FO33=Sheet!FO$2,1,""))))</f>
        <v>4</v>
      </c>
    </row>
    <row r="34" spans="1:168">
      <c r="A34" t="str">
        <f>Sheet!A34</f>
        <v>EE001</v>
      </c>
      <c r="AT34" s="56">
        <f t="shared" si="0"/>
        <v>2.5483870967741935</v>
      </c>
      <c r="AV34" s="58">
        <f>IF(Sheet!AV34=Sheet!AV$2,4,IF(Sheet!AW34=Sheet!AW$2,3,IF(Sheet!AX34=Sheet!AX$2,2,IF(Sheet!AY34=Sheet!AY$2,1,""))))</f>
        <v>2</v>
      </c>
      <c r="AZ34" s="58">
        <f>IF(Sheet!AZ34=Sheet!AZ$2,4,IF(Sheet!BA34=Sheet!BA$2,3,IF(Sheet!BB34=Sheet!BB$2,2,IF(Sheet!BC34=Sheet!BC$2,1,""))))</f>
        <v>4</v>
      </c>
      <c r="BD34" s="58">
        <f>IF(Sheet!BD34=Sheet!BD$2,4,IF(Sheet!BE34=Sheet!BE$2,3,IF(Sheet!BF34=Sheet!BF$2,2,IF(Sheet!BG34=Sheet!BG$2,1,""))))</f>
        <v>1</v>
      </c>
      <c r="BH34" s="58">
        <f>IF(Sheet!BH34=Sheet!BH$2,4,IF(Sheet!BI34=Sheet!BI$2,3,IF(Sheet!BJ34=Sheet!BJ$2,2,IF(Sheet!BK34=Sheet!BK$2,1,""))))</f>
        <v>2</v>
      </c>
      <c r="BL34" s="58">
        <f>IF(Sheet!BL34=Sheet!BL$2,4,IF(Sheet!BM34=Sheet!BM$2,3,IF(Sheet!BN34=Sheet!BN$2,2,IF(Sheet!BO34=Sheet!BO$2,1,""))))</f>
        <v>3</v>
      </c>
      <c r="BP34" s="58">
        <f>IF(Sheet!BP34=Sheet!BP$2,4,IF(Sheet!BQ34=Sheet!BQ$2,3,IF(Sheet!BR34=Sheet!BR$2,2,IF(Sheet!BS34=Sheet!BS$2,1,""))))</f>
        <v>2</v>
      </c>
      <c r="BT34" s="58">
        <f>IF(Sheet!BT34=Sheet!BT$2,4,IF(Sheet!BU34=Sheet!BU$2,3,IF(Sheet!BV34=Sheet!BV$2,2,IF(Sheet!BW34=Sheet!BW$2,1,""))))</f>
        <v>1</v>
      </c>
      <c r="BX34" s="58">
        <f>IF(Sheet!BX34=Sheet!BX$2,4,IF(Sheet!BY34=Sheet!BY$2,3,IF(Sheet!BZ34=Sheet!BZ$2,2,IF(Sheet!CA34=Sheet!CA$2,1,""))))</f>
        <v>4</v>
      </c>
      <c r="CB34" s="58">
        <f>IF(Sheet!CB34=Sheet!CB$2,4,IF(Sheet!CC34=Sheet!CC$2,3,IF(Sheet!CD34=Sheet!CD$2,2,IF(Sheet!CE34=Sheet!CE$2,1,""))))</f>
        <v>2</v>
      </c>
      <c r="CF34" s="58">
        <f>IF(Sheet!CF34=Sheet!CF$2,4,IF(Sheet!CG34=Sheet!CG$2,3,IF(Sheet!CH34=Sheet!CH$2,2,IF(Sheet!CI34=Sheet!CI$2,1,""))))</f>
        <v>3</v>
      </c>
      <c r="CJ34" s="58">
        <f>IF(Sheet!CJ34=Sheet!CJ$2,4,IF(Sheet!CK34=Sheet!CK$2,3,IF(Sheet!CL34=Sheet!CL$2,2,IF(Sheet!CM34=Sheet!CM$2,1,""))))</f>
        <v>2</v>
      </c>
      <c r="CN34" s="58">
        <f>IF(Sheet!CN34=Sheet!CN$2,4,IF(Sheet!CO34=Sheet!CO$2,3,IF(Sheet!CP34=Sheet!CP$2,2,IF(Sheet!CQ34=Sheet!CQ$2,1,""))))</f>
        <v>3</v>
      </c>
      <c r="CR34" s="58">
        <f>IF(Sheet!CR34=Sheet!CR$2,4,IF(Sheet!CS34=Sheet!CS$2,3,IF(Sheet!CT34=Sheet!CT$2,2,IF(Sheet!CU34=Sheet!CU$2,1,""))))</f>
        <v>4</v>
      </c>
      <c r="CV34" s="58">
        <f>IF(Sheet!CV34=Sheet!CV$2,4,IF(Sheet!CW34=Sheet!CW$2,3,IF(Sheet!CX34=Sheet!CX$2,2,IF(Sheet!CY34=Sheet!CY$2,1,""))))</f>
        <v>2</v>
      </c>
      <c r="CZ34" s="58">
        <f>IF(Sheet!CZ34=Sheet!CZ$2,4,IF(Sheet!DA34=Sheet!DA$2,3,IF(Sheet!DB34=Sheet!DB$2,2,IF(Sheet!DC34=Sheet!DC$2,1,""))))</f>
        <v>1</v>
      </c>
      <c r="DD34" s="58">
        <f>IF(Sheet!DD34=Sheet!DD$2,4,IF(Sheet!DE34=Sheet!DE$2,3,IF(Sheet!DF34=Sheet!DF$2,2,IF(Sheet!DG34=Sheet!DG$2,1,""))))</f>
        <v>2</v>
      </c>
      <c r="DH34" s="58">
        <f>IF(Sheet!DH34=Sheet!DH$2,4,IF(Sheet!DI34=Sheet!DI$2,3,IF(Sheet!DJ34=Sheet!DJ$2,2,IF(Sheet!DK34=Sheet!DK$2,1,""))))</f>
        <v>4</v>
      </c>
      <c r="DL34" s="58">
        <f>IF(Sheet!DL34=Sheet!DL$2,4,IF(Sheet!DM34=Sheet!DM$2,3,IF(Sheet!DN34=Sheet!DN$2,2,IF(Sheet!DO34=Sheet!DO$2,1,""))))</f>
        <v>4</v>
      </c>
      <c r="DP34" s="58">
        <f>IF(Sheet!DP34=Sheet!DP$2,4,IF(Sheet!DQ34=Sheet!DQ$2,3,IF(Sheet!DR34=Sheet!DR$2,2,IF(Sheet!DS34=Sheet!DS$2,1,""))))</f>
        <v>4</v>
      </c>
      <c r="DT34" s="58">
        <f>IF(Sheet!DT34=Sheet!DT$2,4,IF(Sheet!DU34=Sheet!DU$2,3,IF(Sheet!DV34=Sheet!DV$2,2,IF(Sheet!DW34=Sheet!DW$2,1,""))))</f>
        <v>3</v>
      </c>
      <c r="DX34" s="58">
        <f>IF(Sheet!DX34=Sheet!DX$2,4,IF(Sheet!DY34=Sheet!DY$2,3,IF(Sheet!DZ34=Sheet!DZ$2,2,IF(Sheet!EA34=Sheet!EA$2,1,""))))</f>
        <v>1</v>
      </c>
      <c r="EB34" s="58">
        <f>IF(Sheet!EB34=Sheet!EB$2,4,IF(Sheet!EC34=Sheet!EC$2,3,IF(Sheet!ED34=Sheet!ED$2,2,IF(Sheet!EE34=Sheet!EE$2,1,""))))</f>
        <v>3</v>
      </c>
      <c r="EF34" s="58">
        <f>IF(Sheet!EF34=Sheet!EF$2,4,IF(Sheet!EG34=Sheet!EG$2,3,IF(Sheet!EH34=Sheet!EH$2,2,IF(Sheet!EI34=Sheet!EI$2,1,""))))</f>
        <v>1</v>
      </c>
      <c r="EJ34" s="58">
        <f>IF(Sheet!EJ34=Sheet!EJ$2,4,IF(Sheet!EK34=Sheet!EK$2,3,IF(Sheet!EL34=Sheet!EL$2,2,IF(Sheet!EM34=Sheet!EM$2,1,""))))</f>
        <v>2</v>
      </c>
      <c r="EN34" s="58">
        <f>IF(Sheet!EN34=Sheet!EN$2,4,IF(Sheet!EO34=Sheet!EO$2,3,IF(Sheet!EP34=Sheet!EP$2,2,IF(Sheet!EQ34=Sheet!EQ$2,1,""))))</f>
        <v>3</v>
      </c>
      <c r="ER34" s="58">
        <f>IF(Sheet!ER34=Sheet!ER$2,4,IF(Sheet!ES34=Sheet!ES$2,3,IF(Sheet!ET34=Sheet!ET$2,2,IF(Sheet!EU34=Sheet!EU$2,1,""))))</f>
        <v>2</v>
      </c>
      <c r="EV34" s="58">
        <f>IF(Sheet!EV34=Sheet!EV$2,4,IF(Sheet!EW34=Sheet!EW$2,3,IF(Sheet!EX34=Sheet!EX$2,2,IF(Sheet!EY34=Sheet!EY$2,1,""))))</f>
        <v>3</v>
      </c>
      <c r="EZ34" s="58">
        <f>IF(Sheet!EZ34=Sheet!EZ$2,4,IF(Sheet!FA34=Sheet!FA$2,3,IF(Sheet!FB34=Sheet!FB$2,2,IF(Sheet!FC34=Sheet!FC$2,1,""))))</f>
        <v>4</v>
      </c>
      <c r="FD34" s="58">
        <f>IF(Sheet!FD34=Sheet!FD$2,4,IF(Sheet!FE34=Sheet!FE$2,3,IF(Sheet!FF34=Sheet!FF$2,2,IF(Sheet!FG34=Sheet!FG$2,1,""))))</f>
        <v>2</v>
      </c>
      <c r="FH34" s="58">
        <f>IF(Sheet!FH34=Sheet!FH$2,4,IF(Sheet!FI34=Sheet!FI$2,3,IF(Sheet!FJ34=Sheet!FJ$2,2,IF(Sheet!FK34=Sheet!FK$2,1,""))))</f>
        <v>3</v>
      </c>
      <c r="FL34" s="58">
        <f>IF(Sheet!FL34=Sheet!FL$2,4,IF(Sheet!FM34=Sheet!FM$2,3,IF(Sheet!FN34=Sheet!FN$2,2,IF(Sheet!FO34=Sheet!FO$2,1,""))))</f>
        <v>2</v>
      </c>
    </row>
    <row r="35" spans="1:168">
      <c r="A35" t="str">
        <f>Sheet!A35</f>
        <v>OM001</v>
      </c>
      <c r="AT35" s="56">
        <f t="shared" si="0"/>
        <v>2.5806451612903225</v>
      </c>
      <c r="AV35" s="58">
        <f>IF(Sheet!AV35=Sheet!AV$2,4,IF(Sheet!AW35=Sheet!AW$2,3,IF(Sheet!AX35=Sheet!AX$2,2,IF(Sheet!AY35=Sheet!AY$2,1,""))))</f>
        <v>2</v>
      </c>
      <c r="AZ35" s="58">
        <f>IF(Sheet!AZ35=Sheet!AZ$2,4,IF(Sheet!BA35=Sheet!BA$2,3,IF(Sheet!BB35=Sheet!BB$2,2,IF(Sheet!BC35=Sheet!BC$2,1,""))))</f>
        <v>4</v>
      </c>
      <c r="BD35" s="58">
        <f>IF(Sheet!BD35=Sheet!BD$2,4,IF(Sheet!BE35=Sheet!BE$2,3,IF(Sheet!BF35=Sheet!BF$2,2,IF(Sheet!BG35=Sheet!BG$2,1,""))))</f>
        <v>3</v>
      </c>
      <c r="BH35" s="58">
        <f>IF(Sheet!BH35=Sheet!BH$2,4,IF(Sheet!BI35=Sheet!BI$2,3,IF(Sheet!BJ35=Sheet!BJ$2,2,IF(Sheet!BK35=Sheet!BK$2,1,""))))</f>
        <v>2</v>
      </c>
      <c r="BL35" s="58">
        <f>IF(Sheet!BL35=Sheet!BL$2,4,IF(Sheet!BM35=Sheet!BM$2,3,IF(Sheet!BN35=Sheet!BN$2,2,IF(Sheet!BO35=Sheet!BO$2,1,""))))</f>
        <v>2</v>
      </c>
      <c r="BP35" s="58">
        <f>IF(Sheet!BP35=Sheet!BP$2,4,IF(Sheet!BQ35=Sheet!BQ$2,3,IF(Sheet!BR35=Sheet!BR$2,2,IF(Sheet!BS35=Sheet!BS$2,1,""))))</f>
        <v>4</v>
      </c>
      <c r="BT35" s="58">
        <f>IF(Sheet!BT35=Sheet!BT$2,4,IF(Sheet!BU35=Sheet!BU$2,3,IF(Sheet!BV35=Sheet!BV$2,2,IF(Sheet!BW35=Sheet!BW$2,1,""))))</f>
        <v>2</v>
      </c>
      <c r="BX35" s="58">
        <f>IF(Sheet!BX35=Sheet!BX$2,4,IF(Sheet!BY35=Sheet!BY$2,3,IF(Sheet!BZ35=Sheet!BZ$2,2,IF(Sheet!CA35=Sheet!CA$2,1,""))))</f>
        <v>3</v>
      </c>
      <c r="CB35" s="58">
        <f>IF(Sheet!CB35=Sheet!CB$2,4,IF(Sheet!CC35=Sheet!CC$2,3,IF(Sheet!CD35=Sheet!CD$2,2,IF(Sheet!CE35=Sheet!CE$2,1,""))))</f>
        <v>3</v>
      </c>
      <c r="CF35" s="58">
        <f>IF(Sheet!CF35=Sheet!CF$2,4,IF(Sheet!CG35=Sheet!CG$2,3,IF(Sheet!CH35=Sheet!CH$2,2,IF(Sheet!CI35=Sheet!CI$2,1,""))))</f>
        <v>2</v>
      </c>
      <c r="CJ35" s="58">
        <f>IF(Sheet!CJ35=Sheet!CJ$2,4,IF(Sheet!CK35=Sheet!CK$2,3,IF(Sheet!CL35=Sheet!CL$2,2,IF(Sheet!CM35=Sheet!CM$2,1,""))))</f>
        <v>3</v>
      </c>
      <c r="CN35" s="58">
        <f>IF(Sheet!CN35=Sheet!CN$2,4,IF(Sheet!CO35=Sheet!CO$2,3,IF(Sheet!CP35=Sheet!CP$2,2,IF(Sheet!CQ35=Sheet!CQ$2,1,""))))</f>
        <v>3</v>
      </c>
      <c r="CR35" s="58">
        <f>IF(Sheet!CR35=Sheet!CR$2,4,IF(Sheet!CS35=Sheet!CS$2,3,IF(Sheet!CT35=Sheet!CT$2,2,IF(Sheet!CU35=Sheet!CU$2,1,""))))</f>
        <v>3</v>
      </c>
      <c r="CV35" s="58">
        <f>IF(Sheet!CV35=Sheet!CV$2,4,IF(Sheet!CW35=Sheet!CW$2,3,IF(Sheet!CX35=Sheet!CX$2,2,IF(Sheet!CY35=Sheet!CY$2,1,""))))</f>
        <v>2</v>
      </c>
      <c r="CZ35" s="58">
        <f>IF(Sheet!CZ35=Sheet!CZ$2,4,IF(Sheet!DA35=Sheet!DA$2,3,IF(Sheet!DB35=Sheet!DB$2,2,IF(Sheet!DC35=Sheet!DC$2,1,""))))</f>
        <v>1</v>
      </c>
      <c r="DD35" s="58">
        <f>IF(Sheet!DD35=Sheet!DD$2,4,IF(Sheet!DE35=Sheet!DE$2,3,IF(Sheet!DF35=Sheet!DF$2,2,IF(Sheet!DG35=Sheet!DG$2,1,""))))</f>
        <v>3</v>
      </c>
      <c r="DH35" s="58">
        <f>IF(Sheet!DH35=Sheet!DH$2,4,IF(Sheet!DI35=Sheet!DI$2,3,IF(Sheet!DJ35=Sheet!DJ$2,2,IF(Sheet!DK35=Sheet!DK$2,1,""))))</f>
        <v>3</v>
      </c>
      <c r="DL35" s="58">
        <f>IF(Sheet!DL35=Sheet!DL$2,4,IF(Sheet!DM35=Sheet!DM$2,3,IF(Sheet!DN35=Sheet!DN$2,2,IF(Sheet!DO35=Sheet!DO$2,1,""))))</f>
        <v>3</v>
      </c>
      <c r="DP35" s="58">
        <f>IF(Sheet!DP35=Sheet!DP$2,4,IF(Sheet!DQ35=Sheet!DQ$2,3,IF(Sheet!DR35=Sheet!DR$2,2,IF(Sheet!DS35=Sheet!DS$2,1,""))))</f>
        <v>4</v>
      </c>
      <c r="DT35" s="58">
        <f>IF(Sheet!DT35=Sheet!DT$2,4,IF(Sheet!DU35=Sheet!DU$2,3,IF(Sheet!DV35=Sheet!DV$2,2,IF(Sheet!DW35=Sheet!DW$2,1,""))))</f>
        <v>3</v>
      </c>
      <c r="DX35" s="58">
        <f>IF(Sheet!DX35=Sheet!DX$2,4,IF(Sheet!DY35=Sheet!DY$2,3,IF(Sheet!DZ35=Sheet!DZ$2,2,IF(Sheet!EA35=Sheet!EA$2,1,""))))</f>
        <v>2</v>
      </c>
      <c r="EB35" s="58">
        <f>IF(Sheet!EB35=Sheet!EB$2,4,IF(Sheet!EC35=Sheet!EC$2,3,IF(Sheet!ED35=Sheet!ED$2,2,IF(Sheet!EE35=Sheet!EE$2,1,""))))</f>
        <v>1</v>
      </c>
      <c r="EF35" s="58">
        <f>IF(Sheet!EF35=Sheet!EF$2,4,IF(Sheet!EG35=Sheet!EG$2,3,IF(Sheet!EH35=Sheet!EH$2,2,IF(Sheet!EI35=Sheet!EI$2,1,""))))</f>
        <v>1</v>
      </c>
      <c r="EJ35" s="58">
        <f>IF(Sheet!EJ35=Sheet!EJ$2,4,IF(Sheet!EK35=Sheet!EK$2,3,IF(Sheet!EL35=Sheet!EL$2,2,IF(Sheet!EM35=Sheet!EM$2,1,""))))</f>
        <v>3</v>
      </c>
      <c r="EN35" s="58">
        <f>IF(Sheet!EN35=Sheet!EN$2,4,IF(Sheet!EO35=Sheet!EO$2,3,IF(Sheet!EP35=Sheet!EP$2,2,IF(Sheet!EQ35=Sheet!EQ$2,1,""))))</f>
        <v>2</v>
      </c>
      <c r="ER35" s="58">
        <f>IF(Sheet!ER35=Sheet!ER$2,4,IF(Sheet!ES35=Sheet!ES$2,3,IF(Sheet!ET35=Sheet!ET$2,2,IF(Sheet!EU35=Sheet!EU$2,1,""))))</f>
        <v>3</v>
      </c>
      <c r="EV35" s="58">
        <f>IF(Sheet!EV35=Sheet!EV$2,4,IF(Sheet!EW35=Sheet!EW$2,3,IF(Sheet!EX35=Sheet!EX$2,2,IF(Sheet!EY35=Sheet!EY$2,1,""))))</f>
        <v>3</v>
      </c>
      <c r="EZ35" s="58">
        <f>IF(Sheet!EZ35=Sheet!EZ$2,4,IF(Sheet!FA35=Sheet!FA$2,3,IF(Sheet!FB35=Sheet!FB$2,2,IF(Sheet!FC35=Sheet!FC$2,1,""))))</f>
        <v>2</v>
      </c>
      <c r="FD35" s="58">
        <f>IF(Sheet!FD35=Sheet!FD$2,4,IF(Sheet!FE35=Sheet!FE$2,3,IF(Sheet!FF35=Sheet!FF$2,2,IF(Sheet!FG35=Sheet!FG$2,1,""))))</f>
        <v>2</v>
      </c>
      <c r="FH35" s="58">
        <f>IF(Sheet!FH35=Sheet!FH$2,4,IF(Sheet!FI35=Sheet!FI$2,3,IF(Sheet!FJ35=Sheet!FJ$2,2,IF(Sheet!FK35=Sheet!FK$2,1,""))))</f>
        <v>4</v>
      </c>
      <c r="FL35" s="58">
        <f>IF(Sheet!FL35=Sheet!FL$2,4,IF(Sheet!FM35=Sheet!FM$2,3,IF(Sheet!FN35=Sheet!FN$2,2,IF(Sheet!FO35=Sheet!FO$2,1,""))))</f>
        <v>2</v>
      </c>
    </row>
    <row r="36" spans="1:168">
      <c r="A36" t="str">
        <f>Sheet!A36</f>
        <v>MT001</v>
      </c>
      <c r="AT36" s="56">
        <f t="shared" si="0"/>
        <v>2.838709677419355</v>
      </c>
      <c r="AV36" s="58">
        <f>IF(Sheet!AV36=Sheet!AV$2,4,IF(Sheet!AW36=Sheet!AW$2,3,IF(Sheet!AX36=Sheet!AX$2,2,IF(Sheet!AY36=Sheet!AY$2,1,""))))</f>
        <v>3</v>
      </c>
      <c r="AZ36" s="58">
        <f>IF(Sheet!AZ36=Sheet!AZ$2,4,IF(Sheet!BA36=Sheet!BA$2,3,IF(Sheet!BB36=Sheet!BB$2,2,IF(Sheet!BC36=Sheet!BC$2,1,""))))</f>
        <v>3</v>
      </c>
      <c r="BD36" s="58">
        <f>IF(Sheet!BD36=Sheet!BD$2,4,IF(Sheet!BE36=Sheet!BE$2,3,IF(Sheet!BF36=Sheet!BF$2,2,IF(Sheet!BG36=Sheet!BG$2,1,""))))</f>
        <v>3</v>
      </c>
      <c r="BH36" s="58">
        <f>IF(Sheet!BH36=Sheet!BH$2,4,IF(Sheet!BI36=Sheet!BI$2,3,IF(Sheet!BJ36=Sheet!BJ$2,2,IF(Sheet!BK36=Sheet!BK$2,1,""))))</f>
        <v>2</v>
      </c>
      <c r="BL36" s="58">
        <f>IF(Sheet!BL36=Sheet!BL$2,4,IF(Sheet!BM36=Sheet!BM$2,3,IF(Sheet!BN36=Sheet!BN$2,2,IF(Sheet!BO36=Sheet!BO$2,1,""))))</f>
        <v>4</v>
      </c>
      <c r="BP36" s="58">
        <f>IF(Sheet!BP36=Sheet!BP$2,4,IF(Sheet!BQ36=Sheet!BQ$2,3,IF(Sheet!BR36=Sheet!BR$2,2,IF(Sheet!BS36=Sheet!BS$2,1,""))))</f>
        <v>4</v>
      </c>
      <c r="BT36" s="58">
        <f>IF(Sheet!BT36=Sheet!BT$2,4,IF(Sheet!BU36=Sheet!BU$2,3,IF(Sheet!BV36=Sheet!BV$2,2,IF(Sheet!BW36=Sheet!BW$2,1,""))))</f>
        <v>3</v>
      </c>
      <c r="BX36" s="58">
        <f>IF(Sheet!BX36=Sheet!BX$2,4,IF(Sheet!BY36=Sheet!BY$2,3,IF(Sheet!BZ36=Sheet!BZ$2,2,IF(Sheet!CA36=Sheet!CA$2,1,""))))</f>
        <v>3</v>
      </c>
      <c r="CB36" s="58">
        <f>IF(Sheet!CB36=Sheet!CB$2,4,IF(Sheet!CC36=Sheet!CC$2,3,IF(Sheet!CD36=Sheet!CD$2,2,IF(Sheet!CE36=Sheet!CE$2,1,""))))</f>
        <v>3</v>
      </c>
      <c r="CF36" s="58">
        <f>IF(Sheet!CF36=Sheet!CF$2,4,IF(Sheet!CG36=Sheet!CG$2,3,IF(Sheet!CH36=Sheet!CH$2,2,IF(Sheet!CI36=Sheet!CI$2,1,""))))</f>
        <v>2</v>
      </c>
      <c r="CJ36" s="58">
        <f>IF(Sheet!CJ36=Sheet!CJ$2,4,IF(Sheet!CK36=Sheet!CK$2,3,IF(Sheet!CL36=Sheet!CL$2,2,IF(Sheet!CM36=Sheet!CM$2,1,""))))</f>
        <v>4</v>
      </c>
      <c r="CN36" s="58">
        <f>IF(Sheet!CN36=Sheet!CN$2,4,IF(Sheet!CO36=Sheet!CO$2,3,IF(Sheet!CP36=Sheet!CP$2,2,IF(Sheet!CQ36=Sheet!CQ$2,1,""))))</f>
        <v>3</v>
      </c>
      <c r="CR36" s="58">
        <f>IF(Sheet!CR36=Sheet!CR$2,4,IF(Sheet!CS36=Sheet!CS$2,3,IF(Sheet!CT36=Sheet!CT$2,2,IF(Sheet!CU36=Sheet!CU$2,1,""))))</f>
        <v>1</v>
      </c>
      <c r="CV36" s="58">
        <f>IF(Sheet!CV36=Sheet!CV$2,4,IF(Sheet!CW36=Sheet!CW$2,3,IF(Sheet!CX36=Sheet!CX$2,2,IF(Sheet!CY36=Sheet!CY$2,1,""))))</f>
        <v>4</v>
      </c>
      <c r="CZ36" s="58">
        <f>IF(Sheet!CZ36=Sheet!CZ$2,4,IF(Sheet!DA36=Sheet!DA$2,3,IF(Sheet!DB36=Sheet!DB$2,2,IF(Sheet!DC36=Sheet!DC$2,1,""))))</f>
        <v>3</v>
      </c>
      <c r="DD36" s="58">
        <f>IF(Sheet!DD36=Sheet!DD$2,4,IF(Sheet!DE36=Sheet!DE$2,3,IF(Sheet!DF36=Sheet!DF$2,2,IF(Sheet!DG36=Sheet!DG$2,1,""))))</f>
        <v>4</v>
      </c>
      <c r="DH36" s="58">
        <f>IF(Sheet!DH36=Sheet!DH$2,4,IF(Sheet!DI36=Sheet!DI$2,3,IF(Sheet!DJ36=Sheet!DJ$2,2,IF(Sheet!DK36=Sheet!DK$2,1,""))))</f>
        <v>4</v>
      </c>
      <c r="DL36" s="58">
        <f>IF(Sheet!DL36=Sheet!DL$2,4,IF(Sheet!DM36=Sheet!DM$2,3,IF(Sheet!DN36=Sheet!DN$2,2,IF(Sheet!DO36=Sheet!DO$2,1,""))))</f>
        <v>3</v>
      </c>
      <c r="DP36" s="58">
        <f>IF(Sheet!DP36=Sheet!DP$2,4,IF(Sheet!DQ36=Sheet!DQ$2,3,IF(Sheet!DR36=Sheet!DR$2,2,IF(Sheet!DS36=Sheet!DS$2,1,""))))</f>
        <v>2</v>
      </c>
      <c r="DT36" s="58">
        <f>IF(Sheet!DT36=Sheet!DT$2,4,IF(Sheet!DU36=Sheet!DU$2,3,IF(Sheet!DV36=Sheet!DV$2,2,IF(Sheet!DW36=Sheet!DW$2,1,""))))</f>
        <v>2</v>
      </c>
      <c r="DX36" s="58">
        <f>IF(Sheet!DX36=Sheet!DX$2,4,IF(Sheet!DY36=Sheet!DY$2,3,IF(Sheet!DZ36=Sheet!DZ$2,2,IF(Sheet!EA36=Sheet!EA$2,1,""))))</f>
        <v>2</v>
      </c>
      <c r="EB36" s="58">
        <f>IF(Sheet!EB36=Sheet!EB$2,4,IF(Sheet!EC36=Sheet!EC$2,3,IF(Sheet!ED36=Sheet!ED$2,2,IF(Sheet!EE36=Sheet!EE$2,1,""))))</f>
        <v>2</v>
      </c>
      <c r="EF36" s="58">
        <f>IF(Sheet!EF36=Sheet!EF$2,4,IF(Sheet!EG36=Sheet!EG$2,3,IF(Sheet!EH36=Sheet!EH$2,2,IF(Sheet!EI36=Sheet!EI$2,1,""))))</f>
        <v>2</v>
      </c>
      <c r="EJ36" s="58">
        <f>IF(Sheet!EJ36=Sheet!EJ$2,4,IF(Sheet!EK36=Sheet!EK$2,3,IF(Sheet!EL36=Sheet!EL$2,2,IF(Sheet!EM36=Sheet!EM$2,1,""))))</f>
        <v>3</v>
      </c>
      <c r="EN36" s="58">
        <f>IF(Sheet!EN36=Sheet!EN$2,4,IF(Sheet!EO36=Sheet!EO$2,3,IF(Sheet!EP36=Sheet!EP$2,2,IF(Sheet!EQ36=Sheet!EQ$2,1,""))))</f>
        <v>2</v>
      </c>
      <c r="ER36" s="58">
        <f>IF(Sheet!ER36=Sheet!ER$2,4,IF(Sheet!ES36=Sheet!ES$2,3,IF(Sheet!ET36=Sheet!ET$2,2,IF(Sheet!EU36=Sheet!EU$2,1,""))))</f>
        <v>2</v>
      </c>
      <c r="EV36" s="58">
        <f>IF(Sheet!EV36=Sheet!EV$2,4,IF(Sheet!EW36=Sheet!EW$2,3,IF(Sheet!EX36=Sheet!EX$2,2,IF(Sheet!EY36=Sheet!EY$2,1,""))))</f>
        <v>3</v>
      </c>
      <c r="EZ36" s="58">
        <f>IF(Sheet!EZ36=Sheet!EZ$2,4,IF(Sheet!FA36=Sheet!FA$2,3,IF(Sheet!FB36=Sheet!FB$2,2,IF(Sheet!FC36=Sheet!FC$2,1,""))))</f>
        <v>2</v>
      </c>
      <c r="FD36" s="58">
        <f>IF(Sheet!FD36=Sheet!FD$2,4,IF(Sheet!FE36=Sheet!FE$2,3,IF(Sheet!FF36=Sheet!FF$2,2,IF(Sheet!FG36=Sheet!FG$2,1,""))))</f>
        <v>3</v>
      </c>
      <c r="FH36" s="58">
        <f>IF(Sheet!FH36=Sheet!FH$2,4,IF(Sheet!FI36=Sheet!FI$2,3,IF(Sheet!FJ36=Sheet!FJ$2,2,IF(Sheet!FK36=Sheet!FK$2,1,""))))</f>
        <v>4</v>
      </c>
      <c r="FL36" s="58">
        <f>IF(Sheet!FL36=Sheet!FL$2,4,IF(Sheet!FM36=Sheet!FM$2,3,IF(Sheet!FN36=Sheet!FN$2,2,IF(Sheet!FO36=Sheet!FO$2,1,""))))</f>
        <v>3</v>
      </c>
    </row>
    <row r="37" spans="1:168">
      <c r="A37" s="6" t="str">
        <f>Sheet!A37</f>
        <v>LO001</v>
      </c>
      <c r="AT37" s="56">
        <f t="shared" si="0"/>
        <v>2.5806451612903225</v>
      </c>
      <c r="AV37" s="58">
        <f>IF(Sheet!AV37=Sheet!AV$2,4,IF(Sheet!AW37=Sheet!AW$2,3,IF(Sheet!AX37=Sheet!AX$2,2,IF(Sheet!AY37=Sheet!AY$2,1,""))))</f>
        <v>2</v>
      </c>
      <c r="AZ37" s="58">
        <f>IF(Sheet!AZ37=Sheet!AZ$2,4,IF(Sheet!BA37=Sheet!BA$2,3,IF(Sheet!BB37=Sheet!BB$2,2,IF(Sheet!BC37=Sheet!BC$2,1,""))))</f>
        <v>2</v>
      </c>
      <c r="BD37" s="58">
        <f>IF(Sheet!BD37=Sheet!BD$2,4,IF(Sheet!BE37=Sheet!BE$2,3,IF(Sheet!BF37=Sheet!BF$2,2,IF(Sheet!BG37=Sheet!BG$2,1,""))))</f>
        <v>3</v>
      </c>
      <c r="BH37" s="58">
        <f>IF(Sheet!BH37=Sheet!BH$2,4,IF(Sheet!BI37=Sheet!BI$2,3,IF(Sheet!BJ37=Sheet!BJ$2,2,IF(Sheet!BK37=Sheet!BK$2,1,""))))</f>
        <v>2</v>
      </c>
      <c r="BL37" s="58">
        <f>IF(Sheet!BL37=Sheet!BL$2,4,IF(Sheet!BM37=Sheet!BM$2,3,IF(Sheet!BN37=Sheet!BN$2,2,IF(Sheet!BO37=Sheet!BO$2,1,""))))</f>
        <v>2</v>
      </c>
      <c r="BP37" s="58">
        <f>IF(Sheet!BP37=Sheet!BP$2,4,IF(Sheet!BQ37=Sheet!BQ$2,3,IF(Sheet!BR37=Sheet!BR$2,2,IF(Sheet!BS37=Sheet!BS$2,1,""))))</f>
        <v>1</v>
      </c>
      <c r="BT37" s="58">
        <f>IF(Sheet!BT37=Sheet!BT$2,4,IF(Sheet!BU37=Sheet!BU$2,3,IF(Sheet!BV37=Sheet!BV$2,2,IF(Sheet!BW37=Sheet!BW$2,1,""))))</f>
        <v>2</v>
      </c>
      <c r="BX37" s="58">
        <f>IF(Sheet!BX37=Sheet!BX$2,4,IF(Sheet!BY37=Sheet!BY$2,3,IF(Sheet!BZ37=Sheet!BZ$2,2,IF(Sheet!CA37=Sheet!CA$2,1,""))))</f>
        <v>3</v>
      </c>
      <c r="CB37" s="58">
        <f>IF(Sheet!CB37=Sheet!CB$2,4,IF(Sheet!CC37=Sheet!CC$2,3,IF(Sheet!CD37=Sheet!CD$2,2,IF(Sheet!CE37=Sheet!CE$2,1,""))))</f>
        <v>2</v>
      </c>
      <c r="CF37" s="58">
        <f>IF(Sheet!CF37=Sheet!CF$2,4,IF(Sheet!CG37=Sheet!CG$2,3,IF(Sheet!CH37=Sheet!CH$2,2,IF(Sheet!CI37=Sheet!CI$2,1,""))))</f>
        <v>3</v>
      </c>
      <c r="CJ37" s="58">
        <f>IF(Sheet!CJ37=Sheet!CJ$2,4,IF(Sheet!CK37=Sheet!CK$2,3,IF(Sheet!CL37=Sheet!CL$2,2,IF(Sheet!CM37=Sheet!CM$2,1,""))))</f>
        <v>3</v>
      </c>
      <c r="CN37" s="58">
        <f>IF(Sheet!CN37=Sheet!CN$2,4,IF(Sheet!CO37=Sheet!CO$2,3,IF(Sheet!CP37=Sheet!CP$2,2,IF(Sheet!CQ37=Sheet!CQ$2,1,""))))</f>
        <v>4</v>
      </c>
      <c r="CR37" s="58">
        <f>IF(Sheet!CR37=Sheet!CR$2,4,IF(Sheet!CS37=Sheet!CS$2,3,IF(Sheet!CT37=Sheet!CT$2,2,IF(Sheet!CU37=Sheet!CU$2,1,""))))</f>
        <v>1</v>
      </c>
      <c r="CV37" s="58">
        <f>IF(Sheet!CV37=Sheet!CV$2,4,IF(Sheet!CW37=Sheet!CW$2,3,IF(Sheet!CX37=Sheet!CX$2,2,IF(Sheet!CY37=Sheet!CY$2,1,""))))</f>
        <v>3</v>
      </c>
      <c r="CZ37" s="58">
        <f>IF(Sheet!CZ37=Sheet!CZ$2,4,IF(Sheet!DA37=Sheet!DA$2,3,IF(Sheet!DB37=Sheet!DB$2,2,IF(Sheet!DC37=Sheet!DC$2,1,""))))</f>
        <v>2</v>
      </c>
      <c r="DD37" s="58">
        <f>IF(Sheet!DD37=Sheet!DD$2,4,IF(Sheet!DE37=Sheet!DE$2,3,IF(Sheet!DF37=Sheet!DF$2,2,IF(Sheet!DG37=Sheet!DG$2,1,""))))</f>
        <v>4</v>
      </c>
      <c r="DH37" s="58">
        <f>IF(Sheet!DH37=Sheet!DH$2,4,IF(Sheet!DI37=Sheet!DI$2,3,IF(Sheet!DJ37=Sheet!DJ$2,2,IF(Sheet!DK37=Sheet!DK$2,1,""))))</f>
        <v>4</v>
      </c>
      <c r="DL37" s="58">
        <f>IF(Sheet!DL37=Sheet!DL$2,4,IF(Sheet!DM37=Sheet!DM$2,3,IF(Sheet!DN37=Sheet!DN$2,2,IF(Sheet!DO37=Sheet!DO$2,1,""))))</f>
        <v>4</v>
      </c>
      <c r="DP37" s="58">
        <f>IF(Sheet!DP37=Sheet!DP$2,4,IF(Sheet!DQ37=Sheet!DQ$2,3,IF(Sheet!DR37=Sheet!DR$2,2,IF(Sheet!DS37=Sheet!DS$2,1,""))))</f>
        <v>3</v>
      </c>
      <c r="DT37" s="58">
        <f>IF(Sheet!DT37=Sheet!DT$2,4,IF(Sheet!DU37=Sheet!DU$2,3,IF(Sheet!DV37=Sheet!DV$2,2,IF(Sheet!DW37=Sheet!DW$2,1,""))))</f>
        <v>2</v>
      </c>
      <c r="DX37" s="58">
        <f>IF(Sheet!DX37=Sheet!DX$2,4,IF(Sheet!DY37=Sheet!DY$2,3,IF(Sheet!DZ37=Sheet!DZ$2,2,IF(Sheet!EA37=Sheet!EA$2,1,""))))</f>
        <v>1</v>
      </c>
      <c r="EB37" s="58">
        <f>IF(Sheet!EB37=Sheet!EB$2,4,IF(Sheet!EC37=Sheet!EC$2,3,IF(Sheet!ED37=Sheet!ED$2,2,IF(Sheet!EE37=Sheet!EE$2,1,""))))</f>
        <v>2</v>
      </c>
      <c r="EF37" s="58">
        <f>IF(Sheet!EF37=Sheet!EF$2,4,IF(Sheet!EG37=Sheet!EG$2,3,IF(Sheet!EH37=Sheet!EH$2,2,IF(Sheet!EI37=Sheet!EI$2,1,""))))</f>
        <v>4</v>
      </c>
      <c r="EJ37" s="58">
        <f>IF(Sheet!EJ37=Sheet!EJ$2,4,IF(Sheet!EK37=Sheet!EK$2,3,IF(Sheet!EL37=Sheet!EL$2,2,IF(Sheet!EM37=Sheet!EM$2,1,""))))</f>
        <v>2</v>
      </c>
      <c r="EN37" s="58">
        <f>IF(Sheet!EN37=Sheet!EN$2,4,IF(Sheet!EO37=Sheet!EO$2,3,IF(Sheet!EP37=Sheet!EP$2,2,IF(Sheet!EQ37=Sheet!EQ$2,1,""))))</f>
        <v>1</v>
      </c>
      <c r="ER37" s="58">
        <f>IF(Sheet!ER37=Sheet!ER$2,4,IF(Sheet!ES37=Sheet!ES$2,3,IF(Sheet!ET37=Sheet!ET$2,2,IF(Sheet!EU37=Sheet!EU$2,1,""))))</f>
        <v>2</v>
      </c>
      <c r="EV37" s="58">
        <f>IF(Sheet!EV37=Sheet!EV$2,4,IF(Sheet!EW37=Sheet!EW$2,3,IF(Sheet!EX37=Sheet!EX$2,2,IF(Sheet!EY37=Sheet!EY$2,1,""))))</f>
        <v>4</v>
      </c>
      <c r="EZ37" s="58">
        <f>IF(Sheet!EZ37=Sheet!EZ$2,4,IF(Sheet!FA37=Sheet!FA$2,3,IF(Sheet!FB37=Sheet!FB$2,2,IF(Sheet!FC37=Sheet!FC$2,1,""))))</f>
        <v>2</v>
      </c>
      <c r="FD37" s="58">
        <f>IF(Sheet!FD37=Sheet!FD$2,4,IF(Sheet!FE37=Sheet!FE$2,3,IF(Sheet!FF37=Sheet!FF$2,2,IF(Sheet!FG37=Sheet!FG$2,1,""))))</f>
        <v>3</v>
      </c>
      <c r="FH37" s="58">
        <f>IF(Sheet!FH37=Sheet!FH$2,4,IF(Sheet!FI37=Sheet!FI$2,3,IF(Sheet!FJ37=Sheet!FJ$2,2,IF(Sheet!FK37=Sheet!FK$2,1,""))))</f>
        <v>4</v>
      </c>
      <c r="FL37" s="58">
        <f>IF(Sheet!FL37=Sheet!FL$2,4,IF(Sheet!FM37=Sheet!FM$2,3,IF(Sheet!FN37=Sheet!FN$2,2,IF(Sheet!FO37=Sheet!FO$2,1,""))))</f>
        <v>3</v>
      </c>
    </row>
    <row r="38" spans="1:168">
      <c r="A38" s="6" t="str">
        <f>Sheet!A38</f>
        <v>DA001</v>
      </c>
      <c r="AT38" s="56">
        <f t="shared" si="0"/>
        <v>3.193548387096774</v>
      </c>
      <c r="AV38" s="58">
        <f>IF(Sheet!AV38=Sheet!AV$2,4,IF(Sheet!AW38=Sheet!AW$2,3,IF(Sheet!AX38=Sheet!AX$2,2,IF(Sheet!AY38=Sheet!AY$2,1,""))))</f>
        <v>2</v>
      </c>
      <c r="AZ38" s="58">
        <f>IF(Sheet!AZ38=Sheet!AZ$2,4,IF(Sheet!BA38=Sheet!BA$2,3,IF(Sheet!BB38=Sheet!BB$2,2,IF(Sheet!BC38=Sheet!BC$2,1,""))))</f>
        <v>3</v>
      </c>
      <c r="BD38" s="58">
        <f>IF(Sheet!BD38=Sheet!BD$2,4,IF(Sheet!BE38=Sheet!BE$2,3,IF(Sheet!BF38=Sheet!BF$2,2,IF(Sheet!BG38=Sheet!BG$2,1,""))))</f>
        <v>3</v>
      </c>
      <c r="BH38" s="58">
        <f>IF(Sheet!BH38=Sheet!BH$2,4,IF(Sheet!BI38=Sheet!BI$2,3,IF(Sheet!BJ38=Sheet!BJ$2,2,IF(Sheet!BK38=Sheet!BK$2,1,""))))</f>
        <v>3</v>
      </c>
      <c r="BL38" s="58">
        <f>IF(Sheet!BL38=Sheet!BL$2,4,IF(Sheet!BM38=Sheet!BM$2,3,IF(Sheet!BN38=Sheet!BN$2,2,IF(Sheet!BO38=Sheet!BO$2,1,""))))</f>
        <v>2</v>
      </c>
      <c r="BP38" s="58">
        <f>IF(Sheet!BP38=Sheet!BP$2,4,IF(Sheet!BQ38=Sheet!BQ$2,3,IF(Sheet!BR38=Sheet!BR$2,2,IF(Sheet!BS38=Sheet!BS$2,1,""))))</f>
        <v>2</v>
      </c>
      <c r="BT38" s="58">
        <f>IF(Sheet!BT38=Sheet!BT$2,4,IF(Sheet!BU38=Sheet!BU$2,3,IF(Sheet!BV38=Sheet!BV$2,2,IF(Sheet!BW38=Sheet!BW$2,1,""))))</f>
        <v>4</v>
      </c>
      <c r="BX38" s="58">
        <f>IF(Sheet!BX38=Sheet!BX$2,4,IF(Sheet!BY38=Sheet!BY$2,3,IF(Sheet!BZ38=Sheet!BZ$2,2,IF(Sheet!CA38=Sheet!CA$2,1,""))))</f>
        <v>4</v>
      </c>
      <c r="CB38" s="58">
        <f>IF(Sheet!CB38=Sheet!CB$2,4,IF(Sheet!CC38=Sheet!CC$2,3,IF(Sheet!CD38=Sheet!CD$2,2,IF(Sheet!CE38=Sheet!CE$2,1,""))))</f>
        <v>4</v>
      </c>
      <c r="CF38" s="58">
        <f>IF(Sheet!CF38=Sheet!CF$2,4,IF(Sheet!CG38=Sheet!CG$2,3,IF(Sheet!CH38=Sheet!CH$2,2,IF(Sheet!CI38=Sheet!CI$2,1,""))))</f>
        <v>3</v>
      </c>
      <c r="CJ38" s="58">
        <f>IF(Sheet!CJ38=Sheet!CJ$2,4,IF(Sheet!CK38=Sheet!CK$2,3,IF(Sheet!CL38=Sheet!CL$2,2,IF(Sheet!CM38=Sheet!CM$2,1,""))))</f>
        <v>4</v>
      </c>
      <c r="CN38" s="58">
        <f>IF(Sheet!CN38=Sheet!CN$2,4,IF(Sheet!CO38=Sheet!CO$2,3,IF(Sheet!CP38=Sheet!CP$2,2,IF(Sheet!CQ38=Sheet!CQ$2,1,""))))</f>
        <v>3</v>
      </c>
      <c r="CR38" s="58">
        <f>IF(Sheet!CR38=Sheet!CR$2,4,IF(Sheet!CS38=Sheet!CS$2,3,IF(Sheet!CT38=Sheet!CT$2,2,IF(Sheet!CU38=Sheet!CU$2,1,""))))</f>
        <v>3</v>
      </c>
      <c r="CV38" s="58">
        <f>IF(Sheet!CV38=Sheet!CV$2,4,IF(Sheet!CW38=Sheet!CW$2,3,IF(Sheet!CX38=Sheet!CX$2,2,IF(Sheet!CY38=Sheet!CY$2,1,""))))</f>
        <v>4</v>
      </c>
      <c r="CZ38" s="58">
        <f>IF(Sheet!CZ38=Sheet!CZ$2,4,IF(Sheet!DA38=Sheet!DA$2,3,IF(Sheet!DB38=Sheet!DB$2,2,IF(Sheet!DC38=Sheet!DC$2,1,""))))</f>
        <v>4</v>
      </c>
      <c r="DD38" s="58">
        <f>IF(Sheet!DD38=Sheet!DD$2,4,IF(Sheet!DE38=Sheet!DE$2,3,IF(Sheet!DF38=Sheet!DF$2,2,IF(Sheet!DG38=Sheet!DG$2,1,""))))</f>
        <v>4</v>
      </c>
      <c r="DH38" s="58">
        <f>IF(Sheet!DH38=Sheet!DH$2,4,IF(Sheet!DI38=Sheet!DI$2,3,IF(Sheet!DJ38=Sheet!DJ$2,2,IF(Sheet!DK38=Sheet!DK$2,1,""))))</f>
        <v>4</v>
      </c>
      <c r="DL38" s="58">
        <f>IF(Sheet!DL38=Sheet!DL$2,4,IF(Sheet!DM38=Sheet!DM$2,3,IF(Sheet!DN38=Sheet!DN$2,2,IF(Sheet!DO38=Sheet!DO$2,1,""))))</f>
        <v>4</v>
      </c>
      <c r="DP38" s="58">
        <f>IF(Sheet!DP38=Sheet!DP$2,4,IF(Sheet!DQ38=Sheet!DQ$2,3,IF(Sheet!DR38=Sheet!DR$2,2,IF(Sheet!DS38=Sheet!DS$2,1,""))))</f>
        <v>4</v>
      </c>
      <c r="DT38" s="58">
        <f>IF(Sheet!DT38=Sheet!DT$2,4,IF(Sheet!DU38=Sheet!DU$2,3,IF(Sheet!DV38=Sheet!DV$2,2,IF(Sheet!DW38=Sheet!DW$2,1,""))))</f>
        <v>3</v>
      </c>
      <c r="DX38" s="58">
        <f>IF(Sheet!DX38=Sheet!DX$2,4,IF(Sheet!DY38=Sheet!DY$2,3,IF(Sheet!DZ38=Sheet!DZ$2,2,IF(Sheet!EA38=Sheet!EA$2,1,""))))</f>
        <v>3</v>
      </c>
      <c r="EB38" s="58">
        <f>IF(Sheet!EB38=Sheet!EB$2,4,IF(Sheet!EC38=Sheet!EC$2,3,IF(Sheet!ED38=Sheet!ED$2,2,IF(Sheet!EE38=Sheet!EE$2,1,""))))</f>
        <v>3</v>
      </c>
      <c r="EF38" s="58">
        <f>IF(Sheet!EF38=Sheet!EF$2,4,IF(Sheet!EG38=Sheet!EG$2,3,IF(Sheet!EH38=Sheet!EH$2,2,IF(Sheet!EI38=Sheet!EI$2,1,""))))</f>
        <v>2</v>
      </c>
      <c r="EJ38" s="58">
        <f>IF(Sheet!EJ38=Sheet!EJ$2,4,IF(Sheet!EK38=Sheet!EK$2,3,IF(Sheet!EL38=Sheet!EL$2,2,IF(Sheet!EM38=Sheet!EM$2,1,""))))</f>
        <v>1</v>
      </c>
      <c r="EN38" s="58">
        <f>IF(Sheet!EN38=Sheet!EN$2,4,IF(Sheet!EO38=Sheet!EO$2,3,IF(Sheet!EP38=Sheet!EP$2,2,IF(Sheet!EQ38=Sheet!EQ$2,1,""))))</f>
        <v>1</v>
      </c>
      <c r="ER38" s="58">
        <f>IF(Sheet!ER38=Sheet!ER$2,4,IF(Sheet!ES38=Sheet!ES$2,3,IF(Sheet!ET38=Sheet!ET$2,2,IF(Sheet!EU38=Sheet!EU$2,1,""))))</f>
        <v>3</v>
      </c>
      <c r="EV38" s="58">
        <f>IF(Sheet!EV38=Sheet!EV$2,4,IF(Sheet!EW38=Sheet!EW$2,3,IF(Sheet!EX38=Sheet!EX$2,2,IF(Sheet!EY38=Sheet!EY$2,1,""))))</f>
        <v>4</v>
      </c>
      <c r="EZ38" s="58">
        <f>IF(Sheet!EZ38=Sheet!EZ$2,4,IF(Sheet!FA38=Sheet!FA$2,3,IF(Sheet!FB38=Sheet!FB$2,2,IF(Sheet!FC38=Sheet!FC$2,1,""))))</f>
        <v>4</v>
      </c>
      <c r="FD38" s="58">
        <f>IF(Sheet!FD38=Sheet!FD$2,4,IF(Sheet!FE38=Sheet!FE$2,3,IF(Sheet!FF38=Sheet!FF$2,2,IF(Sheet!FG38=Sheet!FG$2,1,""))))</f>
        <v>4</v>
      </c>
      <c r="FH38" s="58">
        <f>IF(Sheet!FH38=Sheet!FH$2,4,IF(Sheet!FI38=Sheet!FI$2,3,IF(Sheet!FJ38=Sheet!FJ$2,2,IF(Sheet!FK38=Sheet!FK$2,1,""))))</f>
        <v>4</v>
      </c>
      <c r="FL38" s="58">
        <f>IF(Sheet!FL38=Sheet!FL$2,4,IF(Sheet!FM38=Sheet!FM$2,3,IF(Sheet!FN38=Sheet!FN$2,2,IF(Sheet!FO38=Sheet!FO$2,1,""))))</f>
        <v>3</v>
      </c>
    </row>
    <row r="39" spans="1:168">
      <c r="A39" t="str">
        <f>Sheet!A39</f>
        <v>LU001</v>
      </c>
      <c r="AT39" s="56">
        <f t="shared" si="0"/>
        <v>3.0666666666666669</v>
      </c>
      <c r="AV39" s="58">
        <f>IF(Sheet!AV39=Sheet!AV$2,4,IF(Sheet!AW39=Sheet!AW$2,3,IF(Sheet!AX39=Sheet!AX$2,2,IF(Sheet!AY39=Sheet!AY$2,1,""))))</f>
        <v>3</v>
      </c>
      <c r="AZ39" s="58">
        <f>IF(Sheet!AZ39=Sheet!AZ$2,4,IF(Sheet!BA39=Sheet!BA$2,3,IF(Sheet!BB39=Sheet!BB$2,2,IF(Sheet!BC39=Sheet!BC$2,1,""))))</f>
        <v>3</v>
      </c>
      <c r="BD39" s="58">
        <f>IF(Sheet!BD39=Sheet!BD$2,4,IF(Sheet!BE39=Sheet!BE$2,3,IF(Sheet!BF39=Sheet!BF$2,2,IF(Sheet!BG39=Sheet!BG$2,1,""))))</f>
        <v>3</v>
      </c>
      <c r="BH39" s="58">
        <f>IF(Sheet!BH39=Sheet!BH$2,4,IF(Sheet!BI39=Sheet!BI$2,3,IF(Sheet!BJ39=Sheet!BJ$2,2,IF(Sheet!BK39=Sheet!BK$2,1,""))))</f>
        <v>3</v>
      </c>
      <c r="BL39" s="58">
        <f>IF(Sheet!BL39=Sheet!BL$2,4,IF(Sheet!BM39=Sheet!BM$2,3,IF(Sheet!BN39=Sheet!BN$2,2,IF(Sheet!BO39=Sheet!BO$2,1,""))))</f>
        <v>4</v>
      </c>
      <c r="BP39" s="58">
        <f>IF(Sheet!BP39=Sheet!BP$2,4,IF(Sheet!BQ39=Sheet!BQ$2,3,IF(Sheet!BR39=Sheet!BR$2,2,IF(Sheet!BS39=Sheet!BS$2,1,""))))</f>
        <v>2</v>
      </c>
      <c r="BT39" s="58">
        <f>IF(Sheet!BT39=Sheet!BT$2,4,IF(Sheet!BU39=Sheet!BU$2,3,IF(Sheet!BV39=Sheet!BV$2,2,IF(Sheet!BW39=Sheet!BW$2,1,""))))</f>
        <v>3</v>
      </c>
      <c r="BX39" s="58">
        <f>IF(Sheet!BX39=Sheet!BX$2,4,IF(Sheet!BY39=Sheet!BY$2,3,IF(Sheet!BZ39=Sheet!BZ$2,2,IF(Sheet!CA39=Sheet!CA$2,1,""))))</f>
        <v>4</v>
      </c>
      <c r="CB39" s="58">
        <f>IF(Sheet!CB39=Sheet!CB$2,4,IF(Sheet!CC39=Sheet!CC$2,3,IF(Sheet!CD39=Sheet!CD$2,2,IF(Sheet!CE39=Sheet!CE$2,1,""))))</f>
        <v>4</v>
      </c>
      <c r="CF39" s="58">
        <f>IF(Sheet!CF39=Sheet!CF$2,4,IF(Sheet!CG39=Sheet!CG$2,3,IF(Sheet!CH39=Sheet!CH$2,2,IF(Sheet!CI39=Sheet!CI$2,1,""))))</f>
        <v>4</v>
      </c>
      <c r="CJ39" s="58">
        <f>IF(Sheet!CJ39=Sheet!CJ$2,4,IF(Sheet!CK39=Sheet!CK$2,3,IF(Sheet!CL39=Sheet!CL$2,2,IF(Sheet!CM39=Sheet!CM$2,1,""))))</f>
        <v>2</v>
      </c>
      <c r="CN39" s="58">
        <f>IF(Sheet!CN39=Sheet!CN$2,4,IF(Sheet!CO39=Sheet!CO$2,3,IF(Sheet!CP39=Sheet!CP$2,2,IF(Sheet!CQ39=Sheet!CQ$2,1,""))))</f>
        <v>3</v>
      </c>
      <c r="CR39" s="58">
        <f>IF(Sheet!CR39=Sheet!CR$2,4,IF(Sheet!CS39=Sheet!CS$2,3,IF(Sheet!CT39=Sheet!CT$2,2,IF(Sheet!CU39=Sheet!CU$2,1,""))))</f>
        <v>4</v>
      </c>
      <c r="CV39" s="58">
        <f>IF(Sheet!CV39=Sheet!CV$2,4,IF(Sheet!CW39=Sheet!CW$2,3,IF(Sheet!CX39=Sheet!CX$2,2,IF(Sheet!CY39=Sheet!CY$2,1,""))))</f>
        <v>3</v>
      </c>
      <c r="CZ39" s="58">
        <f>IF(Sheet!CZ39=Sheet!CZ$2,4,IF(Sheet!DA39=Sheet!DA$2,3,IF(Sheet!DB39=Sheet!DB$2,2,IF(Sheet!DC39=Sheet!DC$2,1,""))))</f>
        <v>4</v>
      </c>
      <c r="DD39" s="58">
        <f>IF(Sheet!DD39=Sheet!DD$2,4,IF(Sheet!DE39=Sheet!DE$2,3,IF(Sheet!DF39=Sheet!DF$2,2,IF(Sheet!DG39=Sheet!DG$2,1,""))))</f>
        <v>3</v>
      </c>
      <c r="DH39" s="58">
        <f>IF(Sheet!DH39=Sheet!DH$2,4,IF(Sheet!DI39=Sheet!DI$2,3,IF(Sheet!DJ39=Sheet!DJ$2,2,IF(Sheet!DK39=Sheet!DK$2,1,""))))</f>
        <v>4</v>
      </c>
      <c r="DL39" s="58">
        <f>IF(Sheet!DL39=Sheet!DL$2,4,IF(Sheet!DM39=Sheet!DM$2,3,IF(Sheet!DN39=Sheet!DN$2,2,IF(Sheet!DO39=Sheet!DO$2,1,""))))</f>
        <v>3</v>
      </c>
      <c r="DP39" s="58">
        <f>IF(Sheet!DP39=Sheet!DP$2,4,IF(Sheet!DQ39=Sheet!DQ$2,3,IF(Sheet!DR39=Sheet!DR$2,2,IF(Sheet!DS39=Sheet!DS$2,1,""))))</f>
        <v>2</v>
      </c>
      <c r="DT39" s="58">
        <f>IF(Sheet!DT39=Sheet!DT$2,4,IF(Sheet!DU39=Sheet!DU$2,3,IF(Sheet!DV39=Sheet!DV$2,2,IF(Sheet!DW39=Sheet!DW$2,1,""))))</f>
        <v>2</v>
      </c>
      <c r="DX39" s="58">
        <f>IF(Sheet!DX39=Sheet!DX$2,4,IF(Sheet!DY39=Sheet!DY$2,3,IF(Sheet!DZ39=Sheet!DZ$2,2,IF(Sheet!EA39=Sheet!EA$2,1,""))))</f>
        <v>1</v>
      </c>
      <c r="EB39" s="58">
        <f>IF(Sheet!EB39=Sheet!EB$2,4,IF(Sheet!EC39=Sheet!EC$2,3,IF(Sheet!ED39=Sheet!ED$2,2,IF(Sheet!EE39=Sheet!EE$2,1,""))))</f>
        <v>3</v>
      </c>
      <c r="EF39" s="58">
        <f>IF(Sheet!EF39=Sheet!EF$2,4,IF(Sheet!EG39=Sheet!EG$2,3,IF(Sheet!EH39=Sheet!EH$2,2,IF(Sheet!EI39=Sheet!EI$2,1,""))))</f>
        <v>1</v>
      </c>
      <c r="EJ39" s="58">
        <f>IF(Sheet!EJ39=Sheet!EJ$2,4,IF(Sheet!EK39=Sheet!EK$2,3,IF(Sheet!EL39=Sheet!EL$2,2,IF(Sheet!EM39=Sheet!EM$2,1,""))))</f>
        <v>4</v>
      </c>
      <c r="EN39" s="58">
        <f>IF(Sheet!EN39=Sheet!EN$2,4,IF(Sheet!EO39=Sheet!EO$2,3,IF(Sheet!EP39=Sheet!EP$2,2,IF(Sheet!EQ39=Sheet!EQ$2,1,""))))</f>
        <v>2</v>
      </c>
      <c r="ER39" s="58">
        <f>IF(Sheet!ER39=Sheet!ER$2,4,IF(Sheet!ES39=Sheet!ES$2,3,IF(Sheet!ET39=Sheet!ET$2,2,IF(Sheet!EU39=Sheet!EU$2,1,""))))</f>
        <v>3</v>
      </c>
      <c r="EV39" s="58" t="str">
        <f>IF(Sheet!EV39=Sheet!EV$2,4,IF(Sheet!EW39=Sheet!EW$2,3,IF(Sheet!EX39=Sheet!EX$2,2,IF(Sheet!EY39=Sheet!EY$2,1,""))))</f>
        <v/>
      </c>
      <c r="EZ39" s="58">
        <f>IF(Sheet!EZ39=Sheet!EZ$2,4,IF(Sheet!FA39=Sheet!FA$2,3,IF(Sheet!FB39=Sheet!FB$2,2,IF(Sheet!FC39=Sheet!FC$2,1,""))))</f>
        <v>4</v>
      </c>
      <c r="FD39" s="58">
        <f>IF(Sheet!FD39=Sheet!FD$2,4,IF(Sheet!FE39=Sheet!FE$2,3,IF(Sheet!FF39=Sheet!FF$2,2,IF(Sheet!FG39=Sheet!FG$2,1,""))))</f>
        <v>4</v>
      </c>
      <c r="FH39" s="58">
        <f>IF(Sheet!FH39=Sheet!FH$2,4,IF(Sheet!FI39=Sheet!FI$2,3,IF(Sheet!FJ39=Sheet!FJ$2,2,IF(Sheet!FK39=Sheet!FK$2,1,""))))</f>
        <v>4</v>
      </c>
      <c r="FL39" s="58">
        <f>IF(Sheet!FL39=Sheet!FL$2,4,IF(Sheet!FM39=Sheet!FM$2,3,IF(Sheet!FN39=Sheet!FN$2,2,IF(Sheet!FO39=Sheet!FO$2,1,""))))</f>
        <v>3</v>
      </c>
    </row>
    <row r="40" spans="1:168">
      <c r="A40" t="str">
        <f>Sheet!A40</f>
        <v>TC001</v>
      </c>
      <c r="AT40" s="56">
        <f t="shared" si="0"/>
        <v>2.7419354838709675</v>
      </c>
      <c r="AV40" s="58">
        <f>IF(Sheet!AV40=Sheet!AV$2,4,IF(Sheet!AW40=Sheet!AW$2,3,IF(Sheet!AX40=Sheet!AX$2,2,IF(Sheet!AY40=Sheet!AY$2,1,""))))</f>
        <v>1</v>
      </c>
      <c r="AZ40" s="58">
        <f>IF(Sheet!AZ40=Sheet!AZ$2,4,IF(Sheet!BA40=Sheet!BA$2,3,IF(Sheet!BB40=Sheet!BB$2,2,IF(Sheet!BC40=Sheet!BC$2,1,""))))</f>
        <v>3</v>
      </c>
      <c r="BD40" s="58">
        <f>IF(Sheet!BD40=Sheet!BD$2,4,IF(Sheet!BE40=Sheet!BE$2,3,IF(Sheet!BF40=Sheet!BF$2,2,IF(Sheet!BG40=Sheet!BG$2,1,""))))</f>
        <v>3</v>
      </c>
      <c r="BH40" s="58">
        <f>IF(Sheet!BH40=Sheet!BH$2,4,IF(Sheet!BI40=Sheet!BI$2,3,IF(Sheet!BJ40=Sheet!BJ$2,2,IF(Sheet!BK40=Sheet!BK$2,1,""))))</f>
        <v>2</v>
      </c>
      <c r="BL40" s="58">
        <f>IF(Sheet!BL40=Sheet!BL$2,4,IF(Sheet!BM40=Sheet!BM$2,3,IF(Sheet!BN40=Sheet!BN$2,2,IF(Sheet!BO40=Sheet!BO$2,1,""))))</f>
        <v>3</v>
      </c>
      <c r="BP40" s="58">
        <f>IF(Sheet!BP40=Sheet!BP$2,4,IF(Sheet!BQ40=Sheet!BQ$2,3,IF(Sheet!BR40=Sheet!BR$2,2,IF(Sheet!BS40=Sheet!BS$2,1,""))))</f>
        <v>4</v>
      </c>
      <c r="BT40" s="58">
        <f>IF(Sheet!BT40=Sheet!BT$2,4,IF(Sheet!BU40=Sheet!BU$2,3,IF(Sheet!BV40=Sheet!BV$2,2,IF(Sheet!BW40=Sheet!BW$2,1,""))))</f>
        <v>2</v>
      </c>
      <c r="BX40" s="58">
        <f>IF(Sheet!BX40=Sheet!BX$2,4,IF(Sheet!BY40=Sheet!BY$2,3,IF(Sheet!BZ40=Sheet!BZ$2,2,IF(Sheet!CA40=Sheet!CA$2,1,""))))</f>
        <v>2</v>
      </c>
      <c r="CB40" s="58">
        <f>IF(Sheet!CB40=Sheet!CB$2,4,IF(Sheet!CC40=Sheet!CC$2,3,IF(Sheet!CD40=Sheet!CD$2,2,IF(Sheet!CE40=Sheet!CE$2,1,""))))</f>
        <v>3</v>
      </c>
      <c r="CF40" s="58">
        <f>IF(Sheet!CF40=Sheet!CF$2,4,IF(Sheet!CG40=Sheet!CG$2,3,IF(Sheet!CH40=Sheet!CH$2,2,IF(Sheet!CI40=Sheet!CI$2,1,""))))</f>
        <v>2</v>
      </c>
      <c r="CJ40" s="58">
        <f>IF(Sheet!CJ40=Sheet!CJ$2,4,IF(Sheet!CK40=Sheet!CK$2,3,IF(Sheet!CL40=Sheet!CL$2,2,IF(Sheet!CM40=Sheet!CM$2,1,""))))</f>
        <v>2</v>
      </c>
      <c r="CN40" s="58">
        <f>IF(Sheet!CN40=Sheet!CN$2,4,IF(Sheet!CO40=Sheet!CO$2,3,IF(Sheet!CP40=Sheet!CP$2,2,IF(Sheet!CQ40=Sheet!CQ$2,1,""))))</f>
        <v>3</v>
      </c>
      <c r="CR40" s="58">
        <f>IF(Sheet!CR40=Sheet!CR$2,4,IF(Sheet!CS40=Sheet!CS$2,3,IF(Sheet!CT40=Sheet!CT$2,2,IF(Sheet!CU40=Sheet!CU$2,1,""))))</f>
        <v>3</v>
      </c>
      <c r="CV40" s="58">
        <f>IF(Sheet!CV40=Sheet!CV$2,4,IF(Sheet!CW40=Sheet!CW$2,3,IF(Sheet!CX40=Sheet!CX$2,2,IF(Sheet!CY40=Sheet!CY$2,1,""))))</f>
        <v>3</v>
      </c>
      <c r="CZ40" s="58">
        <f>IF(Sheet!CZ40=Sheet!CZ$2,4,IF(Sheet!DA40=Sheet!DA$2,3,IF(Sheet!DB40=Sheet!DB$2,2,IF(Sheet!DC40=Sheet!DC$2,1,""))))</f>
        <v>2</v>
      </c>
      <c r="DD40" s="58">
        <f>IF(Sheet!DD40=Sheet!DD$2,4,IF(Sheet!DE40=Sheet!DE$2,3,IF(Sheet!DF40=Sheet!DF$2,2,IF(Sheet!DG40=Sheet!DG$2,1,""))))</f>
        <v>3</v>
      </c>
      <c r="DH40" s="58">
        <f>IF(Sheet!DH40=Sheet!DH$2,4,IF(Sheet!DI40=Sheet!DI$2,3,IF(Sheet!DJ40=Sheet!DJ$2,2,IF(Sheet!DK40=Sheet!DK$2,1,""))))</f>
        <v>3</v>
      </c>
      <c r="DL40" s="58">
        <f>IF(Sheet!DL40=Sheet!DL$2,4,IF(Sheet!DM40=Sheet!DM$2,3,IF(Sheet!DN40=Sheet!DN$2,2,IF(Sheet!DO40=Sheet!DO$2,1,""))))</f>
        <v>3</v>
      </c>
      <c r="DP40" s="58">
        <f>IF(Sheet!DP40=Sheet!DP$2,4,IF(Sheet!DQ40=Sheet!DQ$2,3,IF(Sheet!DR40=Sheet!DR$2,2,IF(Sheet!DS40=Sheet!DS$2,1,""))))</f>
        <v>4</v>
      </c>
      <c r="DT40" s="58">
        <f>IF(Sheet!DT40=Sheet!DT$2,4,IF(Sheet!DU40=Sheet!DU$2,3,IF(Sheet!DV40=Sheet!DV$2,2,IF(Sheet!DW40=Sheet!DW$2,1,""))))</f>
        <v>3</v>
      </c>
      <c r="DX40" s="58">
        <f>IF(Sheet!DX40=Sheet!DX$2,4,IF(Sheet!DY40=Sheet!DY$2,3,IF(Sheet!DZ40=Sheet!DZ$2,2,IF(Sheet!EA40=Sheet!EA$2,1,""))))</f>
        <v>2</v>
      </c>
      <c r="EB40" s="58">
        <f>IF(Sheet!EB40=Sheet!EB$2,4,IF(Sheet!EC40=Sheet!EC$2,3,IF(Sheet!ED40=Sheet!ED$2,2,IF(Sheet!EE40=Sheet!EE$2,1,""))))</f>
        <v>4</v>
      </c>
      <c r="EF40" s="58">
        <f>IF(Sheet!EF40=Sheet!EF$2,4,IF(Sheet!EG40=Sheet!EG$2,3,IF(Sheet!EH40=Sheet!EH$2,2,IF(Sheet!EI40=Sheet!EI$2,1,""))))</f>
        <v>3</v>
      </c>
      <c r="EJ40" s="58">
        <f>IF(Sheet!EJ40=Sheet!EJ$2,4,IF(Sheet!EK40=Sheet!EK$2,3,IF(Sheet!EL40=Sheet!EL$2,2,IF(Sheet!EM40=Sheet!EM$2,1,""))))</f>
        <v>3</v>
      </c>
      <c r="EN40" s="58">
        <f>IF(Sheet!EN40=Sheet!EN$2,4,IF(Sheet!EO40=Sheet!EO$2,3,IF(Sheet!EP40=Sheet!EP$2,2,IF(Sheet!EQ40=Sheet!EQ$2,1,""))))</f>
        <v>2</v>
      </c>
      <c r="ER40" s="58">
        <f>IF(Sheet!ER40=Sheet!ER$2,4,IF(Sheet!ES40=Sheet!ES$2,3,IF(Sheet!ET40=Sheet!ET$2,2,IF(Sheet!EU40=Sheet!EU$2,1,""))))</f>
        <v>3</v>
      </c>
      <c r="EV40" s="58">
        <f>IF(Sheet!EV40=Sheet!EV$2,4,IF(Sheet!EW40=Sheet!EW$2,3,IF(Sheet!EX40=Sheet!EX$2,2,IF(Sheet!EY40=Sheet!EY$2,1,""))))</f>
        <v>4</v>
      </c>
      <c r="EZ40" s="58">
        <f>IF(Sheet!EZ40=Sheet!EZ$2,4,IF(Sheet!FA40=Sheet!FA$2,3,IF(Sheet!FB40=Sheet!FB$2,2,IF(Sheet!FC40=Sheet!FC$2,1,""))))</f>
        <v>2</v>
      </c>
      <c r="FD40" s="58">
        <f>IF(Sheet!FD40=Sheet!FD$2,4,IF(Sheet!FE40=Sheet!FE$2,3,IF(Sheet!FF40=Sheet!FF$2,2,IF(Sheet!FG40=Sheet!FG$2,1,""))))</f>
        <v>3</v>
      </c>
      <c r="FH40" s="58">
        <f>IF(Sheet!FH40=Sheet!FH$2,4,IF(Sheet!FI40=Sheet!FI$2,3,IF(Sheet!FJ40=Sheet!FJ$2,2,IF(Sheet!FK40=Sheet!FK$2,1,""))))</f>
        <v>3</v>
      </c>
      <c r="FL40" s="58">
        <f>IF(Sheet!FL40=Sheet!FL$2,4,IF(Sheet!FM40=Sheet!FM$2,3,IF(Sheet!FN40=Sheet!FN$2,2,IF(Sheet!FO40=Sheet!FO$2,1,""))))</f>
        <v>2</v>
      </c>
    </row>
    <row r="41" spans="1:168">
      <c r="A41" t="str">
        <f>Sheet!A41</f>
        <v>CD002</v>
      </c>
      <c r="AT41" s="56">
        <f t="shared" si="0"/>
        <v>2.806451612903226</v>
      </c>
      <c r="AV41" s="58">
        <f>IF(Sheet!AV41=Sheet!AV$2,4,IF(Sheet!AW41=Sheet!AW$2,3,IF(Sheet!AX41=Sheet!AX$2,2,IF(Sheet!AY41=Sheet!AY$2,1,""))))</f>
        <v>3</v>
      </c>
      <c r="AZ41" s="58">
        <f>IF(Sheet!AZ41=Sheet!AZ$2,4,IF(Sheet!BA41=Sheet!BA$2,3,IF(Sheet!BB41=Sheet!BB$2,2,IF(Sheet!BC41=Sheet!BC$2,1,""))))</f>
        <v>4</v>
      </c>
      <c r="BD41" s="58">
        <f>IF(Sheet!BD41=Sheet!BD$2,4,IF(Sheet!BE41=Sheet!BE$2,3,IF(Sheet!BF41=Sheet!BF$2,2,IF(Sheet!BG41=Sheet!BG$2,1,""))))</f>
        <v>4</v>
      </c>
      <c r="BH41" s="58">
        <f>IF(Sheet!BH41=Sheet!BH$2,4,IF(Sheet!BI41=Sheet!BI$2,3,IF(Sheet!BJ41=Sheet!BJ$2,2,IF(Sheet!BK41=Sheet!BK$2,1,""))))</f>
        <v>4</v>
      </c>
      <c r="BL41" s="58">
        <f>IF(Sheet!BL41=Sheet!BL$2,4,IF(Sheet!BM41=Sheet!BM$2,3,IF(Sheet!BN41=Sheet!BN$2,2,IF(Sheet!BO41=Sheet!BO$2,1,""))))</f>
        <v>3</v>
      </c>
      <c r="BP41" s="58">
        <f>IF(Sheet!BP41=Sheet!BP$2,4,IF(Sheet!BQ41=Sheet!BQ$2,3,IF(Sheet!BR41=Sheet!BR$2,2,IF(Sheet!BS41=Sheet!BS$2,1,""))))</f>
        <v>1</v>
      </c>
      <c r="BT41" s="58">
        <f>IF(Sheet!BT41=Sheet!BT$2,4,IF(Sheet!BU41=Sheet!BU$2,3,IF(Sheet!BV41=Sheet!BV$2,2,IF(Sheet!BW41=Sheet!BW$2,1,""))))</f>
        <v>4</v>
      </c>
      <c r="BX41" s="58">
        <f>IF(Sheet!BX41=Sheet!BX$2,4,IF(Sheet!BY41=Sheet!BY$2,3,IF(Sheet!BZ41=Sheet!BZ$2,2,IF(Sheet!CA41=Sheet!CA$2,1,""))))</f>
        <v>3</v>
      </c>
      <c r="CB41" s="58">
        <f>IF(Sheet!CB41=Sheet!CB$2,4,IF(Sheet!CC41=Sheet!CC$2,3,IF(Sheet!CD41=Sheet!CD$2,2,IF(Sheet!CE41=Sheet!CE$2,1,""))))</f>
        <v>4</v>
      </c>
      <c r="CF41" s="58">
        <f>IF(Sheet!CF41=Sheet!CF$2,4,IF(Sheet!CG41=Sheet!CG$2,3,IF(Sheet!CH41=Sheet!CH$2,2,IF(Sheet!CI41=Sheet!CI$2,1,""))))</f>
        <v>2</v>
      </c>
      <c r="CJ41" s="58">
        <f>IF(Sheet!CJ41=Sheet!CJ$2,4,IF(Sheet!CK41=Sheet!CK$2,3,IF(Sheet!CL41=Sheet!CL$2,2,IF(Sheet!CM41=Sheet!CM$2,1,""))))</f>
        <v>4</v>
      </c>
      <c r="CN41" s="58">
        <f>IF(Sheet!CN41=Sheet!CN$2,4,IF(Sheet!CO41=Sheet!CO$2,3,IF(Sheet!CP41=Sheet!CP$2,2,IF(Sheet!CQ41=Sheet!CQ$2,1,""))))</f>
        <v>3</v>
      </c>
      <c r="CR41" s="58">
        <f>IF(Sheet!CR41=Sheet!CR$2,4,IF(Sheet!CS41=Sheet!CS$2,3,IF(Sheet!CT41=Sheet!CT$2,2,IF(Sheet!CU41=Sheet!CU$2,1,""))))</f>
        <v>1</v>
      </c>
      <c r="CV41" s="58">
        <f>IF(Sheet!CV41=Sheet!CV$2,4,IF(Sheet!CW41=Sheet!CW$2,3,IF(Sheet!CX41=Sheet!CX$2,2,IF(Sheet!CY41=Sheet!CY$2,1,""))))</f>
        <v>4</v>
      </c>
      <c r="CZ41" s="58">
        <f>IF(Sheet!CZ41=Sheet!CZ$2,4,IF(Sheet!DA41=Sheet!DA$2,3,IF(Sheet!DB41=Sheet!DB$2,2,IF(Sheet!DC41=Sheet!DC$2,1,""))))</f>
        <v>4</v>
      </c>
      <c r="DD41" s="58">
        <f>IF(Sheet!DD41=Sheet!DD$2,4,IF(Sheet!DE41=Sheet!DE$2,3,IF(Sheet!DF41=Sheet!DF$2,2,IF(Sheet!DG41=Sheet!DG$2,1,""))))</f>
        <v>4</v>
      </c>
      <c r="DH41" s="58">
        <f>IF(Sheet!DH41=Sheet!DH$2,4,IF(Sheet!DI41=Sheet!DI$2,3,IF(Sheet!DJ41=Sheet!DJ$2,2,IF(Sheet!DK41=Sheet!DK$2,1,""))))</f>
        <v>4</v>
      </c>
      <c r="DL41" s="58">
        <f>IF(Sheet!DL41=Sheet!DL$2,4,IF(Sheet!DM41=Sheet!DM$2,3,IF(Sheet!DN41=Sheet!DN$2,2,IF(Sheet!DO41=Sheet!DO$2,1,""))))</f>
        <v>4</v>
      </c>
      <c r="DP41" s="58">
        <f>IF(Sheet!DP41=Sheet!DP$2,4,IF(Sheet!DQ41=Sheet!DQ$2,3,IF(Sheet!DR41=Sheet!DR$2,2,IF(Sheet!DS41=Sheet!DS$2,1,""))))</f>
        <v>4</v>
      </c>
      <c r="DT41" s="58">
        <f>IF(Sheet!DT41=Sheet!DT$2,4,IF(Sheet!DU41=Sheet!DU$2,3,IF(Sheet!DV41=Sheet!DV$2,2,IF(Sheet!DW41=Sheet!DW$2,1,""))))</f>
        <v>3</v>
      </c>
      <c r="DX41" s="58">
        <f>IF(Sheet!DX41=Sheet!DX$2,4,IF(Sheet!DY41=Sheet!DY$2,3,IF(Sheet!DZ41=Sheet!DZ$2,2,IF(Sheet!EA41=Sheet!EA$2,1,""))))</f>
        <v>1</v>
      </c>
      <c r="EB41" s="58">
        <f>IF(Sheet!EB41=Sheet!EB$2,4,IF(Sheet!EC41=Sheet!EC$2,3,IF(Sheet!ED41=Sheet!ED$2,2,IF(Sheet!EE41=Sheet!EE$2,1,""))))</f>
        <v>2</v>
      </c>
      <c r="EF41" s="58">
        <f>IF(Sheet!EF41=Sheet!EF$2,4,IF(Sheet!EG41=Sheet!EG$2,3,IF(Sheet!EH41=Sheet!EH$2,2,IF(Sheet!EI41=Sheet!EI$2,1,""))))</f>
        <v>1</v>
      </c>
      <c r="EJ41" s="58">
        <f>IF(Sheet!EJ41=Sheet!EJ$2,4,IF(Sheet!EK41=Sheet!EK$2,3,IF(Sheet!EL41=Sheet!EL$2,2,IF(Sheet!EM41=Sheet!EM$2,1,""))))</f>
        <v>1</v>
      </c>
      <c r="EN41" s="58">
        <f>IF(Sheet!EN41=Sheet!EN$2,4,IF(Sheet!EO41=Sheet!EO$2,3,IF(Sheet!EP41=Sheet!EP$2,2,IF(Sheet!EQ41=Sheet!EQ$2,1,""))))</f>
        <v>1</v>
      </c>
      <c r="ER41" s="58">
        <f>IF(Sheet!ER41=Sheet!ER$2,4,IF(Sheet!ES41=Sheet!ES$2,3,IF(Sheet!ET41=Sheet!ET$2,2,IF(Sheet!EU41=Sheet!EU$2,1,""))))</f>
        <v>1</v>
      </c>
      <c r="EV41" s="58">
        <f>IF(Sheet!EV41=Sheet!EV$2,4,IF(Sheet!EW41=Sheet!EW$2,3,IF(Sheet!EX41=Sheet!EX$2,2,IF(Sheet!EY41=Sheet!EY$2,1,""))))</f>
        <v>3</v>
      </c>
      <c r="EZ41" s="58">
        <f>IF(Sheet!EZ41=Sheet!EZ$2,4,IF(Sheet!FA41=Sheet!FA$2,3,IF(Sheet!FB41=Sheet!FB$2,2,IF(Sheet!FC41=Sheet!FC$2,1,""))))</f>
        <v>1</v>
      </c>
      <c r="FD41" s="58">
        <f>IF(Sheet!FD41=Sheet!FD$2,4,IF(Sheet!FE41=Sheet!FE$2,3,IF(Sheet!FF41=Sheet!FF$2,2,IF(Sheet!FG41=Sheet!FG$2,1,""))))</f>
        <v>3</v>
      </c>
      <c r="FH41" s="58">
        <f>IF(Sheet!FH41=Sheet!FH$2,4,IF(Sheet!FI41=Sheet!FI$2,3,IF(Sheet!FJ41=Sheet!FJ$2,2,IF(Sheet!FK41=Sheet!FK$2,1,""))))</f>
        <v>4</v>
      </c>
      <c r="FL41" s="58">
        <f>IF(Sheet!FL41=Sheet!FL$2,4,IF(Sheet!FM41=Sheet!FM$2,3,IF(Sheet!FN41=Sheet!FN$2,2,IF(Sheet!FO41=Sheet!FO$2,1,""))))</f>
        <v>2</v>
      </c>
    </row>
    <row r="42" spans="1:168">
      <c r="A42" t="str">
        <f>Sheet!A42</f>
        <v>СМ001</v>
      </c>
      <c r="AT42" s="56">
        <f t="shared" si="0"/>
        <v>2.7</v>
      </c>
      <c r="AV42" s="58">
        <f>IF(Sheet!AV42=Sheet!AV$2,4,IF(Sheet!AW42=Sheet!AW$2,3,IF(Sheet!AX42=Sheet!AX$2,2,IF(Sheet!AY42=Sheet!AY$2,1,""))))</f>
        <v>3</v>
      </c>
      <c r="AZ42" s="58">
        <f>IF(Sheet!AZ42=Sheet!AZ$2,4,IF(Sheet!BA42=Sheet!BA$2,3,IF(Sheet!BB42=Sheet!BB$2,2,IF(Sheet!BC42=Sheet!BC$2,1,""))))</f>
        <v>4</v>
      </c>
      <c r="BD42" s="58">
        <f>IF(Sheet!BD42=Sheet!BD$2,4,IF(Sheet!BE42=Sheet!BE$2,3,IF(Sheet!BF42=Sheet!BF$2,2,IF(Sheet!BG42=Sheet!BG$2,1,""))))</f>
        <v>2</v>
      </c>
      <c r="BH42" s="58">
        <f>IF(Sheet!BH42=Sheet!BH$2,4,IF(Sheet!BI42=Sheet!BI$2,3,IF(Sheet!BJ42=Sheet!BJ$2,2,IF(Sheet!BK42=Sheet!BK$2,1,""))))</f>
        <v>2</v>
      </c>
      <c r="BL42" s="58">
        <f>IF(Sheet!BL42=Sheet!BL$2,4,IF(Sheet!BM42=Sheet!BM$2,3,IF(Sheet!BN42=Sheet!BN$2,2,IF(Sheet!BO42=Sheet!BO$2,1,""))))</f>
        <v>2</v>
      </c>
      <c r="BP42" s="58">
        <f>IF(Sheet!BP42=Sheet!BP$2,4,IF(Sheet!BQ42=Sheet!BQ$2,3,IF(Sheet!BR42=Sheet!BR$2,2,IF(Sheet!BS42=Sheet!BS$2,1,""))))</f>
        <v>4</v>
      </c>
      <c r="BT42" s="58">
        <f>IF(Sheet!BT42=Sheet!BT$2,4,IF(Sheet!BU42=Sheet!BU$2,3,IF(Sheet!BV42=Sheet!BV$2,2,IF(Sheet!BW42=Sheet!BW$2,1,""))))</f>
        <v>3</v>
      </c>
      <c r="BX42" s="58">
        <f>IF(Sheet!BX42=Sheet!BX$2,4,IF(Sheet!BY42=Sheet!BY$2,3,IF(Sheet!BZ42=Sheet!BZ$2,2,IF(Sheet!CA42=Sheet!CA$2,1,""))))</f>
        <v>2</v>
      </c>
      <c r="CB42" s="58">
        <f>IF(Sheet!CB42=Sheet!CB$2,4,IF(Sheet!CC42=Sheet!CC$2,3,IF(Sheet!CD42=Sheet!CD$2,2,IF(Sheet!CE42=Sheet!CE$2,1,""))))</f>
        <v>2</v>
      </c>
      <c r="CF42" s="58">
        <f>IF(Sheet!CF42=Sheet!CF$2,4,IF(Sheet!CG42=Sheet!CG$2,3,IF(Sheet!CH42=Sheet!CH$2,2,IF(Sheet!CI42=Sheet!CI$2,1,""))))</f>
        <v>3</v>
      </c>
      <c r="CJ42" s="58">
        <f>IF(Sheet!CJ42=Sheet!CJ$2,4,IF(Sheet!CK42=Sheet!CK$2,3,IF(Sheet!CL42=Sheet!CL$2,2,IF(Sheet!CM42=Sheet!CM$2,1,""))))</f>
        <v>4</v>
      </c>
      <c r="CN42" s="58">
        <f>IF(Sheet!CN42=Sheet!CN$2,4,IF(Sheet!CO42=Sheet!CO$2,3,IF(Sheet!CP42=Sheet!CP$2,2,IF(Sheet!CQ42=Sheet!CQ$2,1,""))))</f>
        <v>3</v>
      </c>
      <c r="CR42" s="58">
        <f>IF(Sheet!CR42=Sheet!CR$2,4,IF(Sheet!CS42=Sheet!CS$2,3,IF(Sheet!CT42=Sheet!CT$2,2,IF(Sheet!CU42=Sheet!CU$2,1,""))))</f>
        <v>3</v>
      </c>
      <c r="CV42" s="58">
        <f>IF(Sheet!CV42=Sheet!CV$2,4,IF(Sheet!CW42=Sheet!CW$2,3,IF(Sheet!CX42=Sheet!CX$2,2,IF(Sheet!CY42=Sheet!CY$2,1,""))))</f>
        <v>4</v>
      </c>
      <c r="CZ42" s="58">
        <f>IF(Sheet!CZ42=Sheet!CZ$2,4,IF(Sheet!DA42=Sheet!DA$2,3,IF(Sheet!DB42=Sheet!DB$2,2,IF(Sheet!DC42=Sheet!DC$2,1,""))))</f>
        <v>4</v>
      </c>
      <c r="DD42" s="58">
        <f>IF(Sheet!DD42=Sheet!DD$2,4,IF(Sheet!DE42=Sheet!DE$2,3,IF(Sheet!DF42=Sheet!DF$2,2,IF(Sheet!DG42=Sheet!DG$2,1,""))))</f>
        <v>4</v>
      </c>
      <c r="DH42" s="58">
        <f>IF(Sheet!DH42=Sheet!DH$2,4,IF(Sheet!DI42=Sheet!DI$2,3,IF(Sheet!DJ42=Sheet!DJ$2,2,IF(Sheet!DK42=Sheet!DK$2,1,""))))</f>
        <v>3</v>
      </c>
      <c r="DL42" s="58">
        <f>IF(Sheet!DL42=Sheet!DL$2,4,IF(Sheet!DM42=Sheet!DM$2,3,IF(Sheet!DN42=Sheet!DN$2,2,IF(Sheet!DO42=Sheet!DO$2,1,""))))</f>
        <v>3</v>
      </c>
      <c r="DP42" s="58">
        <f>IF(Sheet!DP42=Sheet!DP$2,4,IF(Sheet!DQ42=Sheet!DQ$2,3,IF(Sheet!DR42=Sheet!DR$2,2,IF(Sheet!DS42=Sheet!DS$2,1,""))))</f>
        <v>3</v>
      </c>
      <c r="DT42" s="58">
        <f>IF(Sheet!DT42=Sheet!DT$2,4,IF(Sheet!DU42=Sheet!DU$2,3,IF(Sheet!DV42=Sheet!DV$2,2,IF(Sheet!DW42=Sheet!DW$2,1,""))))</f>
        <v>2</v>
      </c>
      <c r="DX42" s="58">
        <f>IF(Sheet!DX42=Sheet!DX$2,4,IF(Sheet!DY42=Sheet!DY$2,3,IF(Sheet!DZ42=Sheet!DZ$2,2,IF(Sheet!EA42=Sheet!EA$2,1,""))))</f>
        <v>2</v>
      </c>
      <c r="EB42" s="58" t="str">
        <f>IF(Sheet!EB42=Sheet!EB$2,4,IF(Sheet!EC42=Sheet!EC$2,3,IF(Sheet!ED42=Sheet!ED$2,2,IF(Sheet!EE42=Sheet!EE$2,1,""))))</f>
        <v/>
      </c>
      <c r="EF42" s="58">
        <f>IF(Sheet!EF42=Sheet!EF$2,4,IF(Sheet!EG42=Sheet!EG$2,3,IF(Sheet!EH42=Sheet!EH$2,2,IF(Sheet!EI42=Sheet!EI$2,1,""))))</f>
        <v>1</v>
      </c>
      <c r="EJ42" s="58">
        <f>IF(Sheet!EJ42=Sheet!EJ$2,4,IF(Sheet!EK42=Sheet!EK$2,3,IF(Sheet!EL42=Sheet!EL$2,2,IF(Sheet!EM42=Sheet!EM$2,1,""))))</f>
        <v>2</v>
      </c>
      <c r="EN42" s="58">
        <f>IF(Sheet!EN42=Sheet!EN$2,4,IF(Sheet!EO42=Sheet!EO$2,3,IF(Sheet!EP42=Sheet!EP$2,2,IF(Sheet!EQ42=Sheet!EQ$2,1,""))))</f>
        <v>1</v>
      </c>
      <c r="ER42" s="58">
        <f>IF(Sheet!ER42=Sheet!ER$2,4,IF(Sheet!ES42=Sheet!ES$2,3,IF(Sheet!ET42=Sheet!ET$2,2,IF(Sheet!EU42=Sheet!EU$2,1,""))))</f>
        <v>2</v>
      </c>
      <c r="EV42" s="58">
        <f>IF(Sheet!EV42=Sheet!EV$2,4,IF(Sheet!EW42=Sheet!EW$2,3,IF(Sheet!EX42=Sheet!EX$2,2,IF(Sheet!EY42=Sheet!EY$2,1,""))))</f>
        <v>2</v>
      </c>
      <c r="EZ42" s="58">
        <f>IF(Sheet!EZ42=Sheet!EZ$2,4,IF(Sheet!FA42=Sheet!FA$2,3,IF(Sheet!FB42=Sheet!FB$2,2,IF(Sheet!FC42=Sheet!FC$2,1,""))))</f>
        <v>2</v>
      </c>
      <c r="FD42" s="58">
        <f>IF(Sheet!FD42=Sheet!FD$2,4,IF(Sheet!FE42=Sheet!FE$2,3,IF(Sheet!FF42=Sheet!FF$2,2,IF(Sheet!FG42=Sheet!FG$2,1,""))))</f>
        <v>1</v>
      </c>
      <c r="FH42" s="58">
        <f>IF(Sheet!FH42=Sheet!FH$2,4,IF(Sheet!FI42=Sheet!FI$2,3,IF(Sheet!FJ42=Sheet!FJ$2,2,IF(Sheet!FK42=Sheet!FK$2,1,""))))</f>
        <v>4</v>
      </c>
      <c r="FL42" s="58">
        <f>IF(Sheet!FL42=Sheet!FL$2,4,IF(Sheet!FM42=Sheet!FM$2,3,IF(Sheet!FN42=Sheet!FN$2,2,IF(Sheet!FO42=Sheet!FO$2,1,""))))</f>
        <v>4</v>
      </c>
    </row>
    <row r="43" spans="1:168" ht="15.6" customHeight="1">
      <c r="A43" s="6" t="str">
        <f>Sheet!A43</f>
        <v>LO001</v>
      </c>
      <c r="AT43" s="56"/>
      <c r="AV43" s="58" t="str">
        <f>IF(Sheet!AV43=Sheet!AV$2,4,IF(Sheet!AW43=Sheet!AW$2,3,IF(Sheet!AX43=Sheet!AX$2,2,IF(Sheet!AY43=Sheet!AY$2,1,""))))</f>
        <v/>
      </c>
      <c r="AZ43" s="58" t="str">
        <f>IF(Sheet!AZ43=Sheet!AZ$2,4,IF(Sheet!BA43=Sheet!BA$2,3,IF(Sheet!BB43=Sheet!BB$2,2,IF(Sheet!BC43=Sheet!BC$2,1,""))))</f>
        <v/>
      </c>
      <c r="BD43" s="58" t="str">
        <f>IF(Sheet!BD43=Sheet!BD$2,4,IF(Sheet!BE43=Sheet!BE$2,3,IF(Sheet!BF43=Sheet!BF$2,2,IF(Sheet!BG43=Sheet!BG$2,1,""))))</f>
        <v/>
      </c>
      <c r="BH43" s="58" t="str">
        <f>IF(Sheet!BH43=Sheet!BH$2,4,IF(Sheet!BI43=Sheet!BI$2,3,IF(Sheet!BJ43=Sheet!BJ$2,2,IF(Sheet!BK43=Sheet!BK$2,1,""))))</f>
        <v/>
      </c>
      <c r="BL43" s="58" t="str">
        <f>IF(Sheet!BL43=Sheet!BL$2,4,IF(Sheet!BM43=Sheet!BM$2,3,IF(Sheet!BN43=Sheet!BN$2,2,IF(Sheet!BO43=Sheet!BO$2,1,""))))</f>
        <v/>
      </c>
      <c r="BP43" s="58" t="str">
        <f>IF(Sheet!BP43=Sheet!BP$2,4,IF(Sheet!BQ43=Sheet!BQ$2,3,IF(Sheet!BR43=Sheet!BR$2,2,IF(Sheet!BS43=Sheet!BS$2,1,""))))</f>
        <v/>
      </c>
      <c r="BT43" s="58" t="str">
        <f>IF(Sheet!BT43=Sheet!BT$2,4,IF(Sheet!BU43=Sheet!BU$2,3,IF(Sheet!BV43=Sheet!BV$2,2,IF(Sheet!BW43=Sheet!BW$2,1,""))))</f>
        <v/>
      </c>
      <c r="BX43" s="58" t="str">
        <f>IF(Sheet!BX43=Sheet!BX$2,4,IF(Sheet!BY43=Sheet!BY$2,3,IF(Sheet!BZ43=Sheet!BZ$2,2,IF(Sheet!CA43=Sheet!CA$2,1,""))))</f>
        <v/>
      </c>
      <c r="CB43" s="58" t="str">
        <f>IF(Sheet!CB43=Sheet!CB$2,4,IF(Sheet!CC43=Sheet!CC$2,3,IF(Sheet!CD43=Sheet!CD$2,2,IF(Sheet!CE43=Sheet!CE$2,1,""))))</f>
        <v/>
      </c>
      <c r="CF43" s="58" t="str">
        <f>IF(Sheet!CF43=Sheet!CF$2,4,IF(Sheet!CG43=Sheet!CG$2,3,IF(Sheet!CH43=Sheet!CH$2,2,IF(Sheet!CI43=Sheet!CI$2,1,""))))</f>
        <v/>
      </c>
      <c r="CJ43" s="58" t="str">
        <f>IF(Sheet!CJ43=Sheet!CJ$2,4,IF(Sheet!CK43=Sheet!CK$2,3,IF(Sheet!CL43=Sheet!CL$2,2,IF(Sheet!CM43=Sheet!CM$2,1,""))))</f>
        <v/>
      </c>
      <c r="CN43" s="58" t="str">
        <f>IF(Sheet!CN43=Sheet!CN$2,4,IF(Sheet!CO43=Sheet!CO$2,3,IF(Sheet!CP43=Sheet!CP$2,2,IF(Sheet!CQ43=Sheet!CQ$2,1,""))))</f>
        <v/>
      </c>
      <c r="CR43" s="58" t="str">
        <f>IF(Sheet!CR43=Sheet!CR$2,4,IF(Sheet!CS43=Sheet!CS$2,3,IF(Sheet!CT43=Sheet!CT$2,2,IF(Sheet!CU43=Sheet!CU$2,1,""))))</f>
        <v/>
      </c>
      <c r="CV43" s="58" t="str">
        <f>IF(Sheet!CV43=Sheet!CV$2,4,IF(Sheet!CW43=Sheet!CW$2,3,IF(Sheet!CX43=Sheet!CX$2,2,IF(Sheet!CY43=Sheet!CY$2,1,""))))</f>
        <v/>
      </c>
      <c r="CZ43" s="58" t="str">
        <f>IF(Sheet!CZ43=Sheet!CZ$2,4,IF(Sheet!DA43=Sheet!DA$2,3,IF(Sheet!DB43=Sheet!DB$2,2,IF(Sheet!DC43=Sheet!DC$2,1,""))))</f>
        <v/>
      </c>
      <c r="DD43" s="58" t="str">
        <f>IF(Sheet!DD43=Sheet!DD$2,4,IF(Sheet!DE43=Sheet!DE$2,3,IF(Sheet!DF43=Sheet!DF$2,2,IF(Sheet!DG43=Sheet!DG$2,1,""))))</f>
        <v/>
      </c>
      <c r="DH43" s="58" t="str">
        <f>IF(Sheet!DH43=Sheet!DH$2,4,IF(Sheet!DI43=Sheet!DI$2,3,IF(Sheet!DJ43=Sheet!DJ$2,2,IF(Sheet!DK43=Sheet!DK$2,1,""))))</f>
        <v/>
      </c>
      <c r="DL43" s="58" t="str">
        <f>IF(Sheet!DL43=Sheet!DL$2,4,IF(Sheet!DM43=Sheet!DM$2,3,IF(Sheet!DN43=Sheet!DN$2,2,IF(Sheet!DO43=Sheet!DO$2,1,""))))</f>
        <v/>
      </c>
      <c r="DP43" s="58" t="str">
        <f>IF(Sheet!DP43=Sheet!DP$2,4,IF(Sheet!DQ43=Sheet!DQ$2,3,IF(Sheet!DR43=Sheet!DR$2,2,IF(Sheet!DS43=Sheet!DS$2,1,""))))</f>
        <v/>
      </c>
      <c r="DT43" s="58" t="str">
        <f>IF(Sheet!DT43=Sheet!DT$2,4,IF(Sheet!DU43=Sheet!DU$2,3,IF(Sheet!DV43=Sheet!DV$2,2,IF(Sheet!DW43=Sheet!DW$2,1,""))))</f>
        <v/>
      </c>
      <c r="DX43" s="58" t="str">
        <f>IF(Sheet!DX43=Sheet!DX$2,4,IF(Sheet!DY43=Sheet!DY$2,3,IF(Sheet!DZ43=Sheet!DZ$2,2,IF(Sheet!EA43=Sheet!EA$2,1,""))))</f>
        <v/>
      </c>
      <c r="EB43" s="58" t="str">
        <f>IF(Sheet!EB43=Sheet!EB$2,4,IF(Sheet!EC43=Sheet!EC$2,3,IF(Sheet!ED43=Sheet!ED$2,2,IF(Sheet!EE43=Sheet!EE$2,1,""))))</f>
        <v/>
      </c>
      <c r="EF43" s="58" t="str">
        <f>IF(Sheet!EF43=Sheet!EF$2,4,IF(Sheet!EG43=Sheet!EG$2,3,IF(Sheet!EH43=Sheet!EH$2,2,IF(Sheet!EI43=Sheet!EI$2,1,""))))</f>
        <v/>
      </c>
      <c r="EJ43" s="58" t="str">
        <f>IF(Sheet!EJ43=Sheet!EJ$2,4,IF(Sheet!EK43=Sheet!EK$2,3,IF(Sheet!EL43=Sheet!EL$2,2,IF(Sheet!EM43=Sheet!EM$2,1,""))))</f>
        <v/>
      </c>
      <c r="EN43" s="58" t="str">
        <f>IF(Sheet!EN43=Sheet!EN$2,4,IF(Sheet!EO43=Sheet!EO$2,3,IF(Sheet!EP43=Sheet!EP$2,2,IF(Sheet!EQ43=Sheet!EQ$2,1,""))))</f>
        <v/>
      </c>
      <c r="ER43" s="58" t="str">
        <f>IF(Sheet!ER43=Sheet!ER$2,4,IF(Sheet!ES43=Sheet!ES$2,3,IF(Sheet!ET43=Sheet!ET$2,2,IF(Sheet!EU43=Sheet!EU$2,1,""))))</f>
        <v/>
      </c>
      <c r="EV43" s="58" t="str">
        <f>IF(Sheet!EV43=Sheet!EV$2,4,IF(Sheet!EW43=Sheet!EW$2,3,IF(Sheet!EX43=Sheet!EX$2,2,IF(Sheet!EY43=Sheet!EY$2,1,""))))</f>
        <v/>
      </c>
      <c r="EZ43" s="58" t="str">
        <f>IF(Sheet!EZ43=Sheet!EZ$2,4,IF(Sheet!FA43=Sheet!FA$2,3,IF(Sheet!FB43=Sheet!FB$2,2,IF(Sheet!FC43=Sheet!FC$2,1,""))))</f>
        <v/>
      </c>
      <c r="FD43" s="58" t="str">
        <f>IF(Sheet!FD43=Sheet!FD$2,4,IF(Sheet!FE43=Sheet!FE$2,3,IF(Sheet!FF43=Sheet!FF$2,2,IF(Sheet!FG43=Sheet!FG$2,1,""))))</f>
        <v/>
      </c>
      <c r="FH43" s="58" t="str">
        <f>IF(Sheet!FH43=Sheet!FH$2,4,IF(Sheet!FI43=Sheet!FI$2,3,IF(Sheet!FJ43=Sheet!FJ$2,2,IF(Sheet!FK43=Sheet!FK$2,1,""))))</f>
        <v/>
      </c>
      <c r="FL43" s="58" t="str">
        <f>IF(Sheet!FL43=Sheet!FL$2,4,IF(Sheet!FM43=Sheet!FM$2,3,IF(Sheet!FN43=Sheet!FN$2,2,IF(Sheet!FO43=Sheet!FO$2,1,""))))</f>
        <v/>
      </c>
    </row>
    <row r="44" spans="1:168">
      <c r="A44" s="6" t="s">
        <v>561</v>
      </c>
      <c r="AT44" s="56">
        <f t="shared" si="0"/>
        <v>2.2580645161290325</v>
      </c>
      <c r="AV44" s="58">
        <f>IF(Sheet!AV44=Sheet!AV$2,4,IF(Sheet!AW44=Sheet!AW$2,3,IF(Sheet!AX44=Sheet!AX$2,2,IF(Sheet!AY44=Sheet!AY$2,1,""))))</f>
        <v>2</v>
      </c>
      <c r="AZ44" s="58">
        <f>IF(Sheet!AZ44=Sheet!AZ$2,4,IF(Sheet!BA44=Sheet!BA$2,3,IF(Sheet!BB44=Sheet!BB$2,2,IF(Sheet!BC44=Sheet!BC$2,1,""))))</f>
        <v>2</v>
      </c>
      <c r="BD44" s="58">
        <f>IF(Sheet!BD44=Sheet!BD$2,4,IF(Sheet!BE44=Sheet!BE$2,3,IF(Sheet!BF44=Sheet!BF$2,2,IF(Sheet!BG44=Sheet!BG$2,1,""))))</f>
        <v>2</v>
      </c>
      <c r="BH44" s="58">
        <f>IF(Sheet!BH44=Sheet!BH$2,4,IF(Sheet!BI44=Sheet!BI$2,3,IF(Sheet!BJ44=Sheet!BJ$2,2,IF(Sheet!BK44=Sheet!BK$2,1,""))))</f>
        <v>2</v>
      </c>
      <c r="BL44" s="58">
        <f>IF(Sheet!BL44=Sheet!BL$2,4,IF(Sheet!BM44=Sheet!BM$2,3,IF(Sheet!BN44=Sheet!BN$2,2,IF(Sheet!BO44=Sheet!BO$2,1,""))))</f>
        <v>3</v>
      </c>
      <c r="BP44" s="58">
        <f>IF(Sheet!BP44=Sheet!BP$2,4,IF(Sheet!BQ44=Sheet!BQ$2,3,IF(Sheet!BR44=Sheet!BR$2,2,IF(Sheet!BS44=Sheet!BS$2,1,""))))</f>
        <v>2</v>
      </c>
      <c r="BT44" s="58">
        <f>IF(Sheet!BT44=Sheet!BT$2,4,IF(Sheet!BU44=Sheet!BU$2,3,IF(Sheet!BV44=Sheet!BV$2,2,IF(Sheet!BW44=Sheet!BW$2,1,""))))</f>
        <v>2</v>
      </c>
      <c r="BX44" s="58">
        <f>IF(Sheet!BX44=Sheet!BX$2,4,IF(Sheet!BY44=Sheet!BY$2,3,IF(Sheet!BZ44=Sheet!BZ$2,2,IF(Sheet!CA44=Sheet!CA$2,1,""))))</f>
        <v>3</v>
      </c>
      <c r="CB44" s="58">
        <f>IF(Sheet!CB44=Sheet!CB$2,4,IF(Sheet!CC44=Sheet!CC$2,3,IF(Sheet!CD44=Sheet!CD$2,2,IF(Sheet!CE44=Sheet!CE$2,1,""))))</f>
        <v>2</v>
      </c>
      <c r="CF44" s="58">
        <f>IF(Sheet!CF44=Sheet!CF$2,4,IF(Sheet!CG44=Sheet!CG$2,3,IF(Sheet!CH44=Sheet!CH$2,2,IF(Sheet!CI44=Sheet!CI$2,1,""))))</f>
        <v>2</v>
      </c>
      <c r="CJ44" s="58">
        <f>IF(Sheet!CJ44=Sheet!CJ$2,4,IF(Sheet!CK44=Sheet!CK$2,3,IF(Sheet!CL44=Sheet!CL$2,2,IF(Sheet!CM44=Sheet!CM$2,1,""))))</f>
        <v>3</v>
      </c>
      <c r="CN44" s="58">
        <f>IF(Sheet!CN44=Sheet!CN$2,4,IF(Sheet!CO44=Sheet!CO$2,3,IF(Sheet!CP44=Sheet!CP$2,2,IF(Sheet!CQ44=Sheet!CQ$2,1,""))))</f>
        <v>2</v>
      </c>
      <c r="CR44" s="58">
        <f>IF(Sheet!CR44=Sheet!CR$2,4,IF(Sheet!CS44=Sheet!CS$2,3,IF(Sheet!CT44=Sheet!CT$2,2,IF(Sheet!CU44=Sheet!CU$2,1,""))))</f>
        <v>2</v>
      </c>
      <c r="CV44" s="58">
        <f>IF(Sheet!CV44=Sheet!CV$2,4,IF(Sheet!CW44=Sheet!CW$2,3,IF(Sheet!CX44=Sheet!CX$2,2,IF(Sheet!CY44=Sheet!CY$2,1,""))))</f>
        <v>3</v>
      </c>
      <c r="CZ44" s="58">
        <f>IF(Sheet!CZ44=Sheet!CZ$2,4,IF(Sheet!DA44=Sheet!DA$2,3,IF(Sheet!DB44=Sheet!DB$2,2,IF(Sheet!DC44=Sheet!DC$2,1,""))))</f>
        <v>2</v>
      </c>
      <c r="DD44" s="58">
        <f>IF(Sheet!DD44=Sheet!DD$2,4,IF(Sheet!DE44=Sheet!DE$2,3,IF(Sheet!DF44=Sheet!DF$2,2,IF(Sheet!DG44=Sheet!DG$2,1,""))))</f>
        <v>2</v>
      </c>
      <c r="DH44" s="58">
        <f>IF(Sheet!DH44=Sheet!DH$2,4,IF(Sheet!DI44=Sheet!DI$2,3,IF(Sheet!DJ44=Sheet!DJ$2,2,IF(Sheet!DK44=Sheet!DK$2,1,""))))</f>
        <v>3</v>
      </c>
      <c r="DL44" s="58">
        <f>IF(Sheet!DL44=Sheet!DL$2,4,IF(Sheet!DM44=Sheet!DM$2,3,IF(Sheet!DN44=Sheet!DN$2,2,IF(Sheet!DO44=Sheet!DO$2,1,""))))</f>
        <v>3</v>
      </c>
      <c r="DP44" s="58">
        <f>IF(Sheet!DP44=Sheet!DP$2,4,IF(Sheet!DQ44=Sheet!DQ$2,3,IF(Sheet!DR44=Sheet!DR$2,2,IF(Sheet!DS44=Sheet!DS$2,1,""))))</f>
        <v>2</v>
      </c>
      <c r="DT44" s="58">
        <f>IF(Sheet!DT44=Sheet!DT$2,4,IF(Sheet!DU44=Sheet!DU$2,3,IF(Sheet!DV44=Sheet!DV$2,2,IF(Sheet!DW44=Sheet!DW$2,1,""))))</f>
        <v>2</v>
      </c>
      <c r="DX44" s="58">
        <f>IF(Sheet!DX44=Sheet!DX$2,4,IF(Sheet!DY44=Sheet!DY$2,3,IF(Sheet!DZ44=Sheet!DZ$2,2,IF(Sheet!EA44=Sheet!EA$2,1,""))))</f>
        <v>1</v>
      </c>
      <c r="EB44" s="58">
        <f>IF(Sheet!EB44=Sheet!EB$2,4,IF(Sheet!EC44=Sheet!EC$2,3,IF(Sheet!ED44=Sheet!ED$2,2,IF(Sheet!EE44=Sheet!EE$2,1,""))))</f>
        <v>2</v>
      </c>
      <c r="EF44" s="58">
        <f>IF(Sheet!EF44=Sheet!EF$2,4,IF(Sheet!EG44=Sheet!EG$2,3,IF(Sheet!EH44=Sheet!EH$2,2,IF(Sheet!EI44=Sheet!EI$2,1,""))))</f>
        <v>2</v>
      </c>
      <c r="EJ44" s="58">
        <f>IF(Sheet!EJ44=Sheet!EJ$2,4,IF(Sheet!EK44=Sheet!EK$2,3,IF(Sheet!EL44=Sheet!EL$2,2,IF(Sheet!EM44=Sheet!EM$2,1,""))))</f>
        <v>2</v>
      </c>
      <c r="EN44" s="58">
        <f>IF(Sheet!EN44=Sheet!EN$2,4,IF(Sheet!EO44=Sheet!EO$2,3,IF(Sheet!EP44=Sheet!EP$2,2,IF(Sheet!EQ44=Sheet!EQ$2,1,""))))</f>
        <v>2</v>
      </c>
      <c r="ER44" s="58">
        <f>IF(Sheet!ER44=Sheet!ER$2,4,IF(Sheet!ES44=Sheet!ES$2,3,IF(Sheet!ET44=Sheet!ET$2,2,IF(Sheet!EU44=Sheet!EU$2,1,""))))</f>
        <v>2</v>
      </c>
      <c r="EV44" s="58">
        <f>IF(Sheet!EV44=Sheet!EV$2,4,IF(Sheet!EW44=Sheet!EW$2,3,IF(Sheet!EX44=Sheet!EX$2,2,IF(Sheet!EY44=Sheet!EY$2,1,""))))</f>
        <v>3</v>
      </c>
      <c r="EZ44" s="58">
        <f>IF(Sheet!EZ44=Sheet!EZ$2,4,IF(Sheet!FA44=Sheet!FA$2,3,IF(Sheet!FB44=Sheet!FB$2,2,IF(Sheet!FC44=Sheet!FC$2,1,""))))</f>
        <v>2</v>
      </c>
      <c r="FD44" s="58">
        <f>IF(Sheet!FD44=Sheet!FD$2,4,IF(Sheet!FE44=Sheet!FE$2,3,IF(Sheet!FF44=Sheet!FF$2,2,IF(Sheet!FG44=Sheet!FG$2,1,""))))</f>
        <v>2</v>
      </c>
      <c r="FH44" s="58">
        <f>IF(Sheet!FH44=Sheet!FH$2,4,IF(Sheet!FI44=Sheet!FI$2,3,IF(Sheet!FJ44=Sheet!FJ$2,2,IF(Sheet!FK44=Sheet!FK$2,1,""))))</f>
        <v>3</v>
      </c>
      <c r="FL44" s="58">
        <f>IF(Sheet!FL44=Sheet!FL$2,4,IF(Sheet!FM44=Sheet!FM$2,3,IF(Sheet!FN44=Sheet!FN$2,2,IF(Sheet!FO44=Sheet!FO$2,1,""))))</f>
        <v>3</v>
      </c>
    </row>
    <row r="45" spans="1:168">
      <c r="A45" t="str">
        <f>Sheet!A45</f>
        <v>PF001</v>
      </c>
      <c r="AT45" s="56">
        <f t="shared" si="0"/>
        <v>2.4193548387096775</v>
      </c>
      <c r="AV45" s="58">
        <f>IF(Sheet!AV45=Sheet!AV$2,4,IF(Sheet!AW45=Sheet!AW$2,3,IF(Sheet!AX45=Sheet!AX$2,2,IF(Sheet!AY45=Sheet!AY$2,1,""))))</f>
        <v>3</v>
      </c>
      <c r="AZ45" s="58">
        <f>IF(Sheet!AZ45=Sheet!AZ$2,4,IF(Sheet!BA45=Sheet!BA$2,3,IF(Sheet!BB45=Sheet!BB$2,2,IF(Sheet!BC45=Sheet!BC$2,1,""))))</f>
        <v>3</v>
      </c>
      <c r="BD45" s="58">
        <f>IF(Sheet!BD45=Sheet!BD$2,4,IF(Sheet!BE45=Sheet!BE$2,3,IF(Sheet!BF45=Sheet!BF$2,2,IF(Sheet!BG45=Sheet!BG$2,1,""))))</f>
        <v>4</v>
      </c>
      <c r="BH45" s="58">
        <f>IF(Sheet!BH45=Sheet!BH$2,4,IF(Sheet!BI45=Sheet!BI$2,3,IF(Sheet!BJ45=Sheet!BJ$2,2,IF(Sheet!BK45=Sheet!BK$2,1,""))))</f>
        <v>3</v>
      </c>
      <c r="BL45" s="58">
        <f>IF(Sheet!BL45=Sheet!BL$2,4,IF(Sheet!BM45=Sheet!BM$2,3,IF(Sheet!BN45=Sheet!BN$2,2,IF(Sheet!BO45=Sheet!BO$2,1,""))))</f>
        <v>2</v>
      </c>
      <c r="BP45" s="58">
        <f>IF(Sheet!BP45=Sheet!BP$2,4,IF(Sheet!BQ45=Sheet!BQ$2,3,IF(Sheet!BR45=Sheet!BR$2,2,IF(Sheet!BS45=Sheet!BS$2,1,""))))</f>
        <v>1</v>
      </c>
      <c r="BT45" s="58">
        <f>IF(Sheet!BT45=Sheet!BT$2,4,IF(Sheet!BU45=Sheet!BU$2,3,IF(Sheet!BV45=Sheet!BV$2,2,IF(Sheet!BW45=Sheet!BW$2,1,""))))</f>
        <v>2</v>
      </c>
      <c r="BX45" s="58">
        <f>IF(Sheet!BX45=Sheet!BX$2,4,IF(Sheet!BY45=Sheet!BY$2,3,IF(Sheet!BZ45=Sheet!BZ$2,2,IF(Sheet!CA45=Sheet!CA$2,1,""))))</f>
        <v>4</v>
      </c>
      <c r="CB45" s="58">
        <f>IF(Sheet!CB45=Sheet!CB$2,4,IF(Sheet!CC45=Sheet!CC$2,3,IF(Sheet!CD45=Sheet!CD$2,2,IF(Sheet!CE45=Sheet!CE$2,1,""))))</f>
        <v>1</v>
      </c>
      <c r="CF45" s="58">
        <f>IF(Sheet!CF45=Sheet!CF$2,4,IF(Sheet!CG45=Sheet!CG$2,3,IF(Sheet!CH45=Sheet!CH$2,2,IF(Sheet!CI45=Sheet!CI$2,1,""))))</f>
        <v>3</v>
      </c>
      <c r="CJ45" s="58">
        <f>IF(Sheet!CJ45=Sheet!CJ$2,4,IF(Sheet!CK45=Sheet!CK$2,3,IF(Sheet!CL45=Sheet!CL$2,2,IF(Sheet!CM45=Sheet!CM$2,1,""))))</f>
        <v>3</v>
      </c>
      <c r="CN45" s="58">
        <f>IF(Sheet!CN45=Sheet!CN$2,4,IF(Sheet!CO45=Sheet!CO$2,3,IF(Sheet!CP45=Sheet!CP$2,2,IF(Sheet!CQ45=Sheet!CQ$2,1,""))))</f>
        <v>4</v>
      </c>
      <c r="CR45" s="58">
        <f>IF(Sheet!CR45=Sheet!CR$2,4,IF(Sheet!CS45=Sheet!CS$2,3,IF(Sheet!CT45=Sheet!CT$2,2,IF(Sheet!CU45=Sheet!CU$2,1,""))))</f>
        <v>3</v>
      </c>
      <c r="CV45" s="58">
        <f>IF(Sheet!CV45=Sheet!CV$2,4,IF(Sheet!CW45=Sheet!CW$2,3,IF(Sheet!CX45=Sheet!CX$2,2,IF(Sheet!CY45=Sheet!CY$2,1,""))))</f>
        <v>2</v>
      </c>
      <c r="CZ45" s="58">
        <f>IF(Sheet!CZ45=Sheet!CZ$2,4,IF(Sheet!DA45=Sheet!DA$2,3,IF(Sheet!DB45=Sheet!DB$2,2,IF(Sheet!DC45=Sheet!DC$2,1,""))))</f>
        <v>3</v>
      </c>
      <c r="DD45" s="58">
        <f>IF(Sheet!DD45=Sheet!DD$2,4,IF(Sheet!DE45=Sheet!DE$2,3,IF(Sheet!DF45=Sheet!DF$2,2,IF(Sheet!DG45=Sheet!DG$2,1,""))))</f>
        <v>2</v>
      </c>
      <c r="DH45" s="58">
        <f>IF(Sheet!DH45=Sheet!DH$2,4,IF(Sheet!DI45=Sheet!DI$2,3,IF(Sheet!DJ45=Sheet!DJ$2,2,IF(Sheet!DK45=Sheet!DK$2,1,""))))</f>
        <v>3</v>
      </c>
      <c r="DL45" s="58">
        <f>IF(Sheet!DL45=Sheet!DL$2,4,IF(Sheet!DM45=Sheet!DM$2,3,IF(Sheet!DN45=Sheet!DN$2,2,IF(Sheet!DO45=Sheet!DO$2,1,""))))</f>
        <v>4</v>
      </c>
      <c r="DP45" s="58">
        <f>IF(Sheet!DP45=Sheet!DP$2,4,IF(Sheet!DQ45=Sheet!DQ$2,3,IF(Sheet!DR45=Sheet!DR$2,2,IF(Sheet!DS45=Sheet!DS$2,1,""))))</f>
        <v>3</v>
      </c>
      <c r="DT45" s="58">
        <f>IF(Sheet!DT45=Sheet!DT$2,4,IF(Sheet!DU45=Sheet!DU$2,3,IF(Sheet!DV45=Sheet!DV$2,2,IF(Sheet!DW45=Sheet!DW$2,1,""))))</f>
        <v>2</v>
      </c>
      <c r="DX45" s="58">
        <f>IF(Sheet!DX45=Sheet!DX$2,4,IF(Sheet!DY45=Sheet!DY$2,3,IF(Sheet!DZ45=Sheet!DZ$2,2,IF(Sheet!EA45=Sheet!EA$2,1,""))))</f>
        <v>1</v>
      </c>
      <c r="EB45" s="58">
        <f>IF(Sheet!EB45=Sheet!EB$2,4,IF(Sheet!EC45=Sheet!EC$2,3,IF(Sheet!ED45=Sheet!ED$2,2,IF(Sheet!EE45=Sheet!EE$2,1,""))))</f>
        <v>1</v>
      </c>
      <c r="EF45" s="58">
        <f>IF(Sheet!EF45=Sheet!EF$2,4,IF(Sheet!EG45=Sheet!EG$2,3,IF(Sheet!EH45=Sheet!EH$2,2,IF(Sheet!EI45=Sheet!EI$2,1,""))))</f>
        <v>1</v>
      </c>
      <c r="EJ45" s="58">
        <f>IF(Sheet!EJ45=Sheet!EJ$2,4,IF(Sheet!EK45=Sheet!EK$2,3,IF(Sheet!EL45=Sheet!EL$2,2,IF(Sheet!EM45=Sheet!EM$2,1,""))))</f>
        <v>1</v>
      </c>
      <c r="EN45" s="58">
        <f>IF(Sheet!EN45=Sheet!EN$2,4,IF(Sheet!EO45=Sheet!EO$2,3,IF(Sheet!EP45=Sheet!EP$2,2,IF(Sheet!EQ45=Sheet!EQ$2,1,""))))</f>
        <v>3</v>
      </c>
      <c r="ER45" s="58">
        <f>IF(Sheet!ER45=Sheet!ER$2,4,IF(Sheet!ES45=Sheet!ES$2,3,IF(Sheet!ET45=Sheet!ET$2,2,IF(Sheet!EU45=Sheet!EU$2,1,""))))</f>
        <v>1</v>
      </c>
      <c r="EV45" s="58">
        <f>IF(Sheet!EV45=Sheet!EV$2,4,IF(Sheet!EW45=Sheet!EW$2,3,IF(Sheet!EX45=Sheet!EX$2,2,IF(Sheet!EY45=Sheet!EY$2,1,""))))</f>
        <v>3</v>
      </c>
      <c r="EZ45" s="58">
        <f>IF(Sheet!EZ45=Sheet!EZ$2,4,IF(Sheet!FA45=Sheet!FA$2,3,IF(Sheet!FB45=Sheet!FB$2,2,IF(Sheet!FC45=Sheet!FC$2,1,""))))</f>
        <v>1</v>
      </c>
      <c r="FD45" s="58">
        <f>IF(Sheet!FD45=Sheet!FD$2,4,IF(Sheet!FE45=Sheet!FE$2,3,IF(Sheet!FF45=Sheet!FF$2,2,IF(Sheet!FG45=Sheet!FG$2,1,""))))</f>
        <v>3</v>
      </c>
      <c r="FH45" s="58">
        <f>IF(Sheet!FH45=Sheet!FH$2,4,IF(Sheet!FI45=Sheet!FI$2,3,IF(Sheet!FJ45=Sheet!FJ$2,2,IF(Sheet!FK45=Sheet!FK$2,1,""))))</f>
        <v>2</v>
      </c>
      <c r="FL45" s="58">
        <f>IF(Sheet!FL45=Sheet!FL$2,4,IF(Sheet!FM45=Sheet!FM$2,3,IF(Sheet!FN45=Sheet!FN$2,2,IF(Sheet!FO45=Sheet!FO$2,1,""))))</f>
        <v>3</v>
      </c>
    </row>
    <row r="46" spans="1:168">
      <c r="A46" t="str">
        <f>Sheet!A46</f>
        <v>MC001</v>
      </c>
      <c r="AT46" s="56">
        <f t="shared" si="0"/>
        <v>2.5483870967741935</v>
      </c>
      <c r="AV46" s="58">
        <f>IF(Sheet!AV46=Sheet!AV$2,4,IF(Sheet!AW46=Sheet!AW$2,3,IF(Sheet!AX46=Sheet!AX$2,2,IF(Sheet!AY46=Sheet!AY$2,1,""))))</f>
        <v>2</v>
      </c>
      <c r="AZ46" s="58">
        <f>IF(Sheet!AZ46=Sheet!AZ$2,4,IF(Sheet!BA46=Sheet!BA$2,3,IF(Sheet!BB46=Sheet!BB$2,2,IF(Sheet!BC46=Sheet!BC$2,1,""))))</f>
        <v>3</v>
      </c>
      <c r="BD46" s="58">
        <f>IF(Sheet!BD46=Sheet!BD$2,4,IF(Sheet!BE46=Sheet!BE$2,3,IF(Sheet!BF46=Sheet!BF$2,2,IF(Sheet!BG46=Sheet!BG$2,1,""))))</f>
        <v>2</v>
      </c>
      <c r="BH46" s="58">
        <f>IF(Sheet!BH46=Sheet!BH$2,4,IF(Sheet!BI46=Sheet!BI$2,3,IF(Sheet!BJ46=Sheet!BJ$2,2,IF(Sheet!BK46=Sheet!BK$2,1,""))))</f>
        <v>1</v>
      </c>
      <c r="BL46" s="58">
        <f>IF(Sheet!BL46=Sheet!BL$2,4,IF(Sheet!BM46=Sheet!BM$2,3,IF(Sheet!BN46=Sheet!BN$2,2,IF(Sheet!BO46=Sheet!BO$2,1,""))))</f>
        <v>3</v>
      </c>
      <c r="BP46" s="58">
        <f>IF(Sheet!BP46=Sheet!BP$2,4,IF(Sheet!BQ46=Sheet!BQ$2,3,IF(Sheet!BR46=Sheet!BR$2,2,IF(Sheet!BS46=Sheet!BS$2,1,""))))</f>
        <v>2</v>
      </c>
      <c r="BT46" s="58">
        <f>IF(Sheet!BT46=Sheet!BT$2,4,IF(Sheet!BU46=Sheet!BU$2,3,IF(Sheet!BV46=Sheet!BV$2,2,IF(Sheet!BW46=Sheet!BW$2,1,""))))</f>
        <v>3</v>
      </c>
      <c r="BX46" s="58">
        <f>IF(Sheet!BX46=Sheet!BX$2,4,IF(Sheet!BY46=Sheet!BY$2,3,IF(Sheet!BZ46=Sheet!BZ$2,2,IF(Sheet!CA46=Sheet!CA$2,1,""))))</f>
        <v>3</v>
      </c>
      <c r="CB46" s="58">
        <f>IF(Sheet!CB46=Sheet!CB$2,4,IF(Sheet!CC46=Sheet!CC$2,3,IF(Sheet!CD46=Sheet!CD$2,2,IF(Sheet!CE46=Sheet!CE$2,1,""))))</f>
        <v>2</v>
      </c>
      <c r="CF46" s="58">
        <f>IF(Sheet!CF46=Sheet!CF$2,4,IF(Sheet!CG46=Sheet!CG$2,3,IF(Sheet!CH46=Sheet!CH$2,2,IF(Sheet!CI46=Sheet!CI$2,1,""))))</f>
        <v>3</v>
      </c>
      <c r="CJ46" s="58">
        <f>IF(Sheet!CJ46=Sheet!CJ$2,4,IF(Sheet!CK46=Sheet!CK$2,3,IF(Sheet!CL46=Sheet!CL$2,2,IF(Sheet!CM46=Sheet!CM$2,1,""))))</f>
        <v>2</v>
      </c>
      <c r="CN46" s="58">
        <f>IF(Sheet!CN46=Sheet!CN$2,4,IF(Sheet!CO46=Sheet!CO$2,3,IF(Sheet!CP46=Sheet!CP$2,2,IF(Sheet!CQ46=Sheet!CQ$2,1,""))))</f>
        <v>1</v>
      </c>
      <c r="CR46" s="58">
        <f>IF(Sheet!CR46=Sheet!CR$2,4,IF(Sheet!CS46=Sheet!CS$2,3,IF(Sheet!CT46=Sheet!CT$2,2,IF(Sheet!CU46=Sheet!CU$2,1,""))))</f>
        <v>4</v>
      </c>
      <c r="CV46" s="58">
        <f>IF(Sheet!CV46=Sheet!CV$2,4,IF(Sheet!CW46=Sheet!CW$2,3,IF(Sheet!CX46=Sheet!CX$2,2,IF(Sheet!CY46=Sheet!CY$2,1,""))))</f>
        <v>2</v>
      </c>
      <c r="CZ46" s="58">
        <f>IF(Sheet!CZ46=Sheet!CZ$2,4,IF(Sheet!DA46=Sheet!DA$2,3,IF(Sheet!DB46=Sheet!DB$2,2,IF(Sheet!DC46=Sheet!DC$2,1,""))))</f>
        <v>2</v>
      </c>
      <c r="DD46" s="58">
        <f>IF(Sheet!DD46=Sheet!DD$2,4,IF(Sheet!DE46=Sheet!DE$2,3,IF(Sheet!DF46=Sheet!DF$2,2,IF(Sheet!DG46=Sheet!DG$2,1,""))))</f>
        <v>4</v>
      </c>
      <c r="DH46" s="58">
        <f>IF(Sheet!DH46=Sheet!DH$2,4,IF(Sheet!DI46=Sheet!DI$2,3,IF(Sheet!DJ46=Sheet!DJ$2,2,IF(Sheet!DK46=Sheet!DK$2,1,""))))</f>
        <v>3</v>
      </c>
      <c r="DL46" s="58">
        <f>IF(Sheet!DL46=Sheet!DL$2,4,IF(Sheet!DM46=Sheet!DM$2,3,IF(Sheet!DN46=Sheet!DN$2,2,IF(Sheet!DO46=Sheet!DO$2,1,""))))</f>
        <v>4</v>
      </c>
      <c r="DP46" s="58">
        <f>IF(Sheet!DP46=Sheet!DP$2,4,IF(Sheet!DQ46=Sheet!DQ$2,3,IF(Sheet!DR46=Sheet!DR$2,2,IF(Sheet!DS46=Sheet!DS$2,1,""))))</f>
        <v>4</v>
      </c>
      <c r="DT46" s="58">
        <f>IF(Sheet!DT46=Sheet!DT$2,4,IF(Sheet!DU46=Sheet!DU$2,3,IF(Sheet!DV46=Sheet!DV$2,2,IF(Sheet!DW46=Sheet!DW$2,1,""))))</f>
        <v>3</v>
      </c>
      <c r="DX46" s="58">
        <f>IF(Sheet!DX46=Sheet!DX$2,4,IF(Sheet!DY46=Sheet!DY$2,3,IF(Sheet!DZ46=Sheet!DZ$2,2,IF(Sheet!EA46=Sheet!EA$2,1,""))))</f>
        <v>1</v>
      </c>
      <c r="EB46" s="58">
        <f>IF(Sheet!EB46=Sheet!EB$2,4,IF(Sheet!EC46=Sheet!EC$2,3,IF(Sheet!ED46=Sheet!ED$2,2,IF(Sheet!EE46=Sheet!EE$2,1,""))))</f>
        <v>1</v>
      </c>
      <c r="EF46" s="58">
        <f>IF(Sheet!EF46=Sheet!EF$2,4,IF(Sheet!EG46=Sheet!EG$2,3,IF(Sheet!EH46=Sheet!EH$2,2,IF(Sheet!EI46=Sheet!EI$2,1,""))))</f>
        <v>1</v>
      </c>
      <c r="EJ46" s="58">
        <f>IF(Sheet!EJ46=Sheet!EJ$2,4,IF(Sheet!EK46=Sheet!EK$2,3,IF(Sheet!EL46=Sheet!EL$2,2,IF(Sheet!EM46=Sheet!EM$2,1,""))))</f>
        <v>4</v>
      </c>
      <c r="EN46" s="58">
        <f>IF(Sheet!EN46=Sheet!EN$2,4,IF(Sheet!EO46=Sheet!EO$2,3,IF(Sheet!EP46=Sheet!EP$2,2,IF(Sheet!EQ46=Sheet!EQ$2,1,""))))</f>
        <v>1</v>
      </c>
      <c r="ER46" s="58">
        <f>IF(Sheet!ER46=Sheet!ER$2,4,IF(Sheet!ES46=Sheet!ES$2,3,IF(Sheet!ET46=Sheet!ET$2,2,IF(Sheet!EU46=Sheet!EU$2,1,""))))</f>
        <v>2</v>
      </c>
      <c r="EV46" s="58">
        <f>IF(Sheet!EV46=Sheet!EV$2,4,IF(Sheet!EW46=Sheet!EW$2,3,IF(Sheet!EX46=Sheet!EX$2,2,IF(Sheet!EY46=Sheet!EY$2,1,""))))</f>
        <v>4</v>
      </c>
      <c r="EZ46" s="58">
        <f>IF(Sheet!EZ46=Sheet!EZ$2,4,IF(Sheet!FA46=Sheet!FA$2,3,IF(Sheet!FB46=Sheet!FB$2,2,IF(Sheet!FC46=Sheet!FC$2,1,""))))</f>
        <v>3</v>
      </c>
      <c r="FD46" s="58">
        <f>IF(Sheet!FD46=Sheet!FD$2,4,IF(Sheet!FE46=Sheet!FE$2,3,IF(Sheet!FF46=Sheet!FF$2,2,IF(Sheet!FG46=Sheet!FG$2,1,""))))</f>
        <v>2</v>
      </c>
      <c r="FH46" s="58">
        <f>IF(Sheet!FH46=Sheet!FH$2,4,IF(Sheet!FI46=Sheet!FI$2,3,IF(Sheet!FJ46=Sheet!FJ$2,2,IF(Sheet!FK46=Sheet!FK$2,1,""))))</f>
        <v>4</v>
      </c>
      <c r="FL46" s="58">
        <f>IF(Sheet!FL46=Sheet!FL$2,4,IF(Sheet!FM46=Sheet!FM$2,3,IF(Sheet!FN46=Sheet!FN$2,2,IF(Sheet!FO46=Sheet!FO$2,1,""))))</f>
        <v>3</v>
      </c>
    </row>
    <row r="47" spans="1:168">
      <c r="A47" t="str">
        <f>Sheet!A47</f>
        <v>UD002</v>
      </c>
      <c r="AT47" s="56">
        <f t="shared" si="0"/>
        <v>2.774193548387097</v>
      </c>
      <c r="AV47" s="58">
        <f>IF(Sheet!AV47=Sheet!AV$2,4,IF(Sheet!AW47=Sheet!AW$2,3,IF(Sheet!AX47=Sheet!AX$2,2,IF(Sheet!AY47=Sheet!AY$2,1,""))))</f>
        <v>2</v>
      </c>
      <c r="AZ47" s="58">
        <f>IF(Sheet!AZ47=Sheet!AZ$2,4,IF(Sheet!BA47=Sheet!BA$2,3,IF(Sheet!BB47=Sheet!BB$2,2,IF(Sheet!BC47=Sheet!BC$2,1,""))))</f>
        <v>1</v>
      </c>
      <c r="BD47" s="58">
        <f>IF(Sheet!BD47=Sheet!BD$2,4,IF(Sheet!BE47=Sheet!BE$2,3,IF(Sheet!BF47=Sheet!BF$2,2,IF(Sheet!BG47=Sheet!BG$2,1,""))))</f>
        <v>3</v>
      </c>
      <c r="BH47" s="58">
        <f>IF(Sheet!BH47=Sheet!BH$2,4,IF(Sheet!BI47=Sheet!BI$2,3,IF(Sheet!BJ47=Sheet!BJ$2,2,IF(Sheet!BK47=Sheet!BK$2,1,""))))</f>
        <v>4</v>
      </c>
      <c r="BL47" s="58">
        <f>IF(Sheet!BL47=Sheet!BL$2,4,IF(Sheet!BM47=Sheet!BM$2,3,IF(Sheet!BN47=Sheet!BN$2,2,IF(Sheet!BO47=Sheet!BO$2,1,""))))</f>
        <v>3</v>
      </c>
      <c r="BP47" s="58">
        <f>IF(Sheet!BP47=Sheet!BP$2,4,IF(Sheet!BQ47=Sheet!BQ$2,3,IF(Sheet!BR47=Sheet!BR$2,2,IF(Sheet!BS47=Sheet!BS$2,1,""))))</f>
        <v>1</v>
      </c>
      <c r="BT47" s="58">
        <f>IF(Sheet!BT47=Sheet!BT$2,4,IF(Sheet!BU47=Sheet!BU$2,3,IF(Sheet!BV47=Sheet!BV$2,2,IF(Sheet!BW47=Sheet!BW$2,1,""))))</f>
        <v>2</v>
      </c>
      <c r="BX47" s="58">
        <f>IF(Sheet!BX47=Sheet!BX$2,4,IF(Sheet!BY47=Sheet!BY$2,3,IF(Sheet!BZ47=Sheet!BZ$2,2,IF(Sheet!CA47=Sheet!CA$2,1,""))))</f>
        <v>4</v>
      </c>
      <c r="CB47" s="58">
        <f>IF(Sheet!CB47=Sheet!CB$2,4,IF(Sheet!CC47=Sheet!CC$2,3,IF(Sheet!CD47=Sheet!CD$2,2,IF(Sheet!CE47=Sheet!CE$2,1,""))))</f>
        <v>3</v>
      </c>
      <c r="CF47" s="58">
        <f>IF(Sheet!CF47=Sheet!CF$2,4,IF(Sheet!CG47=Sheet!CG$2,3,IF(Sheet!CH47=Sheet!CH$2,2,IF(Sheet!CI47=Sheet!CI$2,1,""))))</f>
        <v>2</v>
      </c>
      <c r="CJ47" s="58">
        <f>IF(Sheet!CJ47=Sheet!CJ$2,4,IF(Sheet!CK47=Sheet!CK$2,3,IF(Sheet!CL47=Sheet!CL$2,2,IF(Sheet!CM47=Sheet!CM$2,1,""))))</f>
        <v>4</v>
      </c>
      <c r="CN47" s="58">
        <f>IF(Sheet!CN47=Sheet!CN$2,4,IF(Sheet!CO47=Sheet!CO$2,3,IF(Sheet!CP47=Sheet!CP$2,2,IF(Sheet!CQ47=Sheet!CQ$2,1,""))))</f>
        <v>4</v>
      </c>
      <c r="CR47" s="58">
        <f>IF(Sheet!CR47=Sheet!CR$2,4,IF(Sheet!CS47=Sheet!CS$2,3,IF(Sheet!CT47=Sheet!CT$2,2,IF(Sheet!CU47=Sheet!CU$2,1,""))))</f>
        <v>2</v>
      </c>
      <c r="CV47" s="58">
        <f>IF(Sheet!CV47=Sheet!CV$2,4,IF(Sheet!CW47=Sheet!CW$2,3,IF(Sheet!CX47=Sheet!CX$2,2,IF(Sheet!CY47=Sheet!CY$2,1,""))))</f>
        <v>2</v>
      </c>
      <c r="CZ47" s="58">
        <f>IF(Sheet!CZ47=Sheet!CZ$2,4,IF(Sheet!DA47=Sheet!DA$2,3,IF(Sheet!DB47=Sheet!DB$2,2,IF(Sheet!DC47=Sheet!DC$2,1,""))))</f>
        <v>3</v>
      </c>
      <c r="DD47" s="58">
        <f>IF(Sheet!DD47=Sheet!DD$2,4,IF(Sheet!DE47=Sheet!DE$2,3,IF(Sheet!DF47=Sheet!DF$2,2,IF(Sheet!DG47=Sheet!DG$2,1,""))))</f>
        <v>2</v>
      </c>
      <c r="DH47" s="58">
        <f>IF(Sheet!DH47=Sheet!DH$2,4,IF(Sheet!DI47=Sheet!DI$2,3,IF(Sheet!DJ47=Sheet!DJ$2,2,IF(Sheet!DK47=Sheet!DK$2,1,""))))</f>
        <v>4</v>
      </c>
      <c r="DL47" s="58">
        <f>IF(Sheet!DL47=Sheet!DL$2,4,IF(Sheet!DM47=Sheet!DM$2,3,IF(Sheet!DN47=Sheet!DN$2,2,IF(Sheet!DO47=Sheet!DO$2,1,""))))</f>
        <v>3</v>
      </c>
      <c r="DP47" s="58">
        <f>IF(Sheet!DP47=Sheet!DP$2,4,IF(Sheet!DQ47=Sheet!DQ$2,3,IF(Sheet!DR47=Sheet!DR$2,2,IF(Sheet!DS47=Sheet!DS$2,1,""))))</f>
        <v>3</v>
      </c>
      <c r="DT47" s="58">
        <f>IF(Sheet!DT47=Sheet!DT$2,4,IF(Sheet!DU47=Sheet!DU$2,3,IF(Sheet!DV47=Sheet!DV$2,2,IF(Sheet!DW47=Sheet!DW$2,1,""))))</f>
        <v>4</v>
      </c>
      <c r="DX47" s="58">
        <f>IF(Sheet!DX47=Sheet!DX$2,4,IF(Sheet!DY47=Sheet!DY$2,3,IF(Sheet!DZ47=Sheet!DZ$2,2,IF(Sheet!EA47=Sheet!EA$2,1,""))))</f>
        <v>2</v>
      </c>
      <c r="EB47" s="58">
        <f>IF(Sheet!EB47=Sheet!EB$2,4,IF(Sheet!EC47=Sheet!EC$2,3,IF(Sheet!ED47=Sheet!ED$2,2,IF(Sheet!EE47=Sheet!EE$2,1,""))))</f>
        <v>3</v>
      </c>
      <c r="EF47" s="58">
        <f>IF(Sheet!EF47=Sheet!EF$2,4,IF(Sheet!EG47=Sheet!EG$2,3,IF(Sheet!EH47=Sheet!EH$2,2,IF(Sheet!EI47=Sheet!EI$2,1,""))))</f>
        <v>4</v>
      </c>
      <c r="EJ47" s="58">
        <f>IF(Sheet!EJ47=Sheet!EJ$2,4,IF(Sheet!EK47=Sheet!EK$2,3,IF(Sheet!EL47=Sheet!EL$2,2,IF(Sheet!EM47=Sheet!EM$2,1,""))))</f>
        <v>2</v>
      </c>
      <c r="EN47" s="58">
        <f>IF(Sheet!EN47=Sheet!EN$2,4,IF(Sheet!EO47=Sheet!EO$2,3,IF(Sheet!EP47=Sheet!EP$2,2,IF(Sheet!EQ47=Sheet!EQ$2,1,""))))</f>
        <v>1</v>
      </c>
      <c r="ER47" s="58">
        <f>IF(Sheet!ER47=Sheet!ER$2,4,IF(Sheet!ES47=Sheet!ES$2,3,IF(Sheet!ET47=Sheet!ET$2,2,IF(Sheet!EU47=Sheet!EU$2,1,""))))</f>
        <v>2</v>
      </c>
      <c r="EV47" s="58">
        <f>IF(Sheet!EV47=Sheet!EV$2,4,IF(Sheet!EW47=Sheet!EW$2,3,IF(Sheet!EX47=Sheet!EX$2,2,IF(Sheet!EY47=Sheet!EY$2,1,""))))</f>
        <v>4</v>
      </c>
      <c r="EZ47" s="58">
        <f>IF(Sheet!EZ47=Sheet!EZ$2,4,IF(Sheet!FA47=Sheet!FA$2,3,IF(Sheet!FB47=Sheet!FB$2,2,IF(Sheet!FC47=Sheet!FC$2,1,""))))</f>
        <v>3</v>
      </c>
      <c r="FD47" s="58">
        <f>IF(Sheet!FD47=Sheet!FD$2,4,IF(Sheet!FE47=Sheet!FE$2,3,IF(Sheet!FF47=Sheet!FF$2,2,IF(Sheet!FG47=Sheet!FG$2,1,""))))</f>
        <v>2</v>
      </c>
      <c r="FH47" s="58">
        <f>IF(Sheet!FH47=Sheet!FH$2,4,IF(Sheet!FI47=Sheet!FI$2,3,IF(Sheet!FJ47=Sheet!FJ$2,2,IF(Sheet!FK47=Sheet!FK$2,1,""))))</f>
        <v>3</v>
      </c>
      <c r="FL47" s="58">
        <f>IF(Sheet!FL47=Sheet!FL$2,4,IF(Sheet!FM47=Sheet!FM$2,3,IF(Sheet!FN47=Sheet!FN$2,2,IF(Sheet!FO47=Sheet!FO$2,1,""))))</f>
        <v>4</v>
      </c>
    </row>
    <row r="48" spans="1:168">
      <c r="A48" t="str">
        <f>Sheet!A48</f>
        <v>KI001</v>
      </c>
      <c r="AT48" s="56">
        <f t="shared" si="0"/>
        <v>1.8709677419354838</v>
      </c>
      <c r="AV48" s="58">
        <f>IF(Sheet!AV48=Sheet!AV$2,4,IF(Sheet!AW48=Sheet!AW$2,3,IF(Sheet!AX48=Sheet!AX$2,2,IF(Sheet!AY48=Sheet!AY$2,1,""))))</f>
        <v>1</v>
      </c>
      <c r="AZ48" s="58">
        <f>IF(Sheet!AZ48=Sheet!AZ$2,4,IF(Sheet!BA48=Sheet!BA$2,3,IF(Sheet!BB48=Sheet!BB$2,2,IF(Sheet!BC48=Sheet!BC$2,1,""))))</f>
        <v>4</v>
      </c>
      <c r="BD48" s="58">
        <f>IF(Sheet!BD48=Sheet!BD$2,4,IF(Sheet!BE48=Sheet!BE$2,3,IF(Sheet!BF48=Sheet!BF$2,2,IF(Sheet!BG48=Sheet!BG$2,1,""))))</f>
        <v>2</v>
      </c>
      <c r="BH48" s="58">
        <f>IF(Sheet!BH48=Sheet!BH$2,4,IF(Sheet!BI48=Sheet!BI$2,3,IF(Sheet!BJ48=Sheet!BJ$2,2,IF(Sheet!BK48=Sheet!BK$2,1,""))))</f>
        <v>2</v>
      </c>
      <c r="BL48" s="58">
        <f>IF(Sheet!BL48=Sheet!BL$2,4,IF(Sheet!BM48=Sheet!BM$2,3,IF(Sheet!BN48=Sheet!BN$2,2,IF(Sheet!BO48=Sheet!BO$2,1,""))))</f>
        <v>2</v>
      </c>
      <c r="BP48" s="58">
        <f>IF(Sheet!BP48=Sheet!BP$2,4,IF(Sheet!BQ48=Sheet!BQ$2,3,IF(Sheet!BR48=Sheet!BR$2,2,IF(Sheet!BS48=Sheet!BS$2,1,""))))</f>
        <v>2</v>
      </c>
      <c r="BT48" s="58">
        <f>IF(Sheet!BT48=Sheet!BT$2,4,IF(Sheet!BU48=Sheet!BU$2,3,IF(Sheet!BV48=Sheet!BV$2,2,IF(Sheet!BW48=Sheet!BW$2,1,""))))</f>
        <v>1</v>
      </c>
      <c r="BX48" s="58">
        <f>IF(Sheet!BX48=Sheet!BX$2,4,IF(Sheet!BY48=Sheet!BY$2,3,IF(Sheet!BZ48=Sheet!BZ$2,2,IF(Sheet!CA48=Sheet!CA$2,1,""))))</f>
        <v>2</v>
      </c>
      <c r="CB48" s="58">
        <f>IF(Sheet!CB48=Sheet!CB$2,4,IF(Sheet!CC48=Sheet!CC$2,3,IF(Sheet!CD48=Sheet!CD$2,2,IF(Sheet!CE48=Sheet!CE$2,1,""))))</f>
        <v>4</v>
      </c>
      <c r="CF48" s="58">
        <f>IF(Sheet!CF48=Sheet!CF$2,4,IF(Sheet!CG48=Sheet!CG$2,3,IF(Sheet!CH48=Sheet!CH$2,2,IF(Sheet!CI48=Sheet!CI$2,1,""))))</f>
        <v>1</v>
      </c>
      <c r="CJ48" s="58">
        <f>IF(Sheet!CJ48=Sheet!CJ$2,4,IF(Sheet!CK48=Sheet!CK$2,3,IF(Sheet!CL48=Sheet!CL$2,2,IF(Sheet!CM48=Sheet!CM$2,1,""))))</f>
        <v>2</v>
      </c>
      <c r="CN48" s="58">
        <f>IF(Sheet!CN48=Sheet!CN$2,4,IF(Sheet!CO48=Sheet!CO$2,3,IF(Sheet!CP48=Sheet!CP$2,2,IF(Sheet!CQ48=Sheet!CQ$2,1,""))))</f>
        <v>3</v>
      </c>
      <c r="CR48" s="58">
        <f>IF(Sheet!CR48=Sheet!CR$2,4,IF(Sheet!CS48=Sheet!CS$2,3,IF(Sheet!CT48=Sheet!CT$2,2,IF(Sheet!CU48=Sheet!CU$2,1,""))))</f>
        <v>1</v>
      </c>
      <c r="CV48" s="58">
        <f>IF(Sheet!CV48=Sheet!CV$2,4,IF(Sheet!CW48=Sheet!CW$2,3,IF(Sheet!CX48=Sheet!CX$2,2,IF(Sheet!CY48=Sheet!CY$2,1,""))))</f>
        <v>1</v>
      </c>
      <c r="CZ48" s="58">
        <f>IF(Sheet!CZ48=Sheet!CZ$2,4,IF(Sheet!DA48=Sheet!DA$2,3,IF(Sheet!DB48=Sheet!DB$2,2,IF(Sheet!DC48=Sheet!DC$2,1,""))))</f>
        <v>1</v>
      </c>
      <c r="DD48" s="58">
        <f>IF(Sheet!DD48=Sheet!DD$2,4,IF(Sheet!DE48=Sheet!DE$2,3,IF(Sheet!DF48=Sheet!DF$2,2,IF(Sheet!DG48=Sheet!DG$2,1,""))))</f>
        <v>1</v>
      </c>
      <c r="DH48" s="58">
        <f>IF(Sheet!DH48=Sheet!DH$2,4,IF(Sheet!DI48=Sheet!DI$2,3,IF(Sheet!DJ48=Sheet!DJ$2,2,IF(Sheet!DK48=Sheet!DK$2,1,""))))</f>
        <v>4</v>
      </c>
      <c r="DL48" s="58">
        <f>IF(Sheet!DL48=Sheet!DL$2,4,IF(Sheet!DM48=Sheet!DM$2,3,IF(Sheet!DN48=Sheet!DN$2,2,IF(Sheet!DO48=Sheet!DO$2,1,""))))</f>
        <v>3</v>
      </c>
      <c r="DP48" s="58">
        <f>IF(Sheet!DP48=Sheet!DP$2,4,IF(Sheet!DQ48=Sheet!DQ$2,3,IF(Sheet!DR48=Sheet!DR$2,2,IF(Sheet!DS48=Sheet!DS$2,1,""))))</f>
        <v>2</v>
      </c>
      <c r="DT48" s="58">
        <f>IF(Sheet!DT48=Sheet!DT$2,4,IF(Sheet!DU48=Sheet!DU$2,3,IF(Sheet!DV48=Sheet!DV$2,2,IF(Sheet!DW48=Sheet!DW$2,1,""))))</f>
        <v>2</v>
      </c>
      <c r="DX48" s="58">
        <f>IF(Sheet!DX48=Sheet!DX$2,4,IF(Sheet!DY48=Sheet!DY$2,3,IF(Sheet!DZ48=Sheet!DZ$2,2,IF(Sheet!EA48=Sheet!EA$2,1,""))))</f>
        <v>1</v>
      </c>
      <c r="EB48" s="58">
        <f>IF(Sheet!EB48=Sheet!EB$2,4,IF(Sheet!EC48=Sheet!EC$2,3,IF(Sheet!ED48=Sheet!ED$2,2,IF(Sheet!EE48=Sheet!EE$2,1,""))))</f>
        <v>3</v>
      </c>
      <c r="EF48" s="58">
        <f>IF(Sheet!EF48=Sheet!EF$2,4,IF(Sheet!EG48=Sheet!EG$2,3,IF(Sheet!EH48=Sheet!EH$2,2,IF(Sheet!EI48=Sheet!EI$2,1,""))))</f>
        <v>1</v>
      </c>
      <c r="EJ48" s="58">
        <f>IF(Sheet!EJ48=Sheet!EJ$2,4,IF(Sheet!EK48=Sheet!EK$2,3,IF(Sheet!EL48=Sheet!EL$2,2,IF(Sheet!EM48=Sheet!EM$2,1,""))))</f>
        <v>1</v>
      </c>
      <c r="EN48" s="58">
        <f>IF(Sheet!EN48=Sheet!EN$2,4,IF(Sheet!EO48=Sheet!EO$2,3,IF(Sheet!EP48=Sheet!EP$2,2,IF(Sheet!EQ48=Sheet!EQ$2,1,""))))</f>
        <v>1</v>
      </c>
      <c r="ER48" s="58">
        <f>IF(Sheet!ER48=Sheet!ER$2,4,IF(Sheet!ES48=Sheet!ES$2,3,IF(Sheet!ET48=Sheet!ET$2,2,IF(Sheet!EU48=Sheet!EU$2,1,""))))</f>
        <v>1</v>
      </c>
      <c r="EV48" s="58">
        <f>IF(Sheet!EV48=Sheet!EV$2,4,IF(Sheet!EW48=Sheet!EW$2,3,IF(Sheet!EX48=Sheet!EX$2,2,IF(Sheet!EY48=Sheet!EY$2,1,""))))</f>
        <v>1</v>
      </c>
      <c r="EZ48" s="58">
        <f>IF(Sheet!EZ48=Sheet!EZ$2,4,IF(Sheet!FA48=Sheet!FA$2,3,IF(Sheet!FB48=Sheet!FB$2,2,IF(Sheet!FC48=Sheet!FC$2,1,""))))</f>
        <v>2</v>
      </c>
      <c r="FD48" s="58">
        <f>IF(Sheet!FD48=Sheet!FD$2,4,IF(Sheet!FE48=Sheet!FE$2,3,IF(Sheet!FF48=Sheet!FF$2,2,IF(Sheet!FG48=Sheet!FG$2,1,""))))</f>
        <v>1</v>
      </c>
      <c r="FH48" s="58">
        <f>IF(Sheet!FH48=Sheet!FH$2,4,IF(Sheet!FI48=Sheet!FI$2,3,IF(Sheet!FJ48=Sheet!FJ$2,2,IF(Sheet!FK48=Sheet!FK$2,1,""))))</f>
        <v>3</v>
      </c>
      <c r="FL48" s="58">
        <f>IF(Sheet!FL48=Sheet!FL$2,4,IF(Sheet!FM48=Sheet!FM$2,3,IF(Sheet!FN48=Sheet!FN$2,2,IF(Sheet!FO48=Sheet!FO$2,1,""))))</f>
        <v>2</v>
      </c>
    </row>
    <row r="49" spans="1:168">
      <c r="A49" t="str">
        <f>Sheet!A49</f>
        <v>MO001</v>
      </c>
      <c r="AT49" s="56">
        <f t="shared" si="0"/>
        <v>2.5806451612903225</v>
      </c>
      <c r="AV49" s="58">
        <f>IF(Sheet!AV49=Sheet!AV$2,4,IF(Sheet!AW49=Sheet!AW$2,3,IF(Sheet!AX49=Sheet!AX$2,2,IF(Sheet!AY49=Sheet!AY$2,1,""))))</f>
        <v>3</v>
      </c>
      <c r="AZ49" s="58">
        <f>IF(Sheet!AZ49=Sheet!AZ$2,4,IF(Sheet!BA49=Sheet!BA$2,3,IF(Sheet!BB49=Sheet!BB$2,2,IF(Sheet!BC49=Sheet!BC$2,1,""))))</f>
        <v>2</v>
      </c>
      <c r="BD49" s="58">
        <f>IF(Sheet!BD49=Sheet!BD$2,4,IF(Sheet!BE49=Sheet!BE$2,3,IF(Sheet!BF49=Sheet!BF$2,2,IF(Sheet!BG49=Sheet!BG$2,1,""))))</f>
        <v>2</v>
      </c>
      <c r="BH49" s="58">
        <f>IF(Sheet!BH49=Sheet!BH$2,4,IF(Sheet!BI49=Sheet!BI$2,3,IF(Sheet!BJ49=Sheet!BJ$2,2,IF(Sheet!BK49=Sheet!BK$2,1,""))))</f>
        <v>4</v>
      </c>
      <c r="BL49" s="58">
        <f>IF(Sheet!BL49=Sheet!BL$2,4,IF(Sheet!BM49=Sheet!BM$2,3,IF(Sheet!BN49=Sheet!BN$2,2,IF(Sheet!BO49=Sheet!BO$2,1,""))))</f>
        <v>3</v>
      </c>
      <c r="BP49" s="58">
        <f>IF(Sheet!BP49=Sheet!BP$2,4,IF(Sheet!BQ49=Sheet!BQ$2,3,IF(Sheet!BR49=Sheet!BR$2,2,IF(Sheet!BS49=Sheet!BS$2,1,""))))</f>
        <v>1</v>
      </c>
      <c r="BT49" s="58">
        <f>IF(Sheet!BT49=Sheet!BT$2,4,IF(Sheet!BU49=Sheet!BU$2,3,IF(Sheet!BV49=Sheet!BV$2,2,IF(Sheet!BW49=Sheet!BW$2,1,""))))</f>
        <v>3</v>
      </c>
      <c r="BX49" s="58">
        <f>IF(Sheet!BX49=Sheet!BX$2,4,IF(Sheet!BY49=Sheet!BY$2,3,IF(Sheet!BZ49=Sheet!BZ$2,2,IF(Sheet!CA49=Sheet!CA$2,1,""))))</f>
        <v>3</v>
      </c>
      <c r="CB49" s="58">
        <f>IF(Sheet!CB49=Sheet!CB$2,4,IF(Sheet!CC49=Sheet!CC$2,3,IF(Sheet!CD49=Sheet!CD$2,2,IF(Sheet!CE49=Sheet!CE$2,1,""))))</f>
        <v>3</v>
      </c>
      <c r="CF49" s="58">
        <f>IF(Sheet!CF49=Sheet!CF$2,4,IF(Sheet!CG49=Sheet!CG$2,3,IF(Sheet!CH49=Sheet!CH$2,2,IF(Sheet!CI49=Sheet!CI$2,1,""))))</f>
        <v>3</v>
      </c>
      <c r="CJ49" s="58">
        <f>IF(Sheet!CJ49=Sheet!CJ$2,4,IF(Sheet!CK49=Sheet!CK$2,3,IF(Sheet!CL49=Sheet!CL$2,2,IF(Sheet!CM49=Sheet!CM$2,1,""))))</f>
        <v>2</v>
      </c>
      <c r="CN49" s="58">
        <f>IF(Sheet!CN49=Sheet!CN$2,4,IF(Sheet!CO49=Sheet!CO$2,3,IF(Sheet!CP49=Sheet!CP$2,2,IF(Sheet!CQ49=Sheet!CQ$2,1,""))))</f>
        <v>3</v>
      </c>
      <c r="CR49" s="58">
        <f>IF(Sheet!CR49=Sheet!CR$2,4,IF(Sheet!CS49=Sheet!CS$2,3,IF(Sheet!CT49=Sheet!CT$2,2,IF(Sheet!CU49=Sheet!CU$2,1,""))))</f>
        <v>3</v>
      </c>
      <c r="CV49" s="58">
        <f>IF(Sheet!CV49=Sheet!CV$2,4,IF(Sheet!CW49=Sheet!CW$2,3,IF(Sheet!CX49=Sheet!CX$2,2,IF(Sheet!CY49=Sheet!CY$2,1,""))))</f>
        <v>2</v>
      </c>
      <c r="CZ49" s="58">
        <f>IF(Sheet!CZ49=Sheet!CZ$2,4,IF(Sheet!DA49=Sheet!DA$2,3,IF(Sheet!DB49=Sheet!DB$2,2,IF(Sheet!DC49=Sheet!DC$2,1,""))))</f>
        <v>2</v>
      </c>
      <c r="DD49" s="58">
        <f>IF(Sheet!DD49=Sheet!DD$2,4,IF(Sheet!DE49=Sheet!DE$2,3,IF(Sheet!DF49=Sheet!DF$2,2,IF(Sheet!DG49=Sheet!DG$2,1,""))))</f>
        <v>3</v>
      </c>
      <c r="DH49" s="58">
        <f>IF(Sheet!DH49=Sheet!DH$2,4,IF(Sheet!DI49=Sheet!DI$2,3,IF(Sheet!DJ49=Sheet!DJ$2,2,IF(Sheet!DK49=Sheet!DK$2,1,""))))</f>
        <v>3</v>
      </c>
      <c r="DL49" s="58">
        <f>IF(Sheet!DL49=Sheet!DL$2,4,IF(Sheet!DM49=Sheet!DM$2,3,IF(Sheet!DN49=Sheet!DN$2,2,IF(Sheet!DO49=Sheet!DO$2,1,""))))</f>
        <v>3</v>
      </c>
      <c r="DP49" s="58">
        <f>IF(Sheet!DP49=Sheet!DP$2,4,IF(Sheet!DQ49=Sheet!DQ$2,3,IF(Sheet!DR49=Sheet!DR$2,2,IF(Sheet!DS49=Sheet!DS$2,1,""))))</f>
        <v>3</v>
      </c>
      <c r="DT49" s="58">
        <f>IF(Sheet!DT49=Sheet!DT$2,4,IF(Sheet!DU49=Sheet!DU$2,3,IF(Sheet!DV49=Sheet!DV$2,2,IF(Sheet!DW49=Sheet!DW$2,1,""))))</f>
        <v>4</v>
      </c>
      <c r="DX49" s="58">
        <f>IF(Sheet!DX49=Sheet!DX$2,4,IF(Sheet!DY49=Sheet!DY$2,3,IF(Sheet!DZ49=Sheet!DZ$2,2,IF(Sheet!EA49=Sheet!EA$2,1,""))))</f>
        <v>2</v>
      </c>
      <c r="EB49" s="58">
        <f>IF(Sheet!EB49=Sheet!EB$2,4,IF(Sheet!EC49=Sheet!EC$2,3,IF(Sheet!ED49=Sheet!ED$2,2,IF(Sheet!EE49=Sheet!EE$2,1,""))))</f>
        <v>2</v>
      </c>
      <c r="EF49" s="58">
        <f>IF(Sheet!EF49=Sheet!EF$2,4,IF(Sheet!EG49=Sheet!EG$2,3,IF(Sheet!EH49=Sheet!EH$2,2,IF(Sheet!EI49=Sheet!EI$2,1,""))))</f>
        <v>2</v>
      </c>
      <c r="EJ49" s="58">
        <f>IF(Sheet!EJ49=Sheet!EJ$2,4,IF(Sheet!EK49=Sheet!EK$2,3,IF(Sheet!EL49=Sheet!EL$2,2,IF(Sheet!EM49=Sheet!EM$2,1,""))))</f>
        <v>2</v>
      </c>
      <c r="EN49" s="58">
        <f>IF(Sheet!EN49=Sheet!EN$2,4,IF(Sheet!EO49=Sheet!EO$2,3,IF(Sheet!EP49=Sheet!EP$2,2,IF(Sheet!EQ49=Sheet!EQ$2,1,""))))</f>
        <v>2</v>
      </c>
      <c r="ER49" s="58">
        <f>IF(Sheet!ER49=Sheet!ER$2,4,IF(Sheet!ES49=Sheet!ES$2,3,IF(Sheet!ET49=Sheet!ET$2,2,IF(Sheet!EU49=Sheet!EU$2,1,""))))</f>
        <v>2</v>
      </c>
      <c r="EV49" s="58">
        <f>IF(Sheet!EV49=Sheet!EV$2,4,IF(Sheet!EW49=Sheet!EW$2,3,IF(Sheet!EX49=Sheet!EX$2,2,IF(Sheet!EY49=Sheet!EY$2,1,""))))</f>
        <v>2</v>
      </c>
      <c r="EZ49" s="58">
        <f>IF(Sheet!EZ49=Sheet!EZ$2,4,IF(Sheet!FA49=Sheet!FA$2,3,IF(Sheet!FB49=Sheet!FB$2,2,IF(Sheet!FC49=Sheet!FC$2,1,""))))</f>
        <v>3</v>
      </c>
      <c r="FD49" s="58">
        <f>IF(Sheet!FD49=Sheet!FD$2,4,IF(Sheet!FE49=Sheet!FE$2,3,IF(Sheet!FF49=Sheet!FF$2,2,IF(Sheet!FG49=Sheet!FG$2,1,""))))</f>
        <v>2</v>
      </c>
      <c r="FH49" s="58">
        <f>IF(Sheet!FH49=Sheet!FH$2,4,IF(Sheet!FI49=Sheet!FI$2,3,IF(Sheet!FJ49=Sheet!FJ$2,2,IF(Sheet!FK49=Sheet!FK$2,1,""))))</f>
        <v>3</v>
      </c>
      <c r="FL49" s="58">
        <f>IF(Sheet!FL49=Sheet!FL$2,4,IF(Sheet!FM49=Sheet!FM$2,3,IF(Sheet!FN49=Sheet!FN$2,2,IF(Sheet!FO49=Sheet!FO$2,1,""))))</f>
        <v>3</v>
      </c>
    </row>
    <row r="50" spans="1:168">
      <c r="A50" t="str">
        <f>Sheet!A50</f>
        <v>RU001</v>
      </c>
      <c r="AT50" s="56">
        <f t="shared" si="0"/>
        <v>2.161290322580645</v>
      </c>
      <c r="AV50" s="58">
        <f>IF(Sheet!AV50=Sheet!AV$2,4,IF(Sheet!AW50=Sheet!AW$2,3,IF(Sheet!AX50=Sheet!AX$2,2,IF(Sheet!AY50=Sheet!AY$2,1,""))))</f>
        <v>1</v>
      </c>
      <c r="AZ50" s="58">
        <f>IF(Sheet!AZ50=Sheet!AZ$2,4,IF(Sheet!BA50=Sheet!BA$2,3,IF(Sheet!BB50=Sheet!BB$2,2,IF(Sheet!BC50=Sheet!BC$2,1,""))))</f>
        <v>1</v>
      </c>
      <c r="BD50" s="58">
        <f>IF(Sheet!BD50=Sheet!BD$2,4,IF(Sheet!BE50=Sheet!BE$2,3,IF(Sheet!BF50=Sheet!BF$2,2,IF(Sheet!BG50=Sheet!BG$2,1,""))))</f>
        <v>2</v>
      </c>
      <c r="BH50" s="58">
        <f>IF(Sheet!BH50=Sheet!BH$2,4,IF(Sheet!BI50=Sheet!BI$2,3,IF(Sheet!BJ50=Sheet!BJ$2,2,IF(Sheet!BK50=Sheet!BK$2,1,""))))</f>
        <v>3</v>
      </c>
      <c r="BL50" s="58">
        <f>IF(Sheet!BL50=Sheet!BL$2,4,IF(Sheet!BM50=Sheet!BM$2,3,IF(Sheet!BN50=Sheet!BN$2,2,IF(Sheet!BO50=Sheet!BO$2,1,""))))</f>
        <v>4</v>
      </c>
      <c r="BP50" s="58">
        <f>IF(Sheet!BP50=Sheet!BP$2,4,IF(Sheet!BQ50=Sheet!BQ$2,3,IF(Sheet!BR50=Sheet!BR$2,2,IF(Sheet!BS50=Sheet!BS$2,1,""))))</f>
        <v>1</v>
      </c>
      <c r="BT50" s="58">
        <f>IF(Sheet!BT50=Sheet!BT$2,4,IF(Sheet!BU50=Sheet!BU$2,3,IF(Sheet!BV50=Sheet!BV$2,2,IF(Sheet!BW50=Sheet!BW$2,1,""))))</f>
        <v>2</v>
      </c>
      <c r="BX50" s="58">
        <f>IF(Sheet!BX50=Sheet!BX$2,4,IF(Sheet!BY50=Sheet!BY$2,3,IF(Sheet!BZ50=Sheet!BZ$2,2,IF(Sheet!CA50=Sheet!CA$2,1,""))))</f>
        <v>3</v>
      </c>
      <c r="CB50" s="58">
        <f>IF(Sheet!CB50=Sheet!CB$2,4,IF(Sheet!CC50=Sheet!CC$2,3,IF(Sheet!CD50=Sheet!CD$2,2,IF(Sheet!CE50=Sheet!CE$2,1,""))))</f>
        <v>3</v>
      </c>
      <c r="CF50" s="58">
        <f>IF(Sheet!CF50=Sheet!CF$2,4,IF(Sheet!CG50=Sheet!CG$2,3,IF(Sheet!CH50=Sheet!CH$2,2,IF(Sheet!CI50=Sheet!CI$2,1,""))))</f>
        <v>2</v>
      </c>
      <c r="CJ50" s="58">
        <f>IF(Sheet!CJ50=Sheet!CJ$2,4,IF(Sheet!CK50=Sheet!CK$2,3,IF(Sheet!CL50=Sheet!CL$2,2,IF(Sheet!CM50=Sheet!CM$2,1,""))))</f>
        <v>1</v>
      </c>
      <c r="CN50" s="58">
        <f>IF(Sheet!CN50=Sheet!CN$2,4,IF(Sheet!CO50=Sheet!CO$2,3,IF(Sheet!CP50=Sheet!CP$2,2,IF(Sheet!CQ50=Sheet!CQ$2,1,""))))</f>
        <v>4</v>
      </c>
      <c r="CR50" s="58">
        <f>IF(Sheet!CR50=Sheet!CR$2,4,IF(Sheet!CS50=Sheet!CS$2,3,IF(Sheet!CT50=Sheet!CT$2,2,IF(Sheet!CU50=Sheet!CU$2,1,""))))</f>
        <v>1</v>
      </c>
      <c r="CV50" s="58">
        <f>IF(Sheet!CV50=Sheet!CV$2,4,IF(Sheet!CW50=Sheet!CW$2,3,IF(Sheet!CX50=Sheet!CX$2,2,IF(Sheet!CY50=Sheet!CY$2,1,""))))</f>
        <v>2</v>
      </c>
      <c r="CZ50" s="58">
        <f>IF(Sheet!CZ50=Sheet!CZ$2,4,IF(Sheet!DA50=Sheet!DA$2,3,IF(Sheet!DB50=Sheet!DB$2,2,IF(Sheet!DC50=Sheet!DC$2,1,""))))</f>
        <v>1</v>
      </c>
      <c r="DD50" s="58">
        <f>IF(Sheet!DD50=Sheet!DD$2,4,IF(Sheet!DE50=Sheet!DE$2,3,IF(Sheet!DF50=Sheet!DF$2,2,IF(Sheet!DG50=Sheet!DG$2,1,""))))</f>
        <v>2</v>
      </c>
      <c r="DH50" s="58">
        <f>IF(Sheet!DH50=Sheet!DH$2,4,IF(Sheet!DI50=Sheet!DI$2,3,IF(Sheet!DJ50=Sheet!DJ$2,2,IF(Sheet!DK50=Sheet!DK$2,1,""))))</f>
        <v>3</v>
      </c>
      <c r="DL50" s="58">
        <f>IF(Sheet!DL50=Sheet!DL$2,4,IF(Sheet!DM50=Sheet!DM$2,3,IF(Sheet!DN50=Sheet!DN$2,2,IF(Sheet!DO50=Sheet!DO$2,1,""))))</f>
        <v>2</v>
      </c>
      <c r="DP50" s="58">
        <f>IF(Sheet!DP50=Sheet!DP$2,4,IF(Sheet!DQ50=Sheet!DQ$2,3,IF(Sheet!DR50=Sheet!DR$2,2,IF(Sheet!DS50=Sheet!DS$2,1,""))))</f>
        <v>3</v>
      </c>
      <c r="DT50" s="58">
        <f>IF(Sheet!DT50=Sheet!DT$2,4,IF(Sheet!DU50=Sheet!DU$2,3,IF(Sheet!DV50=Sheet!DV$2,2,IF(Sheet!DW50=Sheet!DW$2,1,""))))</f>
        <v>3</v>
      </c>
      <c r="DX50" s="58">
        <f>IF(Sheet!DX50=Sheet!DX$2,4,IF(Sheet!DY50=Sheet!DY$2,3,IF(Sheet!DZ50=Sheet!DZ$2,2,IF(Sheet!EA50=Sheet!EA$2,1,""))))</f>
        <v>1</v>
      </c>
      <c r="EB50" s="58">
        <f>IF(Sheet!EB50=Sheet!EB$2,4,IF(Sheet!EC50=Sheet!EC$2,3,IF(Sheet!ED50=Sheet!ED$2,2,IF(Sheet!EE50=Sheet!EE$2,1,""))))</f>
        <v>2</v>
      </c>
      <c r="EF50" s="58">
        <f>IF(Sheet!EF50=Sheet!EF$2,4,IF(Sheet!EG50=Sheet!EG$2,3,IF(Sheet!EH50=Sheet!EH$2,2,IF(Sheet!EI50=Sheet!EI$2,1,""))))</f>
        <v>1</v>
      </c>
      <c r="EJ50" s="58">
        <f>IF(Sheet!EJ50=Sheet!EJ$2,4,IF(Sheet!EK50=Sheet!EK$2,3,IF(Sheet!EL50=Sheet!EL$2,2,IF(Sheet!EM50=Sheet!EM$2,1,""))))</f>
        <v>1</v>
      </c>
      <c r="EN50" s="58">
        <f>IF(Sheet!EN50=Sheet!EN$2,4,IF(Sheet!EO50=Sheet!EO$2,3,IF(Sheet!EP50=Sheet!EP$2,2,IF(Sheet!EQ50=Sheet!EQ$2,1,""))))</f>
        <v>2</v>
      </c>
      <c r="ER50" s="58">
        <f>IF(Sheet!ER50=Sheet!ER$2,4,IF(Sheet!ES50=Sheet!ES$2,3,IF(Sheet!ET50=Sheet!ET$2,2,IF(Sheet!EU50=Sheet!EU$2,1,""))))</f>
        <v>2</v>
      </c>
      <c r="EV50" s="58">
        <f>IF(Sheet!EV50=Sheet!EV$2,4,IF(Sheet!EW50=Sheet!EW$2,3,IF(Sheet!EX50=Sheet!EX$2,2,IF(Sheet!EY50=Sheet!EY$2,1,""))))</f>
        <v>4</v>
      </c>
      <c r="EZ50" s="58">
        <f>IF(Sheet!EZ50=Sheet!EZ$2,4,IF(Sheet!FA50=Sheet!FA$2,3,IF(Sheet!FB50=Sheet!FB$2,2,IF(Sheet!FC50=Sheet!FC$2,1,""))))</f>
        <v>1</v>
      </c>
      <c r="FD50" s="58">
        <f>IF(Sheet!FD50=Sheet!FD$2,4,IF(Sheet!FE50=Sheet!FE$2,3,IF(Sheet!FF50=Sheet!FF$2,2,IF(Sheet!FG50=Sheet!FG$2,1,""))))</f>
        <v>1</v>
      </c>
      <c r="FH50" s="58">
        <f>IF(Sheet!FH50=Sheet!FH$2,4,IF(Sheet!FI50=Sheet!FI$2,3,IF(Sheet!FJ50=Sheet!FJ$2,2,IF(Sheet!FK50=Sheet!FK$2,1,""))))</f>
        <v>4</v>
      </c>
      <c r="FL50" s="58">
        <f>IF(Sheet!FL50=Sheet!FL$2,4,IF(Sheet!FM50=Sheet!FM$2,3,IF(Sheet!FN50=Sheet!FN$2,2,IF(Sheet!FO50=Sheet!FO$2,1,""))))</f>
        <v>4</v>
      </c>
    </row>
    <row r="51" spans="1:168">
      <c r="A51" t="str">
        <f>Sheet!A51</f>
        <v>CU002</v>
      </c>
      <c r="AT51" s="56">
        <f t="shared" si="0"/>
        <v>2.225806451612903</v>
      </c>
      <c r="AV51" s="58">
        <f>IF(Sheet!AV51=Sheet!AV$2,4,IF(Sheet!AW51=Sheet!AW$2,3,IF(Sheet!AX51=Sheet!AX$2,2,IF(Sheet!AY51=Sheet!AY$2,1,""))))</f>
        <v>1</v>
      </c>
      <c r="AZ51" s="58">
        <f>IF(Sheet!AZ51=Sheet!AZ$2,4,IF(Sheet!BA51=Sheet!BA$2,3,IF(Sheet!BB51=Sheet!BB$2,2,IF(Sheet!BC51=Sheet!BC$2,1,""))))</f>
        <v>3</v>
      </c>
      <c r="BD51" s="58">
        <f>IF(Sheet!BD51=Sheet!BD$2,4,IF(Sheet!BE51=Sheet!BE$2,3,IF(Sheet!BF51=Sheet!BF$2,2,IF(Sheet!BG51=Sheet!BG$2,1,""))))</f>
        <v>2</v>
      </c>
      <c r="BH51" s="58">
        <f>IF(Sheet!BH51=Sheet!BH$2,4,IF(Sheet!BI51=Sheet!BI$2,3,IF(Sheet!BJ51=Sheet!BJ$2,2,IF(Sheet!BK51=Sheet!BK$2,1,""))))</f>
        <v>1</v>
      </c>
      <c r="BL51" s="58">
        <f>IF(Sheet!BL51=Sheet!BL$2,4,IF(Sheet!BM51=Sheet!BM$2,3,IF(Sheet!BN51=Sheet!BN$2,2,IF(Sheet!BO51=Sheet!BO$2,1,""))))</f>
        <v>2</v>
      </c>
      <c r="BP51" s="58">
        <f>IF(Sheet!BP51=Sheet!BP$2,4,IF(Sheet!BQ51=Sheet!BQ$2,3,IF(Sheet!BR51=Sheet!BR$2,2,IF(Sheet!BS51=Sheet!BS$2,1,""))))</f>
        <v>1</v>
      </c>
      <c r="BT51" s="58">
        <f>IF(Sheet!BT51=Sheet!BT$2,4,IF(Sheet!BU51=Sheet!BU$2,3,IF(Sheet!BV51=Sheet!BV$2,2,IF(Sheet!BW51=Sheet!BW$2,1,""))))</f>
        <v>3</v>
      </c>
      <c r="BX51" s="58">
        <f>IF(Sheet!BX51=Sheet!BX$2,4,IF(Sheet!BY51=Sheet!BY$2,3,IF(Sheet!BZ51=Sheet!BZ$2,2,IF(Sheet!CA51=Sheet!CA$2,1,""))))</f>
        <v>2</v>
      </c>
      <c r="CB51" s="58">
        <f>IF(Sheet!CB51=Sheet!CB$2,4,IF(Sheet!CC51=Sheet!CC$2,3,IF(Sheet!CD51=Sheet!CD$2,2,IF(Sheet!CE51=Sheet!CE$2,1,""))))</f>
        <v>3</v>
      </c>
      <c r="CF51" s="58">
        <f>IF(Sheet!CF51=Sheet!CF$2,4,IF(Sheet!CG51=Sheet!CG$2,3,IF(Sheet!CH51=Sheet!CH$2,2,IF(Sheet!CI51=Sheet!CI$2,1,""))))</f>
        <v>1</v>
      </c>
      <c r="CJ51" s="58">
        <f>IF(Sheet!CJ51=Sheet!CJ$2,4,IF(Sheet!CK51=Sheet!CK$2,3,IF(Sheet!CL51=Sheet!CL$2,2,IF(Sheet!CM51=Sheet!CM$2,1,""))))</f>
        <v>3</v>
      </c>
      <c r="CN51" s="58">
        <f>IF(Sheet!CN51=Sheet!CN$2,4,IF(Sheet!CO51=Sheet!CO$2,3,IF(Sheet!CP51=Sheet!CP$2,2,IF(Sheet!CQ51=Sheet!CQ$2,1,""))))</f>
        <v>2</v>
      </c>
      <c r="CR51" s="58">
        <f>IF(Sheet!CR51=Sheet!CR$2,4,IF(Sheet!CS51=Sheet!CS$2,3,IF(Sheet!CT51=Sheet!CT$2,2,IF(Sheet!CU51=Sheet!CU$2,1,""))))</f>
        <v>3</v>
      </c>
      <c r="CV51" s="58">
        <f>IF(Sheet!CV51=Sheet!CV$2,4,IF(Sheet!CW51=Sheet!CW$2,3,IF(Sheet!CX51=Sheet!CX$2,2,IF(Sheet!CY51=Sheet!CY$2,1,""))))</f>
        <v>4</v>
      </c>
      <c r="CZ51" s="58">
        <f>IF(Sheet!CZ51=Sheet!CZ$2,4,IF(Sheet!DA51=Sheet!DA$2,3,IF(Sheet!DB51=Sheet!DB$2,2,IF(Sheet!DC51=Sheet!DC$2,1,""))))</f>
        <v>4</v>
      </c>
      <c r="DD51" s="58">
        <f>IF(Sheet!DD51=Sheet!DD$2,4,IF(Sheet!DE51=Sheet!DE$2,3,IF(Sheet!DF51=Sheet!DF$2,2,IF(Sheet!DG51=Sheet!DG$2,1,""))))</f>
        <v>4</v>
      </c>
      <c r="DH51" s="58">
        <f>IF(Sheet!DH51=Sheet!DH$2,4,IF(Sheet!DI51=Sheet!DI$2,3,IF(Sheet!DJ51=Sheet!DJ$2,2,IF(Sheet!DK51=Sheet!DK$2,1,""))))</f>
        <v>3</v>
      </c>
      <c r="DL51" s="58">
        <f>IF(Sheet!DL51=Sheet!DL$2,4,IF(Sheet!DM51=Sheet!DM$2,3,IF(Sheet!DN51=Sheet!DN$2,2,IF(Sheet!DO51=Sheet!DO$2,1,""))))</f>
        <v>2</v>
      </c>
      <c r="DP51" s="58">
        <f>IF(Sheet!DP51=Sheet!DP$2,4,IF(Sheet!DQ51=Sheet!DQ$2,3,IF(Sheet!DR51=Sheet!DR$2,2,IF(Sheet!DS51=Sheet!DS$2,1,""))))</f>
        <v>4</v>
      </c>
      <c r="DT51" s="58">
        <f>IF(Sheet!DT51=Sheet!DT$2,4,IF(Sheet!DU51=Sheet!DU$2,3,IF(Sheet!DV51=Sheet!DV$2,2,IF(Sheet!DW51=Sheet!DW$2,1,""))))</f>
        <v>3</v>
      </c>
      <c r="DX51" s="58">
        <f>IF(Sheet!DX51=Sheet!DX$2,4,IF(Sheet!DY51=Sheet!DY$2,3,IF(Sheet!DZ51=Sheet!DZ$2,2,IF(Sheet!EA51=Sheet!EA$2,1,""))))</f>
        <v>1</v>
      </c>
      <c r="EB51" s="58">
        <f>IF(Sheet!EB51=Sheet!EB$2,4,IF(Sheet!EC51=Sheet!EC$2,3,IF(Sheet!ED51=Sheet!ED$2,2,IF(Sheet!EE51=Sheet!EE$2,1,""))))</f>
        <v>2</v>
      </c>
      <c r="EF51" s="58">
        <f>IF(Sheet!EF51=Sheet!EF$2,4,IF(Sheet!EG51=Sheet!EG$2,3,IF(Sheet!EH51=Sheet!EH$2,2,IF(Sheet!EI51=Sheet!EI$2,1,""))))</f>
        <v>3</v>
      </c>
      <c r="EJ51" s="58">
        <f>IF(Sheet!EJ51=Sheet!EJ$2,4,IF(Sheet!EK51=Sheet!EK$2,3,IF(Sheet!EL51=Sheet!EL$2,2,IF(Sheet!EM51=Sheet!EM$2,1,""))))</f>
        <v>1</v>
      </c>
      <c r="EN51" s="58">
        <f>IF(Sheet!EN51=Sheet!EN$2,4,IF(Sheet!EO51=Sheet!EO$2,3,IF(Sheet!EP51=Sheet!EP$2,2,IF(Sheet!EQ51=Sheet!EQ$2,1,""))))</f>
        <v>1</v>
      </c>
      <c r="ER51" s="58">
        <f>IF(Sheet!ER51=Sheet!ER$2,4,IF(Sheet!ES51=Sheet!ES$2,3,IF(Sheet!ET51=Sheet!ET$2,2,IF(Sheet!EU51=Sheet!EU$2,1,""))))</f>
        <v>1</v>
      </c>
      <c r="EV51" s="58">
        <f>IF(Sheet!EV51=Sheet!EV$2,4,IF(Sheet!EW51=Sheet!EW$2,3,IF(Sheet!EX51=Sheet!EX$2,2,IF(Sheet!EY51=Sheet!EY$2,1,""))))</f>
        <v>3</v>
      </c>
      <c r="EZ51" s="58">
        <f>IF(Sheet!EZ51=Sheet!EZ$2,4,IF(Sheet!FA51=Sheet!FA$2,3,IF(Sheet!FB51=Sheet!FB$2,2,IF(Sheet!FC51=Sheet!FC$2,1,""))))</f>
        <v>2</v>
      </c>
      <c r="FD51" s="58">
        <f>IF(Sheet!FD51=Sheet!FD$2,4,IF(Sheet!FE51=Sheet!FE$2,3,IF(Sheet!FF51=Sheet!FF$2,2,IF(Sheet!FG51=Sheet!FG$2,1,""))))</f>
        <v>1</v>
      </c>
      <c r="FH51" s="58">
        <f>IF(Sheet!FH51=Sheet!FH$2,4,IF(Sheet!FI51=Sheet!FI$2,3,IF(Sheet!FJ51=Sheet!FJ$2,2,IF(Sheet!FK51=Sheet!FK$2,1,""))))</f>
        <v>1</v>
      </c>
      <c r="FL51" s="58">
        <f>IF(Sheet!FL51=Sheet!FL$2,4,IF(Sheet!FM51=Sheet!FM$2,3,IF(Sheet!FN51=Sheet!FN$2,2,IF(Sheet!FO51=Sheet!FO$2,1,""))))</f>
        <v>2</v>
      </c>
    </row>
    <row r="52" spans="1:168">
      <c r="A52" t="str">
        <f>Sheet!A52</f>
        <v>OD001</v>
      </c>
      <c r="AT52" s="56">
        <f t="shared" si="0"/>
        <v>2.5483870967741935</v>
      </c>
      <c r="AV52" s="58">
        <f>IF(Sheet!AV52=Sheet!AV$2,4,IF(Sheet!AW52=Sheet!AW$2,3,IF(Sheet!AX52=Sheet!AX$2,2,IF(Sheet!AY52=Sheet!AY$2,1,""))))</f>
        <v>2</v>
      </c>
      <c r="AZ52" s="58">
        <f>IF(Sheet!AZ52=Sheet!AZ$2,4,IF(Sheet!BA52=Sheet!BA$2,3,IF(Sheet!BB52=Sheet!BB$2,2,IF(Sheet!BC52=Sheet!BC$2,1,""))))</f>
        <v>3</v>
      </c>
      <c r="BD52" s="58">
        <f>IF(Sheet!BD52=Sheet!BD$2,4,IF(Sheet!BE52=Sheet!BE$2,3,IF(Sheet!BF52=Sheet!BF$2,2,IF(Sheet!BG52=Sheet!BG$2,1,""))))</f>
        <v>2</v>
      </c>
      <c r="BH52" s="58">
        <f>IF(Sheet!BH52=Sheet!BH$2,4,IF(Sheet!BI52=Sheet!BI$2,3,IF(Sheet!BJ52=Sheet!BJ$2,2,IF(Sheet!BK52=Sheet!BK$2,1,""))))</f>
        <v>3</v>
      </c>
      <c r="BL52" s="58">
        <f>IF(Sheet!BL52=Sheet!BL$2,4,IF(Sheet!BM52=Sheet!BM$2,3,IF(Sheet!BN52=Sheet!BN$2,2,IF(Sheet!BO52=Sheet!BO$2,1,""))))</f>
        <v>2</v>
      </c>
      <c r="BP52" s="58">
        <f>IF(Sheet!BP52=Sheet!BP$2,4,IF(Sheet!BQ52=Sheet!BQ$2,3,IF(Sheet!BR52=Sheet!BR$2,2,IF(Sheet!BS52=Sheet!BS$2,1,""))))</f>
        <v>2</v>
      </c>
      <c r="BT52" s="58">
        <f>IF(Sheet!BT52=Sheet!BT$2,4,IF(Sheet!BU52=Sheet!BU$2,3,IF(Sheet!BV52=Sheet!BV$2,2,IF(Sheet!BW52=Sheet!BW$2,1,""))))</f>
        <v>4</v>
      </c>
      <c r="BX52" s="58">
        <f>IF(Sheet!BX52=Sheet!BX$2,4,IF(Sheet!BY52=Sheet!BY$2,3,IF(Sheet!BZ52=Sheet!BZ$2,2,IF(Sheet!CA52=Sheet!CA$2,1,""))))</f>
        <v>3</v>
      </c>
      <c r="CB52" s="58">
        <f>IF(Sheet!CB52=Sheet!CB$2,4,IF(Sheet!CC52=Sheet!CC$2,3,IF(Sheet!CD52=Sheet!CD$2,2,IF(Sheet!CE52=Sheet!CE$2,1,""))))</f>
        <v>3</v>
      </c>
      <c r="CF52" s="58">
        <f>IF(Sheet!CF52=Sheet!CF$2,4,IF(Sheet!CG52=Sheet!CG$2,3,IF(Sheet!CH52=Sheet!CH$2,2,IF(Sheet!CI52=Sheet!CI$2,1,""))))</f>
        <v>2</v>
      </c>
      <c r="CJ52" s="58">
        <f>IF(Sheet!CJ52=Sheet!CJ$2,4,IF(Sheet!CK52=Sheet!CK$2,3,IF(Sheet!CL52=Sheet!CL$2,2,IF(Sheet!CM52=Sheet!CM$2,1,""))))</f>
        <v>3</v>
      </c>
      <c r="CN52" s="58">
        <f>IF(Sheet!CN52=Sheet!CN$2,4,IF(Sheet!CO52=Sheet!CO$2,3,IF(Sheet!CP52=Sheet!CP$2,2,IF(Sheet!CQ52=Sheet!CQ$2,1,""))))</f>
        <v>3</v>
      </c>
      <c r="CR52" s="58">
        <f>IF(Sheet!CR52=Sheet!CR$2,4,IF(Sheet!CS52=Sheet!CS$2,3,IF(Sheet!CT52=Sheet!CT$2,2,IF(Sheet!CU52=Sheet!CU$2,1,""))))</f>
        <v>2</v>
      </c>
      <c r="CV52" s="58">
        <f>IF(Sheet!CV52=Sheet!CV$2,4,IF(Sheet!CW52=Sheet!CW$2,3,IF(Sheet!CX52=Sheet!CX$2,2,IF(Sheet!CY52=Sheet!CY$2,1,""))))</f>
        <v>3</v>
      </c>
      <c r="CZ52" s="58">
        <f>IF(Sheet!CZ52=Sheet!CZ$2,4,IF(Sheet!DA52=Sheet!DA$2,3,IF(Sheet!DB52=Sheet!DB$2,2,IF(Sheet!DC52=Sheet!DC$2,1,""))))</f>
        <v>3</v>
      </c>
      <c r="DD52" s="58">
        <f>IF(Sheet!DD52=Sheet!DD$2,4,IF(Sheet!DE52=Sheet!DE$2,3,IF(Sheet!DF52=Sheet!DF$2,2,IF(Sheet!DG52=Sheet!DG$2,1,""))))</f>
        <v>3</v>
      </c>
      <c r="DH52" s="58">
        <f>IF(Sheet!DH52=Sheet!DH$2,4,IF(Sheet!DI52=Sheet!DI$2,3,IF(Sheet!DJ52=Sheet!DJ$2,2,IF(Sheet!DK52=Sheet!DK$2,1,""))))</f>
        <v>3</v>
      </c>
      <c r="DL52" s="58">
        <f>IF(Sheet!DL52=Sheet!DL$2,4,IF(Sheet!DM52=Sheet!DM$2,3,IF(Sheet!DN52=Sheet!DN$2,2,IF(Sheet!DO52=Sheet!DO$2,1,""))))</f>
        <v>3</v>
      </c>
      <c r="DP52" s="58">
        <f>IF(Sheet!DP52=Sheet!DP$2,4,IF(Sheet!DQ52=Sheet!DQ$2,3,IF(Sheet!DR52=Sheet!DR$2,2,IF(Sheet!DS52=Sheet!DS$2,1,""))))</f>
        <v>2</v>
      </c>
      <c r="DT52" s="58">
        <f>IF(Sheet!DT52=Sheet!DT$2,4,IF(Sheet!DU52=Sheet!DU$2,3,IF(Sheet!DV52=Sheet!DV$2,2,IF(Sheet!DW52=Sheet!DW$2,1,""))))</f>
        <v>3</v>
      </c>
      <c r="DX52" s="58">
        <f>IF(Sheet!DX52=Sheet!DX$2,4,IF(Sheet!DY52=Sheet!DY$2,3,IF(Sheet!DZ52=Sheet!DZ$2,2,IF(Sheet!EA52=Sheet!EA$2,1,""))))</f>
        <v>3</v>
      </c>
      <c r="EB52" s="58">
        <f>IF(Sheet!EB52=Sheet!EB$2,4,IF(Sheet!EC52=Sheet!EC$2,3,IF(Sheet!ED52=Sheet!ED$2,2,IF(Sheet!EE52=Sheet!EE$2,1,""))))</f>
        <v>2</v>
      </c>
      <c r="EF52" s="58">
        <f>IF(Sheet!EF52=Sheet!EF$2,4,IF(Sheet!EG52=Sheet!EG$2,3,IF(Sheet!EH52=Sheet!EH$2,2,IF(Sheet!EI52=Sheet!EI$2,1,""))))</f>
        <v>2</v>
      </c>
      <c r="EJ52" s="58">
        <f>IF(Sheet!EJ52=Sheet!EJ$2,4,IF(Sheet!EK52=Sheet!EK$2,3,IF(Sheet!EL52=Sheet!EL$2,2,IF(Sheet!EM52=Sheet!EM$2,1,""))))</f>
        <v>2</v>
      </c>
      <c r="EN52" s="58">
        <f>IF(Sheet!EN52=Sheet!EN$2,4,IF(Sheet!EO52=Sheet!EO$2,3,IF(Sheet!EP52=Sheet!EP$2,2,IF(Sheet!EQ52=Sheet!EQ$2,1,""))))</f>
        <v>2</v>
      </c>
      <c r="ER52" s="58">
        <f>IF(Sheet!ER52=Sheet!ER$2,4,IF(Sheet!ES52=Sheet!ES$2,3,IF(Sheet!ET52=Sheet!ET$2,2,IF(Sheet!EU52=Sheet!EU$2,1,""))))</f>
        <v>2</v>
      </c>
      <c r="EV52" s="58">
        <f>IF(Sheet!EV52=Sheet!EV$2,4,IF(Sheet!EW52=Sheet!EW$2,3,IF(Sheet!EX52=Sheet!EX$2,2,IF(Sheet!EY52=Sheet!EY$2,1,""))))</f>
        <v>3</v>
      </c>
      <c r="EZ52" s="58">
        <f>IF(Sheet!EZ52=Sheet!EZ$2,4,IF(Sheet!FA52=Sheet!FA$2,3,IF(Sheet!FB52=Sheet!FB$2,2,IF(Sheet!FC52=Sheet!FC$2,1,""))))</f>
        <v>2</v>
      </c>
      <c r="FD52" s="58">
        <f>IF(Sheet!FD52=Sheet!FD$2,4,IF(Sheet!FE52=Sheet!FE$2,3,IF(Sheet!FF52=Sheet!FF$2,2,IF(Sheet!FG52=Sheet!FG$2,1,""))))</f>
        <v>2</v>
      </c>
      <c r="FH52" s="58">
        <f>IF(Sheet!FH52=Sheet!FH$2,4,IF(Sheet!FI52=Sheet!FI$2,3,IF(Sheet!FJ52=Sheet!FJ$2,2,IF(Sheet!FK52=Sheet!FK$2,1,""))))</f>
        <v>3</v>
      </c>
      <c r="FL52" s="58">
        <f>IF(Sheet!FL52=Sheet!FL$2,4,IF(Sheet!FM52=Sheet!FM$2,3,IF(Sheet!FN52=Sheet!FN$2,2,IF(Sheet!FO52=Sheet!FO$2,1,""))))</f>
        <v>2</v>
      </c>
    </row>
    <row r="53" spans="1:168">
      <c r="A53" t="str">
        <f>Sheet!A53</f>
        <v>RE001</v>
      </c>
      <c r="AT53" s="56">
        <f t="shared" si="0"/>
        <v>2.5161290322580645</v>
      </c>
      <c r="AV53" s="58">
        <f>IF(Sheet!AV53=Sheet!AV$2,4,IF(Sheet!AW53=Sheet!AW$2,3,IF(Sheet!AX53=Sheet!AX$2,2,IF(Sheet!AY53=Sheet!AY$2,1,""))))</f>
        <v>3</v>
      </c>
      <c r="AZ53" s="58">
        <f>IF(Sheet!AZ53=Sheet!AZ$2,4,IF(Sheet!BA53=Sheet!BA$2,3,IF(Sheet!BB53=Sheet!BB$2,2,IF(Sheet!BC53=Sheet!BC$2,1,""))))</f>
        <v>1</v>
      </c>
      <c r="BD53" s="58">
        <f>IF(Sheet!BD53=Sheet!BD$2,4,IF(Sheet!BE53=Sheet!BE$2,3,IF(Sheet!BF53=Sheet!BF$2,2,IF(Sheet!BG53=Sheet!BG$2,1,""))))</f>
        <v>2</v>
      </c>
      <c r="BH53" s="58">
        <f>IF(Sheet!BH53=Sheet!BH$2,4,IF(Sheet!BI53=Sheet!BI$2,3,IF(Sheet!BJ53=Sheet!BJ$2,2,IF(Sheet!BK53=Sheet!BK$2,1,""))))</f>
        <v>1</v>
      </c>
      <c r="BL53" s="58">
        <f>IF(Sheet!BL53=Sheet!BL$2,4,IF(Sheet!BM53=Sheet!BM$2,3,IF(Sheet!BN53=Sheet!BN$2,2,IF(Sheet!BO53=Sheet!BO$2,1,""))))</f>
        <v>4</v>
      </c>
      <c r="BP53" s="58">
        <f>IF(Sheet!BP53=Sheet!BP$2,4,IF(Sheet!BQ53=Sheet!BQ$2,3,IF(Sheet!BR53=Sheet!BR$2,2,IF(Sheet!BS53=Sheet!BS$2,1,""))))</f>
        <v>1</v>
      </c>
      <c r="BT53" s="58">
        <f>IF(Sheet!BT53=Sheet!BT$2,4,IF(Sheet!BU53=Sheet!BU$2,3,IF(Sheet!BV53=Sheet!BV$2,2,IF(Sheet!BW53=Sheet!BW$2,1,""))))</f>
        <v>2</v>
      </c>
      <c r="BX53" s="58">
        <f>IF(Sheet!BX53=Sheet!BX$2,4,IF(Sheet!BY53=Sheet!BY$2,3,IF(Sheet!BZ53=Sheet!BZ$2,2,IF(Sheet!CA53=Sheet!CA$2,1,""))))</f>
        <v>4</v>
      </c>
      <c r="CB53" s="58">
        <f>IF(Sheet!CB53=Sheet!CB$2,4,IF(Sheet!CC53=Sheet!CC$2,3,IF(Sheet!CD53=Sheet!CD$2,2,IF(Sheet!CE53=Sheet!CE$2,1,""))))</f>
        <v>4</v>
      </c>
      <c r="CF53" s="58">
        <f>IF(Sheet!CF53=Sheet!CF$2,4,IF(Sheet!CG53=Sheet!CG$2,3,IF(Sheet!CH53=Sheet!CH$2,2,IF(Sheet!CI53=Sheet!CI$2,1,""))))</f>
        <v>2</v>
      </c>
      <c r="CJ53" s="58">
        <f>IF(Sheet!CJ53=Sheet!CJ$2,4,IF(Sheet!CK53=Sheet!CK$2,3,IF(Sheet!CL53=Sheet!CL$2,2,IF(Sheet!CM53=Sheet!CM$2,1,""))))</f>
        <v>1</v>
      </c>
      <c r="CN53" s="58">
        <f>IF(Sheet!CN53=Sheet!CN$2,4,IF(Sheet!CO53=Sheet!CO$2,3,IF(Sheet!CP53=Sheet!CP$2,2,IF(Sheet!CQ53=Sheet!CQ$2,1,""))))</f>
        <v>4</v>
      </c>
      <c r="CR53" s="58">
        <f>IF(Sheet!CR53=Sheet!CR$2,4,IF(Sheet!CS53=Sheet!CS$2,3,IF(Sheet!CT53=Sheet!CT$2,2,IF(Sheet!CU53=Sheet!CU$2,1,""))))</f>
        <v>2</v>
      </c>
      <c r="CV53" s="58">
        <f>IF(Sheet!CV53=Sheet!CV$2,4,IF(Sheet!CW53=Sheet!CW$2,3,IF(Sheet!CX53=Sheet!CX$2,2,IF(Sheet!CY53=Sheet!CY$2,1,""))))</f>
        <v>1</v>
      </c>
      <c r="CZ53" s="58">
        <f>IF(Sheet!CZ53=Sheet!CZ$2,4,IF(Sheet!DA53=Sheet!DA$2,3,IF(Sheet!DB53=Sheet!DB$2,2,IF(Sheet!DC53=Sheet!DC$2,1,""))))</f>
        <v>1</v>
      </c>
      <c r="DD53" s="58">
        <f>IF(Sheet!DD53=Sheet!DD$2,4,IF(Sheet!DE53=Sheet!DE$2,3,IF(Sheet!DF53=Sheet!DF$2,2,IF(Sheet!DG53=Sheet!DG$2,1,""))))</f>
        <v>4</v>
      </c>
      <c r="DH53" s="58">
        <f>IF(Sheet!DH53=Sheet!DH$2,4,IF(Sheet!DI53=Sheet!DI$2,3,IF(Sheet!DJ53=Sheet!DJ$2,2,IF(Sheet!DK53=Sheet!DK$2,1,""))))</f>
        <v>4</v>
      </c>
      <c r="DL53" s="58">
        <f>IF(Sheet!DL53=Sheet!DL$2,4,IF(Sheet!DM53=Sheet!DM$2,3,IF(Sheet!DN53=Sheet!DN$2,2,IF(Sheet!DO53=Sheet!DO$2,1,""))))</f>
        <v>4</v>
      </c>
      <c r="DP53" s="58">
        <f>IF(Sheet!DP53=Sheet!DP$2,4,IF(Sheet!DQ53=Sheet!DQ$2,3,IF(Sheet!DR53=Sheet!DR$2,2,IF(Sheet!DS53=Sheet!DS$2,1,""))))</f>
        <v>4</v>
      </c>
      <c r="DT53" s="58">
        <f>IF(Sheet!DT53=Sheet!DT$2,4,IF(Sheet!DU53=Sheet!DU$2,3,IF(Sheet!DV53=Sheet!DV$2,2,IF(Sheet!DW53=Sheet!DW$2,1,""))))</f>
        <v>3</v>
      </c>
      <c r="DX53" s="58">
        <f>IF(Sheet!DX53=Sheet!DX$2,4,IF(Sheet!DY53=Sheet!DY$2,3,IF(Sheet!DZ53=Sheet!DZ$2,2,IF(Sheet!EA53=Sheet!EA$2,1,""))))</f>
        <v>1</v>
      </c>
      <c r="EB53" s="58">
        <f>IF(Sheet!EB53=Sheet!EB$2,4,IF(Sheet!EC53=Sheet!EC$2,3,IF(Sheet!ED53=Sheet!ED$2,2,IF(Sheet!EE53=Sheet!EE$2,1,""))))</f>
        <v>4</v>
      </c>
      <c r="EF53" s="58">
        <f>IF(Sheet!EF53=Sheet!EF$2,4,IF(Sheet!EG53=Sheet!EG$2,3,IF(Sheet!EH53=Sheet!EH$2,2,IF(Sheet!EI53=Sheet!EI$2,1,""))))</f>
        <v>1</v>
      </c>
      <c r="EJ53" s="58">
        <f>IF(Sheet!EJ53=Sheet!EJ$2,4,IF(Sheet!EK53=Sheet!EK$2,3,IF(Sheet!EL53=Sheet!EL$2,2,IF(Sheet!EM53=Sheet!EM$2,1,""))))</f>
        <v>1</v>
      </c>
      <c r="EN53" s="58">
        <f>IF(Sheet!EN53=Sheet!EN$2,4,IF(Sheet!EO53=Sheet!EO$2,3,IF(Sheet!EP53=Sheet!EP$2,2,IF(Sheet!EQ53=Sheet!EQ$2,1,""))))</f>
        <v>1</v>
      </c>
      <c r="ER53" s="58">
        <f>IF(Sheet!ER53=Sheet!ER$2,4,IF(Sheet!ES53=Sheet!ES$2,3,IF(Sheet!ET53=Sheet!ET$2,2,IF(Sheet!EU53=Sheet!EU$2,1,""))))</f>
        <v>1</v>
      </c>
      <c r="EV53" s="58">
        <f>IF(Sheet!EV53=Sheet!EV$2,4,IF(Sheet!EW53=Sheet!EW$2,3,IF(Sheet!EX53=Sheet!EX$2,2,IF(Sheet!EY53=Sheet!EY$2,1,""))))</f>
        <v>4</v>
      </c>
      <c r="EZ53" s="58">
        <f>IF(Sheet!EZ53=Sheet!EZ$2,4,IF(Sheet!FA53=Sheet!FA$2,3,IF(Sheet!FB53=Sheet!FB$2,2,IF(Sheet!FC53=Sheet!FC$2,1,""))))</f>
        <v>2</v>
      </c>
      <c r="FD53" s="58">
        <f>IF(Sheet!FD53=Sheet!FD$2,4,IF(Sheet!FE53=Sheet!FE$2,3,IF(Sheet!FF53=Sheet!FF$2,2,IF(Sheet!FG53=Sheet!FG$2,1,""))))</f>
        <v>4</v>
      </c>
      <c r="FH53" s="58">
        <f>IF(Sheet!FH53=Sheet!FH$2,4,IF(Sheet!FI53=Sheet!FI$2,3,IF(Sheet!FJ53=Sheet!FJ$2,2,IF(Sheet!FK53=Sheet!FK$2,1,""))))</f>
        <v>3</v>
      </c>
      <c r="FL53" s="58">
        <f>IF(Sheet!FL53=Sheet!FL$2,4,IF(Sheet!FM53=Sheet!FM$2,3,IF(Sheet!FN53=Sheet!FN$2,2,IF(Sheet!FO53=Sheet!FO$2,1,""))))</f>
        <v>4</v>
      </c>
    </row>
    <row r="54" spans="1:168">
      <c r="A54" t="str">
        <f>Sheet!A54</f>
        <v>CF001</v>
      </c>
      <c r="AT54" s="56">
        <f t="shared" si="0"/>
        <v>2.838709677419355</v>
      </c>
      <c r="AV54" s="58">
        <f>IF(Sheet!AV54=Sheet!AV$2,4,IF(Sheet!AW54=Sheet!AW$2,3,IF(Sheet!AX54=Sheet!AX$2,2,IF(Sheet!AY54=Sheet!AY$2,1,""))))</f>
        <v>2</v>
      </c>
      <c r="AZ54" s="58">
        <f>IF(Sheet!AZ54=Sheet!AZ$2,4,IF(Sheet!BA54=Sheet!BA$2,3,IF(Sheet!BB54=Sheet!BB$2,2,IF(Sheet!BC54=Sheet!BC$2,1,""))))</f>
        <v>3</v>
      </c>
      <c r="BD54" s="58">
        <f>IF(Sheet!BD54=Sheet!BD$2,4,IF(Sheet!BE54=Sheet!BE$2,3,IF(Sheet!BF54=Sheet!BF$2,2,IF(Sheet!BG54=Sheet!BG$2,1,""))))</f>
        <v>4</v>
      </c>
      <c r="BH54" s="58">
        <f>IF(Sheet!BH54=Sheet!BH$2,4,IF(Sheet!BI54=Sheet!BI$2,3,IF(Sheet!BJ54=Sheet!BJ$2,2,IF(Sheet!BK54=Sheet!BK$2,1,""))))</f>
        <v>3</v>
      </c>
      <c r="BL54" s="58">
        <f>IF(Sheet!BL54=Sheet!BL$2,4,IF(Sheet!BM54=Sheet!BM$2,3,IF(Sheet!BN54=Sheet!BN$2,2,IF(Sheet!BO54=Sheet!BO$2,1,""))))</f>
        <v>3</v>
      </c>
      <c r="BP54" s="58">
        <f>IF(Sheet!BP54=Sheet!BP$2,4,IF(Sheet!BQ54=Sheet!BQ$2,3,IF(Sheet!BR54=Sheet!BR$2,2,IF(Sheet!BS54=Sheet!BS$2,1,""))))</f>
        <v>1</v>
      </c>
      <c r="BT54" s="58">
        <f>IF(Sheet!BT54=Sheet!BT$2,4,IF(Sheet!BU54=Sheet!BU$2,3,IF(Sheet!BV54=Sheet!BV$2,2,IF(Sheet!BW54=Sheet!BW$2,1,""))))</f>
        <v>4</v>
      </c>
      <c r="BX54" s="58">
        <f>IF(Sheet!BX54=Sheet!BX$2,4,IF(Sheet!BY54=Sheet!BY$2,3,IF(Sheet!BZ54=Sheet!BZ$2,2,IF(Sheet!CA54=Sheet!CA$2,1,""))))</f>
        <v>4</v>
      </c>
      <c r="CB54" s="58">
        <f>IF(Sheet!CB54=Sheet!CB$2,4,IF(Sheet!CC54=Sheet!CC$2,3,IF(Sheet!CD54=Sheet!CD$2,2,IF(Sheet!CE54=Sheet!CE$2,1,""))))</f>
        <v>4</v>
      </c>
      <c r="CF54" s="58">
        <f>IF(Sheet!CF54=Sheet!CF$2,4,IF(Sheet!CG54=Sheet!CG$2,3,IF(Sheet!CH54=Sheet!CH$2,2,IF(Sheet!CI54=Sheet!CI$2,1,""))))</f>
        <v>3</v>
      </c>
      <c r="CJ54" s="58">
        <f>IF(Sheet!CJ54=Sheet!CJ$2,4,IF(Sheet!CK54=Sheet!CK$2,3,IF(Sheet!CL54=Sheet!CL$2,2,IF(Sheet!CM54=Sheet!CM$2,1,""))))</f>
        <v>2</v>
      </c>
      <c r="CN54" s="58">
        <f>IF(Sheet!CN54=Sheet!CN$2,4,IF(Sheet!CO54=Sheet!CO$2,3,IF(Sheet!CP54=Sheet!CP$2,2,IF(Sheet!CQ54=Sheet!CQ$2,1,""))))</f>
        <v>4</v>
      </c>
      <c r="CR54" s="58">
        <f>IF(Sheet!CR54=Sheet!CR$2,4,IF(Sheet!CS54=Sheet!CS$2,3,IF(Sheet!CT54=Sheet!CT$2,2,IF(Sheet!CU54=Sheet!CU$2,1,""))))</f>
        <v>4</v>
      </c>
      <c r="CV54" s="58">
        <f>IF(Sheet!CV54=Sheet!CV$2,4,IF(Sheet!CW54=Sheet!CW$2,3,IF(Sheet!CX54=Sheet!CX$2,2,IF(Sheet!CY54=Sheet!CY$2,1,""))))</f>
        <v>1</v>
      </c>
      <c r="CZ54" s="58">
        <f>IF(Sheet!CZ54=Sheet!CZ$2,4,IF(Sheet!DA54=Sheet!DA$2,3,IF(Sheet!DB54=Sheet!DB$2,2,IF(Sheet!DC54=Sheet!DC$2,1,""))))</f>
        <v>3</v>
      </c>
      <c r="DD54" s="58">
        <f>IF(Sheet!DD54=Sheet!DD$2,4,IF(Sheet!DE54=Sheet!DE$2,3,IF(Sheet!DF54=Sheet!DF$2,2,IF(Sheet!DG54=Sheet!DG$2,1,""))))</f>
        <v>3</v>
      </c>
      <c r="DH54" s="58">
        <f>IF(Sheet!DH54=Sheet!DH$2,4,IF(Sheet!DI54=Sheet!DI$2,3,IF(Sheet!DJ54=Sheet!DJ$2,2,IF(Sheet!DK54=Sheet!DK$2,1,""))))</f>
        <v>4</v>
      </c>
      <c r="DL54" s="58">
        <f>IF(Sheet!DL54=Sheet!DL$2,4,IF(Sheet!DM54=Sheet!DM$2,3,IF(Sheet!DN54=Sheet!DN$2,2,IF(Sheet!DO54=Sheet!DO$2,1,""))))</f>
        <v>3</v>
      </c>
      <c r="DP54" s="58">
        <f>IF(Sheet!DP54=Sheet!DP$2,4,IF(Sheet!DQ54=Sheet!DQ$2,3,IF(Sheet!DR54=Sheet!DR$2,2,IF(Sheet!DS54=Sheet!DS$2,1,""))))</f>
        <v>4</v>
      </c>
      <c r="DT54" s="58">
        <f>IF(Sheet!DT54=Sheet!DT$2,4,IF(Sheet!DU54=Sheet!DU$2,3,IF(Sheet!DV54=Sheet!DV$2,2,IF(Sheet!DW54=Sheet!DW$2,1,""))))</f>
        <v>4</v>
      </c>
      <c r="DX54" s="58">
        <f>IF(Sheet!DX54=Sheet!DX$2,4,IF(Sheet!DY54=Sheet!DY$2,3,IF(Sheet!DZ54=Sheet!DZ$2,2,IF(Sheet!EA54=Sheet!EA$2,1,""))))</f>
        <v>2</v>
      </c>
      <c r="EB54" s="58">
        <f>IF(Sheet!EB54=Sheet!EB$2,4,IF(Sheet!EC54=Sheet!EC$2,3,IF(Sheet!ED54=Sheet!ED$2,2,IF(Sheet!EE54=Sheet!EE$2,1,""))))</f>
        <v>3</v>
      </c>
      <c r="EF54" s="58">
        <f>IF(Sheet!EF54=Sheet!EF$2,4,IF(Sheet!EG54=Sheet!EG$2,3,IF(Sheet!EH54=Sheet!EH$2,2,IF(Sheet!EI54=Sheet!EI$2,1,""))))</f>
        <v>1</v>
      </c>
      <c r="EJ54" s="58">
        <f>IF(Sheet!EJ54=Sheet!EJ$2,4,IF(Sheet!EK54=Sheet!EK$2,3,IF(Sheet!EL54=Sheet!EL$2,2,IF(Sheet!EM54=Sheet!EM$2,1,""))))</f>
        <v>1</v>
      </c>
      <c r="EN54" s="58">
        <f>IF(Sheet!EN54=Sheet!EN$2,4,IF(Sheet!EO54=Sheet!EO$2,3,IF(Sheet!EP54=Sheet!EP$2,2,IF(Sheet!EQ54=Sheet!EQ$2,1,""))))</f>
        <v>1</v>
      </c>
      <c r="ER54" s="58">
        <f>IF(Sheet!ER54=Sheet!ER$2,4,IF(Sheet!ES54=Sheet!ES$2,3,IF(Sheet!ET54=Sheet!ET$2,2,IF(Sheet!EU54=Sheet!EU$2,1,""))))</f>
        <v>4</v>
      </c>
      <c r="EV54" s="58">
        <f>IF(Sheet!EV54=Sheet!EV$2,4,IF(Sheet!EW54=Sheet!EW$2,3,IF(Sheet!EX54=Sheet!EX$2,2,IF(Sheet!EY54=Sheet!EY$2,1,""))))</f>
        <v>4</v>
      </c>
      <c r="EZ54" s="58">
        <f>IF(Sheet!EZ54=Sheet!EZ$2,4,IF(Sheet!FA54=Sheet!FA$2,3,IF(Sheet!FB54=Sheet!FB$2,2,IF(Sheet!FC54=Sheet!FC$2,1,""))))</f>
        <v>3</v>
      </c>
      <c r="FD54" s="58">
        <f>IF(Sheet!FD54=Sheet!FD$2,4,IF(Sheet!FE54=Sheet!FE$2,3,IF(Sheet!FF54=Sheet!FF$2,2,IF(Sheet!FG54=Sheet!FG$2,1,""))))</f>
        <v>1</v>
      </c>
      <c r="FH54" s="58">
        <f>IF(Sheet!FH54=Sheet!FH$2,4,IF(Sheet!FI54=Sheet!FI$2,3,IF(Sheet!FJ54=Sheet!FJ$2,2,IF(Sheet!FK54=Sheet!FK$2,1,""))))</f>
        <v>1</v>
      </c>
      <c r="FL54" s="58">
        <f>IF(Sheet!FL54=Sheet!FL$2,4,IF(Sheet!FM54=Sheet!FM$2,3,IF(Sheet!FN54=Sheet!FN$2,2,IF(Sheet!FO54=Sheet!FO$2,1,""))))</f>
        <v>4</v>
      </c>
    </row>
    <row r="55" spans="1:168">
      <c r="A55" t="str">
        <f>Sheet!A55</f>
        <v>RM001</v>
      </c>
      <c r="AT55" s="56">
        <f t="shared" si="0"/>
        <v>2.7419354838709675</v>
      </c>
      <c r="AV55" s="58">
        <f>IF(Sheet!AV55=Sheet!AV$2,4,IF(Sheet!AW55=Sheet!AW$2,3,IF(Sheet!AX55=Sheet!AX$2,2,IF(Sheet!AY55=Sheet!AY$2,1,""))))</f>
        <v>1</v>
      </c>
      <c r="AZ55" s="58">
        <f>IF(Sheet!AZ55=Sheet!AZ$2,4,IF(Sheet!BA55=Sheet!BA$2,3,IF(Sheet!BB55=Sheet!BB$2,2,IF(Sheet!BC55=Sheet!BC$2,1,""))))</f>
        <v>3</v>
      </c>
      <c r="BD55" s="58">
        <f>IF(Sheet!BD55=Sheet!BD$2,4,IF(Sheet!BE55=Sheet!BE$2,3,IF(Sheet!BF55=Sheet!BF$2,2,IF(Sheet!BG55=Sheet!BG$2,1,""))))</f>
        <v>2</v>
      </c>
      <c r="BH55" s="58">
        <f>IF(Sheet!BH55=Sheet!BH$2,4,IF(Sheet!BI55=Sheet!BI$2,3,IF(Sheet!BJ55=Sheet!BJ$2,2,IF(Sheet!BK55=Sheet!BK$2,1,""))))</f>
        <v>2</v>
      </c>
      <c r="BL55" s="58">
        <f>IF(Sheet!BL55=Sheet!BL$2,4,IF(Sheet!BM55=Sheet!BM$2,3,IF(Sheet!BN55=Sheet!BN$2,2,IF(Sheet!BO55=Sheet!BO$2,1,""))))</f>
        <v>3</v>
      </c>
      <c r="BP55" s="58">
        <f>IF(Sheet!BP55=Sheet!BP$2,4,IF(Sheet!BQ55=Sheet!BQ$2,3,IF(Sheet!BR55=Sheet!BR$2,2,IF(Sheet!BS55=Sheet!BS$2,1,""))))</f>
        <v>2</v>
      </c>
      <c r="BT55" s="58">
        <f>IF(Sheet!BT55=Sheet!BT$2,4,IF(Sheet!BU55=Sheet!BU$2,3,IF(Sheet!BV55=Sheet!BV$2,2,IF(Sheet!BW55=Sheet!BW$2,1,""))))</f>
        <v>2</v>
      </c>
      <c r="BX55" s="58">
        <f>IF(Sheet!BX55=Sheet!BX$2,4,IF(Sheet!BY55=Sheet!BY$2,3,IF(Sheet!BZ55=Sheet!BZ$2,2,IF(Sheet!CA55=Sheet!CA$2,1,""))))</f>
        <v>3</v>
      </c>
      <c r="CB55" s="58">
        <f>IF(Sheet!CB55=Sheet!CB$2,4,IF(Sheet!CC55=Sheet!CC$2,3,IF(Sheet!CD55=Sheet!CD$2,2,IF(Sheet!CE55=Sheet!CE$2,1,""))))</f>
        <v>3</v>
      </c>
      <c r="CF55" s="58">
        <f>IF(Sheet!CF55=Sheet!CF$2,4,IF(Sheet!CG55=Sheet!CG$2,3,IF(Sheet!CH55=Sheet!CH$2,2,IF(Sheet!CI55=Sheet!CI$2,1,""))))</f>
        <v>2</v>
      </c>
      <c r="CJ55" s="58">
        <f>IF(Sheet!CJ55=Sheet!CJ$2,4,IF(Sheet!CK55=Sheet!CK$2,3,IF(Sheet!CL55=Sheet!CL$2,2,IF(Sheet!CM55=Sheet!CM$2,1,""))))</f>
        <v>4</v>
      </c>
      <c r="CN55" s="58">
        <f>IF(Sheet!CN55=Sheet!CN$2,4,IF(Sheet!CO55=Sheet!CO$2,3,IF(Sheet!CP55=Sheet!CP$2,2,IF(Sheet!CQ55=Sheet!CQ$2,1,""))))</f>
        <v>3</v>
      </c>
      <c r="CR55" s="58">
        <f>IF(Sheet!CR55=Sheet!CR$2,4,IF(Sheet!CS55=Sheet!CS$2,3,IF(Sheet!CT55=Sheet!CT$2,2,IF(Sheet!CU55=Sheet!CU$2,1,""))))</f>
        <v>4</v>
      </c>
      <c r="CV55" s="58">
        <f>IF(Sheet!CV55=Sheet!CV$2,4,IF(Sheet!CW55=Sheet!CW$2,3,IF(Sheet!CX55=Sheet!CX$2,2,IF(Sheet!CY55=Sheet!CY$2,1,""))))</f>
        <v>3</v>
      </c>
      <c r="CZ55" s="58">
        <f>IF(Sheet!CZ55=Sheet!CZ$2,4,IF(Sheet!DA55=Sheet!DA$2,3,IF(Sheet!DB55=Sheet!DB$2,2,IF(Sheet!DC55=Sheet!DC$2,1,""))))</f>
        <v>3</v>
      </c>
      <c r="DD55" s="58">
        <f>IF(Sheet!DD55=Sheet!DD$2,4,IF(Sheet!DE55=Sheet!DE$2,3,IF(Sheet!DF55=Sheet!DF$2,2,IF(Sheet!DG55=Sheet!DG$2,1,""))))</f>
        <v>4</v>
      </c>
      <c r="DH55" s="58">
        <f>IF(Sheet!DH55=Sheet!DH$2,4,IF(Sheet!DI55=Sheet!DI$2,3,IF(Sheet!DJ55=Sheet!DJ$2,2,IF(Sheet!DK55=Sheet!DK$2,1,""))))</f>
        <v>3</v>
      </c>
      <c r="DL55" s="58">
        <f>IF(Sheet!DL55=Sheet!DL$2,4,IF(Sheet!DM55=Sheet!DM$2,3,IF(Sheet!DN55=Sheet!DN$2,2,IF(Sheet!DO55=Sheet!DO$2,1,""))))</f>
        <v>2</v>
      </c>
      <c r="DP55" s="58">
        <f>IF(Sheet!DP55=Sheet!DP$2,4,IF(Sheet!DQ55=Sheet!DQ$2,3,IF(Sheet!DR55=Sheet!DR$2,2,IF(Sheet!DS55=Sheet!DS$2,1,""))))</f>
        <v>4</v>
      </c>
      <c r="DT55" s="58">
        <f>IF(Sheet!DT55=Sheet!DT$2,4,IF(Sheet!DU55=Sheet!DU$2,3,IF(Sheet!DV55=Sheet!DV$2,2,IF(Sheet!DW55=Sheet!DW$2,1,""))))</f>
        <v>2</v>
      </c>
      <c r="DX55" s="58">
        <f>IF(Sheet!DX55=Sheet!DX$2,4,IF(Sheet!DY55=Sheet!DY$2,3,IF(Sheet!DZ55=Sheet!DZ$2,2,IF(Sheet!EA55=Sheet!EA$2,1,""))))</f>
        <v>1</v>
      </c>
      <c r="EB55" s="58">
        <f>IF(Sheet!EB55=Sheet!EB$2,4,IF(Sheet!EC55=Sheet!EC$2,3,IF(Sheet!ED55=Sheet!ED$2,2,IF(Sheet!EE55=Sheet!EE$2,1,""))))</f>
        <v>2</v>
      </c>
      <c r="EF55" s="58">
        <f>IF(Sheet!EF55=Sheet!EF$2,4,IF(Sheet!EG55=Sheet!EG$2,3,IF(Sheet!EH55=Sheet!EH$2,2,IF(Sheet!EI55=Sheet!EI$2,1,""))))</f>
        <v>4</v>
      </c>
      <c r="EJ55" s="58">
        <f>IF(Sheet!EJ55=Sheet!EJ$2,4,IF(Sheet!EK55=Sheet!EK$2,3,IF(Sheet!EL55=Sheet!EL$2,2,IF(Sheet!EM55=Sheet!EM$2,1,""))))</f>
        <v>2</v>
      </c>
      <c r="EN55" s="58">
        <f>IF(Sheet!EN55=Sheet!EN$2,4,IF(Sheet!EO55=Sheet!EO$2,3,IF(Sheet!EP55=Sheet!EP$2,2,IF(Sheet!EQ55=Sheet!EQ$2,1,""))))</f>
        <v>2</v>
      </c>
      <c r="ER55" s="58">
        <f>IF(Sheet!ER55=Sheet!ER$2,4,IF(Sheet!ES55=Sheet!ES$2,3,IF(Sheet!ET55=Sheet!ET$2,2,IF(Sheet!EU55=Sheet!EU$2,1,""))))</f>
        <v>3</v>
      </c>
      <c r="EV55" s="58">
        <f>IF(Sheet!EV55=Sheet!EV$2,4,IF(Sheet!EW55=Sheet!EW$2,3,IF(Sheet!EX55=Sheet!EX$2,2,IF(Sheet!EY55=Sheet!EY$2,1,""))))</f>
        <v>4</v>
      </c>
      <c r="EZ55" s="58">
        <f>IF(Sheet!EZ55=Sheet!EZ$2,4,IF(Sheet!FA55=Sheet!FA$2,3,IF(Sheet!FB55=Sheet!FB$2,2,IF(Sheet!FC55=Sheet!FC$2,1,""))))</f>
        <v>2</v>
      </c>
      <c r="FD55" s="58">
        <f>IF(Sheet!FD55=Sheet!FD$2,4,IF(Sheet!FE55=Sheet!FE$2,3,IF(Sheet!FF55=Sheet!FF$2,2,IF(Sheet!FG55=Sheet!FG$2,1,""))))</f>
        <v>3</v>
      </c>
      <c r="FH55" s="58">
        <f>IF(Sheet!FH55=Sheet!FH$2,4,IF(Sheet!FI55=Sheet!FI$2,3,IF(Sheet!FJ55=Sheet!FJ$2,2,IF(Sheet!FK55=Sheet!FK$2,1,""))))</f>
        <v>4</v>
      </c>
      <c r="FL55" s="58">
        <f>IF(Sheet!FL55=Sheet!FL$2,4,IF(Sheet!FM55=Sheet!FM$2,3,IF(Sheet!FN55=Sheet!FN$2,2,IF(Sheet!FO55=Sheet!FO$2,1,""))))</f>
        <v>3</v>
      </c>
    </row>
    <row r="56" spans="1:168">
      <c r="A56" t="str">
        <f>Sheet!A56</f>
        <v>KO002</v>
      </c>
      <c r="AT56" s="56">
        <f t="shared" si="0"/>
        <v>2.5806451612903225</v>
      </c>
      <c r="AV56" s="58">
        <f>IF(Sheet!AV56=Sheet!AV$2,4,IF(Sheet!AW56=Sheet!AW$2,3,IF(Sheet!AX56=Sheet!AX$2,2,IF(Sheet!AY56=Sheet!AY$2,1,""))))</f>
        <v>2</v>
      </c>
      <c r="AZ56" s="58">
        <f>IF(Sheet!AZ56=Sheet!AZ$2,4,IF(Sheet!BA56=Sheet!BA$2,3,IF(Sheet!BB56=Sheet!BB$2,2,IF(Sheet!BC56=Sheet!BC$2,1,""))))</f>
        <v>3</v>
      </c>
      <c r="BD56" s="58">
        <f>IF(Sheet!BD56=Sheet!BD$2,4,IF(Sheet!BE56=Sheet!BE$2,3,IF(Sheet!BF56=Sheet!BF$2,2,IF(Sheet!BG56=Sheet!BG$2,1,""))))</f>
        <v>2</v>
      </c>
      <c r="BH56" s="58">
        <f>IF(Sheet!BH56=Sheet!BH$2,4,IF(Sheet!BI56=Sheet!BI$2,3,IF(Sheet!BJ56=Sheet!BJ$2,2,IF(Sheet!BK56=Sheet!BK$2,1,""))))</f>
        <v>2</v>
      </c>
      <c r="BL56" s="58">
        <f>IF(Sheet!BL56=Sheet!BL$2,4,IF(Sheet!BM56=Sheet!BM$2,3,IF(Sheet!BN56=Sheet!BN$2,2,IF(Sheet!BO56=Sheet!BO$2,1,""))))</f>
        <v>3</v>
      </c>
      <c r="BP56" s="58">
        <f>IF(Sheet!BP56=Sheet!BP$2,4,IF(Sheet!BQ56=Sheet!BQ$2,3,IF(Sheet!BR56=Sheet!BR$2,2,IF(Sheet!BS56=Sheet!BS$2,1,""))))</f>
        <v>1</v>
      </c>
      <c r="BT56" s="58">
        <f>IF(Sheet!BT56=Sheet!BT$2,4,IF(Sheet!BU56=Sheet!BU$2,3,IF(Sheet!BV56=Sheet!BV$2,2,IF(Sheet!BW56=Sheet!BW$2,1,""))))</f>
        <v>3</v>
      </c>
      <c r="BX56" s="58">
        <f>IF(Sheet!BX56=Sheet!BX$2,4,IF(Sheet!BY56=Sheet!BY$2,3,IF(Sheet!BZ56=Sheet!BZ$2,2,IF(Sheet!CA56=Sheet!CA$2,1,""))))</f>
        <v>3</v>
      </c>
      <c r="CB56" s="58">
        <f>IF(Sheet!CB56=Sheet!CB$2,4,IF(Sheet!CC56=Sheet!CC$2,3,IF(Sheet!CD56=Sheet!CD$2,2,IF(Sheet!CE56=Sheet!CE$2,1,""))))</f>
        <v>2</v>
      </c>
      <c r="CF56" s="58">
        <f>IF(Sheet!CF56=Sheet!CF$2,4,IF(Sheet!CG56=Sheet!CG$2,3,IF(Sheet!CH56=Sheet!CH$2,2,IF(Sheet!CI56=Sheet!CI$2,1,""))))</f>
        <v>1</v>
      </c>
      <c r="CJ56" s="58">
        <f>IF(Sheet!CJ56=Sheet!CJ$2,4,IF(Sheet!CK56=Sheet!CK$2,3,IF(Sheet!CL56=Sheet!CL$2,2,IF(Sheet!CM56=Sheet!CM$2,1,""))))</f>
        <v>2</v>
      </c>
      <c r="CN56" s="58">
        <f>IF(Sheet!CN56=Sheet!CN$2,4,IF(Sheet!CO56=Sheet!CO$2,3,IF(Sheet!CP56=Sheet!CP$2,2,IF(Sheet!CQ56=Sheet!CQ$2,1,""))))</f>
        <v>4</v>
      </c>
      <c r="CR56" s="58">
        <f>IF(Sheet!CR56=Sheet!CR$2,4,IF(Sheet!CS56=Sheet!CS$2,3,IF(Sheet!CT56=Sheet!CT$2,2,IF(Sheet!CU56=Sheet!CU$2,1,""))))</f>
        <v>3</v>
      </c>
      <c r="CV56" s="58">
        <f>IF(Sheet!CV56=Sheet!CV$2,4,IF(Sheet!CW56=Sheet!CW$2,3,IF(Sheet!CX56=Sheet!CX$2,2,IF(Sheet!CY56=Sheet!CY$2,1,""))))</f>
        <v>3</v>
      </c>
      <c r="CZ56" s="58">
        <f>IF(Sheet!CZ56=Sheet!CZ$2,4,IF(Sheet!DA56=Sheet!DA$2,3,IF(Sheet!DB56=Sheet!DB$2,2,IF(Sheet!DC56=Sheet!DC$2,1,""))))</f>
        <v>2</v>
      </c>
      <c r="DD56" s="58">
        <f>IF(Sheet!DD56=Sheet!DD$2,4,IF(Sheet!DE56=Sheet!DE$2,3,IF(Sheet!DF56=Sheet!DF$2,2,IF(Sheet!DG56=Sheet!DG$2,1,""))))</f>
        <v>4</v>
      </c>
      <c r="DH56" s="58">
        <f>IF(Sheet!DH56=Sheet!DH$2,4,IF(Sheet!DI56=Sheet!DI$2,3,IF(Sheet!DJ56=Sheet!DJ$2,2,IF(Sheet!DK56=Sheet!DK$2,1,""))))</f>
        <v>4</v>
      </c>
      <c r="DL56" s="58">
        <f>IF(Sheet!DL56=Sheet!DL$2,4,IF(Sheet!DM56=Sheet!DM$2,3,IF(Sheet!DN56=Sheet!DN$2,2,IF(Sheet!DO56=Sheet!DO$2,1,""))))</f>
        <v>4</v>
      </c>
      <c r="DP56" s="58">
        <f>IF(Sheet!DP56=Sheet!DP$2,4,IF(Sheet!DQ56=Sheet!DQ$2,3,IF(Sheet!DR56=Sheet!DR$2,2,IF(Sheet!DS56=Sheet!DS$2,1,""))))</f>
        <v>3</v>
      </c>
      <c r="DT56" s="58">
        <f>IF(Sheet!DT56=Sheet!DT$2,4,IF(Sheet!DU56=Sheet!DU$2,3,IF(Sheet!DV56=Sheet!DV$2,2,IF(Sheet!DW56=Sheet!DW$2,1,""))))</f>
        <v>2</v>
      </c>
      <c r="DX56" s="58">
        <f>IF(Sheet!DX56=Sheet!DX$2,4,IF(Sheet!DY56=Sheet!DY$2,3,IF(Sheet!DZ56=Sheet!DZ$2,2,IF(Sheet!EA56=Sheet!EA$2,1,""))))</f>
        <v>1</v>
      </c>
      <c r="EB56" s="58">
        <f>IF(Sheet!EB56=Sheet!EB$2,4,IF(Sheet!EC56=Sheet!EC$2,3,IF(Sheet!ED56=Sheet!ED$2,2,IF(Sheet!EE56=Sheet!EE$2,1,""))))</f>
        <v>1</v>
      </c>
      <c r="EF56" s="58">
        <f>IF(Sheet!EF56=Sheet!EF$2,4,IF(Sheet!EG56=Sheet!EG$2,3,IF(Sheet!EH56=Sheet!EH$2,2,IF(Sheet!EI56=Sheet!EI$2,1,""))))</f>
        <v>3</v>
      </c>
      <c r="EJ56" s="58">
        <f>IF(Sheet!EJ56=Sheet!EJ$2,4,IF(Sheet!EK56=Sheet!EK$2,3,IF(Sheet!EL56=Sheet!EL$2,2,IF(Sheet!EM56=Sheet!EM$2,1,""))))</f>
        <v>3</v>
      </c>
      <c r="EN56" s="58">
        <f>IF(Sheet!EN56=Sheet!EN$2,4,IF(Sheet!EO56=Sheet!EO$2,3,IF(Sheet!EP56=Sheet!EP$2,2,IF(Sheet!EQ56=Sheet!EQ$2,1,""))))</f>
        <v>2</v>
      </c>
      <c r="ER56" s="58">
        <f>IF(Sheet!ER56=Sheet!ER$2,4,IF(Sheet!ES56=Sheet!ES$2,3,IF(Sheet!ET56=Sheet!ET$2,2,IF(Sheet!EU56=Sheet!EU$2,1,""))))</f>
        <v>2</v>
      </c>
      <c r="EV56" s="58">
        <f>IF(Sheet!EV56=Sheet!EV$2,4,IF(Sheet!EW56=Sheet!EW$2,3,IF(Sheet!EX56=Sheet!EX$2,2,IF(Sheet!EY56=Sheet!EY$2,1,""))))</f>
        <v>4</v>
      </c>
      <c r="EZ56" s="58">
        <f>IF(Sheet!EZ56=Sheet!EZ$2,4,IF(Sheet!FA56=Sheet!FA$2,3,IF(Sheet!FB56=Sheet!FB$2,2,IF(Sheet!FC56=Sheet!FC$2,1,""))))</f>
        <v>2</v>
      </c>
      <c r="FD56" s="58">
        <f>IF(Sheet!FD56=Sheet!FD$2,4,IF(Sheet!FE56=Sheet!FE$2,3,IF(Sheet!FF56=Sheet!FF$2,2,IF(Sheet!FG56=Sheet!FG$2,1,""))))</f>
        <v>2</v>
      </c>
      <c r="FH56" s="58">
        <f>IF(Sheet!FH56=Sheet!FH$2,4,IF(Sheet!FI56=Sheet!FI$2,3,IF(Sheet!FJ56=Sheet!FJ$2,2,IF(Sheet!FK56=Sheet!FK$2,1,""))))</f>
        <v>3</v>
      </c>
      <c r="FL56" s="58">
        <f>IF(Sheet!FL56=Sheet!FL$2,4,IF(Sheet!FM56=Sheet!FM$2,3,IF(Sheet!FN56=Sheet!FN$2,2,IF(Sheet!FO56=Sheet!FO$2,1,""))))</f>
        <v>4</v>
      </c>
    </row>
    <row r="57" spans="1:168">
      <c r="A57" t="str">
        <f>Sheet!A57</f>
        <v>Cu 001</v>
      </c>
      <c r="AT57" s="56">
        <f t="shared" si="0"/>
        <v>2.4516129032258065</v>
      </c>
      <c r="AV57" s="58">
        <f>IF(Sheet!AV57=Sheet!AV$2,4,IF(Sheet!AW57=Sheet!AW$2,3,IF(Sheet!AX57=Sheet!AX$2,2,IF(Sheet!AY57=Sheet!AY$2,1,""))))</f>
        <v>2</v>
      </c>
      <c r="AZ57" s="58">
        <f>IF(Sheet!AZ57=Sheet!AZ$2,4,IF(Sheet!BA57=Sheet!BA$2,3,IF(Sheet!BB57=Sheet!BB$2,2,IF(Sheet!BC57=Sheet!BC$2,1,""))))</f>
        <v>3</v>
      </c>
      <c r="BD57" s="58">
        <f>IF(Sheet!BD57=Sheet!BD$2,4,IF(Sheet!BE57=Sheet!BE$2,3,IF(Sheet!BF57=Sheet!BF$2,2,IF(Sheet!BG57=Sheet!BG$2,1,""))))</f>
        <v>3</v>
      </c>
      <c r="BH57" s="58">
        <f>IF(Sheet!BH57=Sheet!BH$2,4,IF(Sheet!BI57=Sheet!BI$2,3,IF(Sheet!BJ57=Sheet!BJ$2,2,IF(Sheet!BK57=Sheet!BK$2,1,""))))</f>
        <v>3</v>
      </c>
      <c r="BL57" s="58">
        <f>IF(Sheet!BL57=Sheet!BL$2,4,IF(Sheet!BM57=Sheet!BM$2,3,IF(Sheet!BN57=Sheet!BN$2,2,IF(Sheet!BO57=Sheet!BO$2,1,""))))</f>
        <v>2</v>
      </c>
      <c r="BP57" s="58">
        <f>IF(Sheet!BP57=Sheet!BP$2,4,IF(Sheet!BQ57=Sheet!BQ$2,3,IF(Sheet!BR57=Sheet!BR$2,2,IF(Sheet!BS57=Sheet!BS$2,1,""))))</f>
        <v>2</v>
      </c>
      <c r="BT57" s="58">
        <f>IF(Sheet!BT57=Sheet!BT$2,4,IF(Sheet!BU57=Sheet!BU$2,3,IF(Sheet!BV57=Sheet!BV$2,2,IF(Sheet!BW57=Sheet!BW$2,1,""))))</f>
        <v>3</v>
      </c>
      <c r="BX57" s="58">
        <f>IF(Sheet!BX57=Sheet!BX$2,4,IF(Sheet!BY57=Sheet!BY$2,3,IF(Sheet!BZ57=Sheet!BZ$2,2,IF(Sheet!CA57=Sheet!CA$2,1,""))))</f>
        <v>3</v>
      </c>
      <c r="CB57" s="58">
        <f>IF(Sheet!CB57=Sheet!CB$2,4,IF(Sheet!CC57=Sheet!CC$2,3,IF(Sheet!CD57=Sheet!CD$2,2,IF(Sheet!CE57=Sheet!CE$2,1,""))))</f>
        <v>3</v>
      </c>
      <c r="CF57" s="58">
        <f>IF(Sheet!CF57=Sheet!CF$2,4,IF(Sheet!CG57=Sheet!CG$2,3,IF(Sheet!CH57=Sheet!CH$2,2,IF(Sheet!CI57=Sheet!CI$2,1,""))))</f>
        <v>2</v>
      </c>
      <c r="CJ57" s="58">
        <f>IF(Sheet!CJ57=Sheet!CJ$2,4,IF(Sheet!CK57=Sheet!CK$2,3,IF(Sheet!CL57=Sheet!CL$2,2,IF(Sheet!CM57=Sheet!CM$2,1,""))))</f>
        <v>3</v>
      </c>
      <c r="CN57" s="58">
        <f>IF(Sheet!CN57=Sheet!CN$2,4,IF(Sheet!CO57=Sheet!CO$2,3,IF(Sheet!CP57=Sheet!CP$2,2,IF(Sheet!CQ57=Sheet!CQ$2,1,""))))</f>
        <v>3</v>
      </c>
      <c r="CR57" s="58">
        <f>IF(Sheet!CR57=Sheet!CR$2,4,IF(Sheet!CS57=Sheet!CS$2,3,IF(Sheet!CT57=Sheet!CT$2,2,IF(Sheet!CU57=Sheet!CU$2,1,""))))</f>
        <v>3</v>
      </c>
      <c r="CV57" s="58">
        <f>IF(Sheet!CV57=Sheet!CV$2,4,IF(Sheet!CW57=Sheet!CW$2,3,IF(Sheet!CX57=Sheet!CX$2,2,IF(Sheet!CY57=Sheet!CY$2,1,""))))</f>
        <v>1</v>
      </c>
      <c r="CZ57" s="58">
        <f>IF(Sheet!CZ57=Sheet!CZ$2,4,IF(Sheet!DA57=Sheet!DA$2,3,IF(Sheet!DB57=Sheet!DB$2,2,IF(Sheet!DC57=Sheet!DC$2,1,""))))</f>
        <v>1</v>
      </c>
      <c r="DD57" s="58">
        <f>IF(Sheet!DD57=Sheet!DD$2,4,IF(Sheet!DE57=Sheet!DE$2,3,IF(Sheet!DF57=Sheet!DF$2,2,IF(Sheet!DG57=Sheet!DG$2,1,""))))</f>
        <v>3</v>
      </c>
      <c r="DH57" s="58">
        <f>IF(Sheet!DH57=Sheet!DH$2,4,IF(Sheet!DI57=Sheet!DI$2,3,IF(Sheet!DJ57=Sheet!DJ$2,2,IF(Sheet!DK57=Sheet!DK$2,1,""))))</f>
        <v>3</v>
      </c>
      <c r="DL57" s="58">
        <f>IF(Sheet!DL57=Sheet!DL$2,4,IF(Sheet!DM57=Sheet!DM$2,3,IF(Sheet!DN57=Sheet!DN$2,2,IF(Sheet!DO57=Sheet!DO$2,1,""))))</f>
        <v>3</v>
      </c>
      <c r="DP57" s="58">
        <f>IF(Sheet!DP57=Sheet!DP$2,4,IF(Sheet!DQ57=Sheet!DQ$2,3,IF(Sheet!DR57=Sheet!DR$2,2,IF(Sheet!DS57=Sheet!DS$2,1,""))))</f>
        <v>4</v>
      </c>
      <c r="DT57" s="58">
        <f>IF(Sheet!DT57=Sheet!DT$2,4,IF(Sheet!DU57=Sheet!DU$2,3,IF(Sheet!DV57=Sheet!DV$2,2,IF(Sheet!DW57=Sheet!DW$2,1,""))))</f>
        <v>3</v>
      </c>
      <c r="DX57" s="58">
        <f>IF(Sheet!DX57=Sheet!DX$2,4,IF(Sheet!DY57=Sheet!DY$2,3,IF(Sheet!DZ57=Sheet!DZ$2,2,IF(Sheet!EA57=Sheet!EA$2,1,""))))</f>
        <v>2</v>
      </c>
      <c r="EB57" s="58">
        <f>IF(Sheet!EB57=Sheet!EB$2,4,IF(Sheet!EC57=Sheet!EC$2,3,IF(Sheet!ED57=Sheet!ED$2,2,IF(Sheet!EE57=Sheet!EE$2,1,""))))</f>
        <v>1</v>
      </c>
      <c r="EF57" s="58">
        <f>IF(Sheet!EF57=Sheet!EF$2,4,IF(Sheet!EG57=Sheet!EG$2,3,IF(Sheet!EH57=Sheet!EH$2,2,IF(Sheet!EI57=Sheet!EI$2,1,""))))</f>
        <v>1</v>
      </c>
      <c r="EJ57" s="58">
        <f>IF(Sheet!EJ57=Sheet!EJ$2,4,IF(Sheet!EK57=Sheet!EK$2,3,IF(Sheet!EL57=Sheet!EL$2,2,IF(Sheet!EM57=Sheet!EM$2,1,""))))</f>
        <v>2</v>
      </c>
      <c r="EN57" s="58">
        <f>IF(Sheet!EN57=Sheet!EN$2,4,IF(Sheet!EO57=Sheet!EO$2,3,IF(Sheet!EP57=Sheet!EP$2,2,IF(Sheet!EQ57=Sheet!EQ$2,1,""))))</f>
        <v>1</v>
      </c>
      <c r="ER57" s="58">
        <f>IF(Sheet!ER57=Sheet!ER$2,4,IF(Sheet!ES57=Sheet!ES$2,3,IF(Sheet!ET57=Sheet!ET$2,2,IF(Sheet!EU57=Sheet!EU$2,1,""))))</f>
        <v>3</v>
      </c>
      <c r="EV57" s="58">
        <f>IF(Sheet!EV57=Sheet!EV$2,4,IF(Sheet!EW57=Sheet!EW$2,3,IF(Sheet!EX57=Sheet!EX$2,2,IF(Sheet!EY57=Sheet!EY$2,1,""))))</f>
        <v>4</v>
      </c>
      <c r="EZ57" s="58">
        <f>IF(Sheet!EZ57=Sheet!EZ$2,4,IF(Sheet!FA57=Sheet!FA$2,3,IF(Sheet!FB57=Sheet!FB$2,2,IF(Sheet!FC57=Sheet!FC$2,1,""))))</f>
        <v>2</v>
      </c>
      <c r="FD57" s="58">
        <f>IF(Sheet!FD57=Sheet!FD$2,4,IF(Sheet!FE57=Sheet!FE$2,3,IF(Sheet!FF57=Sheet!FF$2,2,IF(Sheet!FG57=Sheet!FG$2,1,""))))</f>
        <v>1</v>
      </c>
      <c r="FH57" s="58">
        <f>IF(Sheet!FH57=Sheet!FH$2,4,IF(Sheet!FI57=Sheet!FI$2,3,IF(Sheet!FJ57=Sheet!FJ$2,2,IF(Sheet!FK57=Sheet!FK$2,1,""))))</f>
        <v>3</v>
      </c>
      <c r="FL57" s="58">
        <f>IF(Sheet!FL57=Sheet!FL$2,4,IF(Sheet!FM57=Sheet!FM$2,3,IF(Sheet!FN57=Sheet!FN$2,2,IF(Sheet!FO57=Sheet!FO$2,1,""))))</f>
        <v>3</v>
      </c>
    </row>
    <row r="58" spans="1:168">
      <c r="A58" t="str">
        <f>Sheet!A58</f>
        <v>XO001</v>
      </c>
      <c r="AT58" s="56">
        <f t="shared" si="0"/>
        <v>1.7419354838709677</v>
      </c>
      <c r="AV58" s="58">
        <f>IF(Sheet!AV58=Sheet!AV$2,4,IF(Sheet!AW58=Sheet!AW$2,3,IF(Sheet!AX58=Sheet!AX$2,2,IF(Sheet!AY58=Sheet!AY$2,1,""))))</f>
        <v>4</v>
      </c>
      <c r="AZ58" s="58">
        <f>IF(Sheet!AZ58=Sheet!AZ$2,4,IF(Sheet!BA58=Sheet!BA$2,3,IF(Sheet!BB58=Sheet!BB$2,2,IF(Sheet!BC58=Sheet!BC$2,1,""))))</f>
        <v>2</v>
      </c>
      <c r="BD58" s="58">
        <f>IF(Sheet!BD58=Sheet!BD$2,4,IF(Sheet!BE58=Sheet!BE$2,3,IF(Sheet!BF58=Sheet!BF$2,2,IF(Sheet!BG58=Sheet!BG$2,1,""))))</f>
        <v>1</v>
      </c>
      <c r="BH58" s="58">
        <f>IF(Sheet!BH58=Sheet!BH$2,4,IF(Sheet!BI58=Sheet!BI$2,3,IF(Sheet!BJ58=Sheet!BJ$2,2,IF(Sheet!BK58=Sheet!BK$2,1,""))))</f>
        <v>2</v>
      </c>
      <c r="BL58" s="58">
        <f>IF(Sheet!BL58=Sheet!BL$2,4,IF(Sheet!BM58=Sheet!BM$2,3,IF(Sheet!BN58=Sheet!BN$2,2,IF(Sheet!BO58=Sheet!BO$2,1,""))))</f>
        <v>1</v>
      </c>
      <c r="BP58" s="58">
        <f>IF(Sheet!BP58=Sheet!BP$2,4,IF(Sheet!BQ58=Sheet!BQ$2,3,IF(Sheet!BR58=Sheet!BR$2,2,IF(Sheet!BS58=Sheet!BS$2,1,""))))</f>
        <v>1</v>
      </c>
      <c r="BT58" s="58">
        <f>IF(Sheet!BT58=Sheet!BT$2,4,IF(Sheet!BU58=Sheet!BU$2,3,IF(Sheet!BV58=Sheet!BV$2,2,IF(Sheet!BW58=Sheet!BW$2,1,""))))</f>
        <v>1</v>
      </c>
      <c r="BX58" s="58">
        <f>IF(Sheet!BX58=Sheet!BX$2,4,IF(Sheet!BY58=Sheet!BY$2,3,IF(Sheet!BZ58=Sheet!BZ$2,2,IF(Sheet!CA58=Sheet!CA$2,1,""))))</f>
        <v>2</v>
      </c>
      <c r="CB58" s="58">
        <f>IF(Sheet!CB58=Sheet!CB$2,4,IF(Sheet!CC58=Sheet!CC$2,3,IF(Sheet!CD58=Sheet!CD$2,2,IF(Sheet!CE58=Sheet!CE$2,1,""))))</f>
        <v>2</v>
      </c>
      <c r="CF58" s="58">
        <f>IF(Sheet!CF58=Sheet!CF$2,4,IF(Sheet!CG58=Sheet!CG$2,3,IF(Sheet!CH58=Sheet!CH$2,2,IF(Sheet!CI58=Sheet!CI$2,1,""))))</f>
        <v>1</v>
      </c>
      <c r="CJ58" s="58">
        <f>IF(Sheet!CJ58=Sheet!CJ$2,4,IF(Sheet!CK58=Sheet!CK$2,3,IF(Sheet!CL58=Sheet!CL$2,2,IF(Sheet!CM58=Sheet!CM$2,1,""))))</f>
        <v>2</v>
      </c>
      <c r="CN58" s="58">
        <f>IF(Sheet!CN58=Sheet!CN$2,4,IF(Sheet!CO58=Sheet!CO$2,3,IF(Sheet!CP58=Sheet!CP$2,2,IF(Sheet!CQ58=Sheet!CQ$2,1,""))))</f>
        <v>1</v>
      </c>
      <c r="CR58" s="58">
        <f>IF(Sheet!CR58=Sheet!CR$2,4,IF(Sheet!CS58=Sheet!CS$2,3,IF(Sheet!CT58=Sheet!CT$2,2,IF(Sheet!CU58=Sheet!CU$2,1,""))))</f>
        <v>2</v>
      </c>
      <c r="CV58" s="58">
        <f>IF(Sheet!CV58=Sheet!CV$2,4,IF(Sheet!CW58=Sheet!CW$2,3,IF(Sheet!CX58=Sheet!CX$2,2,IF(Sheet!CY58=Sheet!CY$2,1,""))))</f>
        <v>2</v>
      </c>
      <c r="CZ58" s="58">
        <f>IF(Sheet!CZ58=Sheet!CZ$2,4,IF(Sheet!DA58=Sheet!DA$2,3,IF(Sheet!DB58=Sheet!DB$2,2,IF(Sheet!DC58=Sheet!DC$2,1,""))))</f>
        <v>1</v>
      </c>
      <c r="DD58" s="58">
        <f>IF(Sheet!DD58=Sheet!DD$2,4,IF(Sheet!DE58=Sheet!DE$2,3,IF(Sheet!DF58=Sheet!DF$2,2,IF(Sheet!DG58=Sheet!DG$2,1,""))))</f>
        <v>3</v>
      </c>
      <c r="DH58" s="58">
        <f>IF(Sheet!DH58=Sheet!DH$2,4,IF(Sheet!DI58=Sheet!DI$2,3,IF(Sheet!DJ58=Sheet!DJ$2,2,IF(Sheet!DK58=Sheet!DK$2,1,""))))</f>
        <v>3</v>
      </c>
      <c r="DL58" s="58">
        <f>IF(Sheet!DL58=Sheet!DL$2,4,IF(Sheet!DM58=Sheet!DM$2,3,IF(Sheet!DN58=Sheet!DN$2,2,IF(Sheet!DO58=Sheet!DO$2,1,""))))</f>
        <v>3</v>
      </c>
      <c r="DP58" s="58">
        <f>IF(Sheet!DP58=Sheet!DP$2,4,IF(Sheet!DQ58=Sheet!DQ$2,3,IF(Sheet!DR58=Sheet!DR$2,2,IF(Sheet!DS58=Sheet!DS$2,1,""))))</f>
        <v>2</v>
      </c>
      <c r="DT58" s="58">
        <f>IF(Sheet!DT58=Sheet!DT$2,4,IF(Sheet!DU58=Sheet!DU$2,3,IF(Sheet!DV58=Sheet!DV$2,2,IF(Sheet!DW58=Sheet!DW$2,1,""))))</f>
        <v>1</v>
      </c>
      <c r="DX58" s="58">
        <f>IF(Sheet!DX58=Sheet!DX$2,4,IF(Sheet!DY58=Sheet!DY$2,3,IF(Sheet!DZ58=Sheet!DZ$2,2,IF(Sheet!EA58=Sheet!EA$2,1,""))))</f>
        <v>1</v>
      </c>
      <c r="EB58" s="58">
        <f>IF(Sheet!EB58=Sheet!EB$2,4,IF(Sheet!EC58=Sheet!EC$2,3,IF(Sheet!ED58=Sheet!ED$2,2,IF(Sheet!EE58=Sheet!EE$2,1,""))))</f>
        <v>2</v>
      </c>
      <c r="EF58" s="58">
        <f>IF(Sheet!EF58=Sheet!EF$2,4,IF(Sheet!EG58=Sheet!EG$2,3,IF(Sheet!EH58=Sheet!EH$2,2,IF(Sheet!EI58=Sheet!EI$2,1,""))))</f>
        <v>3</v>
      </c>
      <c r="EJ58" s="58">
        <f>IF(Sheet!EJ58=Sheet!EJ$2,4,IF(Sheet!EK58=Sheet!EK$2,3,IF(Sheet!EL58=Sheet!EL$2,2,IF(Sheet!EM58=Sheet!EM$2,1,""))))</f>
        <v>1</v>
      </c>
      <c r="EN58" s="58">
        <f>IF(Sheet!EN58=Sheet!EN$2,4,IF(Sheet!EO58=Sheet!EO$2,3,IF(Sheet!EP58=Sheet!EP$2,2,IF(Sheet!EQ58=Sheet!EQ$2,1,""))))</f>
        <v>1</v>
      </c>
      <c r="ER58" s="58">
        <f>IF(Sheet!ER58=Sheet!ER$2,4,IF(Sheet!ES58=Sheet!ES$2,3,IF(Sheet!ET58=Sheet!ET$2,2,IF(Sheet!EU58=Sheet!EU$2,1,""))))</f>
        <v>1</v>
      </c>
      <c r="EV58" s="58">
        <f>IF(Sheet!EV58=Sheet!EV$2,4,IF(Sheet!EW58=Sheet!EW$2,3,IF(Sheet!EX58=Sheet!EX$2,2,IF(Sheet!EY58=Sheet!EY$2,1,""))))</f>
        <v>2</v>
      </c>
      <c r="EZ58" s="58">
        <f>IF(Sheet!EZ58=Sheet!EZ$2,4,IF(Sheet!FA58=Sheet!FA$2,3,IF(Sheet!FB58=Sheet!FB$2,2,IF(Sheet!FC58=Sheet!FC$2,1,""))))</f>
        <v>1</v>
      </c>
      <c r="FD58" s="58">
        <f>IF(Sheet!FD58=Sheet!FD$2,4,IF(Sheet!FE58=Sheet!FE$2,3,IF(Sheet!FF58=Sheet!FF$2,2,IF(Sheet!FG58=Sheet!FG$2,1,""))))</f>
        <v>1</v>
      </c>
      <c r="FH58" s="58">
        <f>IF(Sheet!FH58=Sheet!FH$2,4,IF(Sheet!FI58=Sheet!FI$2,3,IF(Sheet!FJ58=Sheet!FJ$2,2,IF(Sheet!FK58=Sheet!FK$2,1,""))))</f>
        <v>1</v>
      </c>
      <c r="FL58" s="58">
        <f>IF(Sheet!FL58=Sheet!FL$2,4,IF(Sheet!FM58=Sheet!FM$2,3,IF(Sheet!FN58=Sheet!FN$2,2,IF(Sheet!FO58=Sheet!FO$2,1,""))))</f>
        <v>3</v>
      </c>
    </row>
    <row r="59" spans="1:168">
      <c r="A59" t="str">
        <f>Sheet!A59</f>
        <v>CN001</v>
      </c>
      <c r="AT59" s="56">
        <f t="shared" si="0"/>
        <v>2.838709677419355</v>
      </c>
      <c r="AV59" s="58">
        <f>IF(Sheet!AV59=Sheet!AV$2,4,IF(Sheet!AW59=Sheet!AW$2,3,IF(Sheet!AX59=Sheet!AX$2,2,IF(Sheet!AY59=Sheet!AY$2,1,""))))</f>
        <v>2</v>
      </c>
      <c r="AZ59" s="58">
        <f>IF(Sheet!AZ59=Sheet!AZ$2,4,IF(Sheet!BA59=Sheet!BA$2,3,IF(Sheet!BB59=Sheet!BB$2,2,IF(Sheet!BC59=Sheet!BC$2,1,""))))</f>
        <v>3</v>
      </c>
      <c r="BD59" s="58">
        <f>IF(Sheet!BD59=Sheet!BD$2,4,IF(Sheet!BE59=Sheet!BE$2,3,IF(Sheet!BF59=Sheet!BF$2,2,IF(Sheet!BG59=Sheet!BG$2,1,""))))</f>
        <v>2</v>
      </c>
      <c r="BH59" s="58">
        <f>IF(Sheet!BH59=Sheet!BH$2,4,IF(Sheet!BI59=Sheet!BI$2,3,IF(Sheet!BJ59=Sheet!BJ$2,2,IF(Sheet!BK59=Sheet!BK$2,1,""))))</f>
        <v>3</v>
      </c>
      <c r="BL59" s="58">
        <f>IF(Sheet!BL59=Sheet!BL$2,4,IF(Sheet!BM59=Sheet!BM$2,3,IF(Sheet!BN59=Sheet!BN$2,2,IF(Sheet!BO59=Sheet!BO$2,1,""))))</f>
        <v>3</v>
      </c>
      <c r="BP59" s="58">
        <f>IF(Sheet!BP59=Sheet!BP$2,4,IF(Sheet!BQ59=Sheet!BQ$2,3,IF(Sheet!BR59=Sheet!BR$2,2,IF(Sheet!BS59=Sheet!BS$2,1,""))))</f>
        <v>1</v>
      </c>
      <c r="BT59" s="58">
        <f>IF(Sheet!BT59=Sheet!BT$2,4,IF(Sheet!BU59=Sheet!BU$2,3,IF(Sheet!BV59=Sheet!BV$2,2,IF(Sheet!BW59=Sheet!BW$2,1,""))))</f>
        <v>2</v>
      </c>
      <c r="BX59" s="58">
        <f>IF(Sheet!BX59=Sheet!BX$2,4,IF(Sheet!BY59=Sheet!BY$2,3,IF(Sheet!BZ59=Sheet!BZ$2,2,IF(Sheet!CA59=Sheet!CA$2,1,""))))</f>
        <v>3</v>
      </c>
      <c r="CB59" s="58">
        <f>IF(Sheet!CB59=Sheet!CB$2,4,IF(Sheet!CC59=Sheet!CC$2,3,IF(Sheet!CD59=Sheet!CD$2,2,IF(Sheet!CE59=Sheet!CE$2,1,""))))</f>
        <v>3</v>
      </c>
      <c r="CF59" s="58">
        <f>IF(Sheet!CF59=Sheet!CF$2,4,IF(Sheet!CG59=Sheet!CG$2,3,IF(Sheet!CH59=Sheet!CH$2,2,IF(Sheet!CI59=Sheet!CI$2,1,""))))</f>
        <v>2</v>
      </c>
      <c r="CJ59" s="58">
        <f>IF(Sheet!CJ59=Sheet!CJ$2,4,IF(Sheet!CK59=Sheet!CK$2,3,IF(Sheet!CL59=Sheet!CL$2,2,IF(Sheet!CM59=Sheet!CM$2,1,""))))</f>
        <v>3</v>
      </c>
      <c r="CN59" s="58">
        <f>IF(Sheet!CN59=Sheet!CN$2,4,IF(Sheet!CO59=Sheet!CO$2,3,IF(Sheet!CP59=Sheet!CP$2,2,IF(Sheet!CQ59=Sheet!CQ$2,1,""))))</f>
        <v>4</v>
      </c>
      <c r="CR59" s="58">
        <f>IF(Sheet!CR59=Sheet!CR$2,4,IF(Sheet!CS59=Sheet!CS$2,3,IF(Sheet!CT59=Sheet!CT$2,2,IF(Sheet!CU59=Sheet!CU$2,1,""))))</f>
        <v>3</v>
      </c>
      <c r="CV59" s="58">
        <f>IF(Sheet!CV59=Sheet!CV$2,4,IF(Sheet!CW59=Sheet!CW$2,3,IF(Sheet!CX59=Sheet!CX$2,2,IF(Sheet!CY59=Sheet!CY$2,1,""))))</f>
        <v>4</v>
      </c>
      <c r="CZ59" s="58">
        <f>IF(Sheet!CZ59=Sheet!CZ$2,4,IF(Sheet!DA59=Sheet!DA$2,3,IF(Sheet!DB59=Sheet!DB$2,2,IF(Sheet!DC59=Sheet!DC$2,1,""))))</f>
        <v>4</v>
      </c>
      <c r="DD59" s="58">
        <f>IF(Sheet!DD59=Sheet!DD$2,4,IF(Sheet!DE59=Sheet!DE$2,3,IF(Sheet!DF59=Sheet!DF$2,2,IF(Sheet!DG59=Sheet!DG$2,1,""))))</f>
        <v>4</v>
      </c>
      <c r="DH59" s="58">
        <f>IF(Sheet!DH59=Sheet!DH$2,4,IF(Sheet!DI59=Sheet!DI$2,3,IF(Sheet!DJ59=Sheet!DJ$2,2,IF(Sheet!DK59=Sheet!DK$2,1,""))))</f>
        <v>3</v>
      </c>
      <c r="DL59" s="58">
        <f>IF(Sheet!DL59=Sheet!DL$2,4,IF(Sheet!DM59=Sheet!DM$2,3,IF(Sheet!DN59=Sheet!DN$2,2,IF(Sheet!DO59=Sheet!DO$2,1,""))))</f>
        <v>3</v>
      </c>
      <c r="DP59" s="58">
        <f>IF(Sheet!DP59=Sheet!DP$2,4,IF(Sheet!DQ59=Sheet!DQ$2,3,IF(Sheet!DR59=Sheet!DR$2,2,IF(Sheet!DS59=Sheet!DS$2,1,""))))</f>
        <v>2</v>
      </c>
      <c r="DT59" s="58">
        <f>IF(Sheet!DT59=Sheet!DT$2,4,IF(Sheet!DU59=Sheet!DU$2,3,IF(Sheet!DV59=Sheet!DV$2,2,IF(Sheet!DW59=Sheet!DW$2,1,""))))</f>
        <v>3</v>
      </c>
      <c r="DX59" s="58">
        <f>IF(Sheet!DX59=Sheet!DX$2,4,IF(Sheet!DY59=Sheet!DY$2,3,IF(Sheet!DZ59=Sheet!DZ$2,2,IF(Sheet!EA59=Sheet!EA$2,1,""))))</f>
        <v>3</v>
      </c>
      <c r="EB59" s="58">
        <f>IF(Sheet!EB59=Sheet!EB$2,4,IF(Sheet!EC59=Sheet!EC$2,3,IF(Sheet!ED59=Sheet!ED$2,2,IF(Sheet!EE59=Sheet!EE$2,1,""))))</f>
        <v>1</v>
      </c>
      <c r="EF59" s="58">
        <f>IF(Sheet!EF59=Sheet!EF$2,4,IF(Sheet!EG59=Sheet!EG$2,3,IF(Sheet!EH59=Sheet!EH$2,2,IF(Sheet!EI59=Sheet!EI$2,1,""))))</f>
        <v>1</v>
      </c>
      <c r="EJ59" s="58">
        <f>IF(Sheet!EJ59=Sheet!EJ$2,4,IF(Sheet!EK59=Sheet!EK$2,3,IF(Sheet!EL59=Sheet!EL$2,2,IF(Sheet!EM59=Sheet!EM$2,1,""))))</f>
        <v>4</v>
      </c>
      <c r="EN59" s="58">
        <f>IF(Sheet!EN59=Sheet!EN$2,4,IF(Sheet!EO59=Sheet!EO$2,3,IF(Sheet!EP59=Sheet!EP$2,2,IF(Sheet!EQ59=Sheet!EQ$2,1,""))))</f>
        <v>3</v>
      </c>
      <c r="ER59" s="58">
        <f>IF(Sheet!ER59=Sheet!ER$2,4,IF(Sheet!ES59=Sheet!ES$2,3,IF(Sheet!ET59=Sheet!ET$2,2,IF(Sheet!EU59=Sheet!EU$2,1,""))))</f>
        <v>2</v>
      </c>
      <c r="EV59" s="58">
        <f>IF(Sheet!EV59=Sheet!EV$2,4,IF(Sheet!EW59=Sheet!EW$2,3,IF(Sheet!EX59=Sheet!EX$2,2,IF(Sheet!EY59=Sheet!EY$2,1,""))))</f>
        <v>3</v>
      </c>
      <c r="EZ59" s="58">
        <f>IF(Sheet!EZ59=Sheet!EZ$2,4,IF(Sheet!FA59=Sheet!FA$2,3,IF(Sheet!FB59=Sheet!FB$2,2,IF(Sheet!FC59=Sheet!FC$2,1,""))))</f>
        <v>3</v>
      </c>
      <c r="FD59" s="58">
        <f>IF(Sheet!FD59=Sheet!FD$2,4,IF(Sheet!FE59=Sheet!FE$2,3,IF(Sheet!FF59=Sheet!FF$2,2,IF(Sheet!FG59=Sheet!FG$2,1,""))))</f>
        <v>3</v>
      </c>
      <c r="FH59" s="58">
        <f>IF(Sheet!FH59=Sheet!FH$2,4,IF(Sheet!FI59=Sheet!FI$2,3,IF(Sheet!FJ59=Sheet!FJ$2,2,IF(Sheet!FK59=Sheet!FK$2,1,""))))</f>
        <v>4</v>
      </c>
      <c r="FL59" s="58">
        <f>IF(Sheet!FL59=Sheet!FL$2,4,IF(Sheet!FM59=Sheet!FM$2,3,IF(Sheet!FN59=Sheet!FN$2,2,IF(Sheet!FO59=Sheet!FO$2,1,""))))</f>
        <v>4</v>
      </c>
    </row>
    <row r="60" spans="1:168">
      <c r="A60" t="str">
        <f>Sheet!A60</f>
        <v>CR001</v>
      </c>
      <c r="AT60" s="56">
        <f t="shared" si="0"/>
        <v>2.3870967741935485</v>
      </c>
      <c r="AV60" s="58">
        <f>IF(Sheet!AV60=Sheet!AV$2,4,IF(Sheet!AW60=Sheet!AW$2,3,IF(Sheet!AX60=Sheet!AX$2,2,IF(Sheet!AY60=Sheet!AY$2,1,""))))</f>
        <v>3</v>
      </c>
      <c r="AZ60" s="58">
        <f>IF(Sheet!AZ60=Sheet!AZ$2,4,IF(Sheet!BA60=Sheet!BA$2,3,IF(Sheet!BB60=Sheet!BB$2,2,IF(Sheet!BC60=Sheet!BC$2,1,""))))</f>
        <v>3</v>
      </c>
      <c r="BD60" s="58">
        <f>IF(Sheet!BD60=Sheet!BD$2,4,IF(Sheet!BE60=Sheet!BE$2,3,IF(Sheet!BF60=Sheet!BF$2,2,IF(Sheet!BG60=Sheet!BG$2,1,""))))</f>
        <v>1</v>
      </c>
      <c r="BH60" s="58">
        <f>IF(Sheet!BH60=Sheet!BH$2,4,IF(Sheet!BI60=Sheet!BI$2,3,IF(Sheet!BJ60=Sheet!BJ$2,2,IF(Sheet!BK60=Sheet!BK$2,1,""))))</f>
        <v>3</v>
      </c>
      <c r="BL60" s="58">
        <f>IF(Sheet!BL60=Sheet!BL$2,4,IF(Sheet!BM60=Sheet!BM$2,3,IF(Sheet!BN60=Sheet!BN$2,2,IF(Sheet!BO60=Sheet!BO$2,1,""))))</f>
        <v>4</v>
      </c>
      <c r="BP60" s="58">
        <f>IF(Sheet!BP60=Sheet!BP$2,4,IF(Sheet!BQ60=Sheet!BQ$2,3,IF(Sheet!BR60=Sheet!BR$2,2,IF(Sheet!BS60=Sheet!BS$2,1,""))))</f>
        <v>1</v>
      </c>
      <c r="BT60" s="58">
        <f>IF(Sheet!BT60=Sheet!BT$2,4,IF(Sheet!BU60=Sheet!BU$2,3,IF(Sheet!BV60=Sheet!BV$2,2,IF(Sheet!BW60=Sheet!BW$2,1,""))))</f>
        <v>2</v>
      </c>
      <c r="BX60" s="58">
        <f>IF(Sheet!BX60=Sheet!BX$2,4,IF(Sheet!BY60=Sheet!BY$2,3,IF(Sheet!BZ60=Sheet!BZ$2,2,IF(Sheet!CA60=Sheet!CA$2,1,""))))</f>
        <v>2</v>
      </c>
      <c r="CB60" s="58">
        <f>IF(Sheet!CB60=Sheet!CB$2,4,IF(Sheet!CC60=Sheet!CC$2,3,IF(Sheet!CD60=Sheet!CD$2,2,IF(Sheet!CE60=Sheet!CE$2,1,""))))</f>
        <v>1</v>
      </c>
      <c r="CF60" s="58">
        <f>IF(Sheet!CF60=Sheet!CF$2,4,IF(Sheet!CG60=Sheet!CG$2,3,IF(Sheet!CH60=Sheet!CH$2,2,IF(Sheet!CI60=Sheet!CI$2,1,""))))</f>
        <v>1</v>
      </c>
      <c r="CJ60" s="58">
        <f>IF(Sheet!CJ60=Sheet!CJ$2,4,IF(Sheet!CK60=Sheet!CK$2,3,IF(Sheet!CL60=Sheet!CL$2,2,IF(Sheet!CM60=Sheet!CM$2,1,""))))</f>
        <v>4</v>
      </c>
      <c r="CN60" s="58">
        <f>IF(Sheet!CN60=Sheet!CN$2,4,IF(Sheet!CO60=Sheet!CO$2,3,IF(Sheet!CP60=Sheet!CP$2,2,IF(Sheet!CQ60=Sheet!CQ$2,1,""))))</f>
        <v>2</v>
      </c>
      <c r="CR60" s="58">
        <f>IF(Sheet!CR60=Sheet!CR$2,4,IF(Sheet!CS60=Sheet!CS$2,3,IF(Sheet!CT60=Sheet!CT$2,2,IF(Sheet!CU60=Sheet!CU$2,1,""))))</f>
        <v>4</v>
      </c>
      <c r="CV60" s="58">
        <f>IF(Sheet!CV60=Sheet!CV$2,4,IF(Sheet!CW60=Sheet!CW$2,3,IF(Sheet!CX60=Sheet!CX$2,2,IF(Sheet!CY60=Sheet!CY$2,1,""))))</f>
        <v>1</v>
      </c>
      <c r="CZ60" s="58">
        <f>IF(Sheet!CZ60=Sheet!CZ$2,4,IF(Sheet!DA60=Sheet!DA$2,3,IF(Sheet!DB60=Sheet!DB$2,2,IF(Sheet!DC60=Sheet!DC$2,1,""))))</f>
        <v>1</v>
      </c>
      <c r="DD60" s="58">
        <f>IF(Sheet!DD60=Sheet!DD$2,4,IF(Sheet!DE60=Sheet!DE$2,3,IF(Sheet!DF60=Sheet!DF$2,2,IF(Sheet!DG60=Sheet!DG$2,1,""))))</f>
        <v>3</v>
      </c>
      <c r="DH60" s="58">
        <f>IF(Sheet!DH60=Sheet!DH$2,4,IF(Sheet!DI60=Sheet!DI$2,3,IF(Sheet!DJ60=Sheet!DJ$2,2,IF(Sheet!DK60=Sheet!DK$2,1,""))))</f>
        <v>4</v>
      </c>
      <c r="DL60" s="58">
        <f>IF(Sheet!DL60=Sheet!DL$2,4,IF(Sheet!DM60=Sheet!DM$2,3,IF(Sheet!DN60=Sheet!DN$2,2,IF(Sheet!DO60=Sheet!DO$2,1,""))))</f>
        <v>4</v>
      </c>
      <c r="DP60" s="58">
        <f>IF(Sheet!DP60=Sheet!DP$2,4,IF(Sheet!DQ60=Sheet!DQ$2,3,IF(Sheet!DR60=Sheet!DR$2,2,IF(Sheet!DS60=Sheet!DS$2,1,""))))</f>
        <v>4</v>
      </c>
      <c r="DT60" s="58">
        <f>IF(Sheet!DT60=Sheet!DT$2,4,IF(Sheet!DU60=Sheet!DU$2,3,IF(Sheet!DV60=Sheet!DV$2,2,IF(Sheet!DW60=Sheet!DW$2,1,""))))</f>
        <v>3</v>
      </c>
      <c r="DX60" s="58">
        <f>IF(Sheet!DX60=Sheet!DX$2,4,IF(Sheet!DY60=Sheet!DY$2,3,IF(Sheet!DZ60=Sheet!DZ$2,2,IF(Sheet!EA60=Sheet!EA$2,1,""))))</f>
        <v>1</v>
      </c>
      <c r="EB60" s="58">
        <f>IF(Sheet!EB60=Sheet!EB$2,4,IF(Sheet!EC60=Sheet!EC$2,3,IF(Sheet!ED60=Sheet!ED$2,2,IF(Sheet!EE60=Sheet!EE$2,1,""))))</f>
        <v>3</v>
      </c>
      <c r="EF60" s="58">
        <f>IF(Sheet!EF60=Sheet!EF$2,4,IF(Sheet!EG60=Sheet!EG$2,3,IF(Sheet!EH60=Sheet!EH$2,2,IF(Sheet!EI60=Sheet!EI$2,1,""))))</f>
        <v>1</v>
      </c>
      <c r="EJ60" s="58">
        <f>IF(Sheet!EJ60=Sheet!EJ$2,4,IF(Sheet!EK60=Sheet!EK$2,3,IF(Sheet!EL60=Sheet!EL$2,2,IF(Sheet!EM60=Sheet!EM$2,1,""))))</f>
        <v>1</v>
      </c>
      <c r="EN60" s="58">
        <f>IF(Sheet!EN60=Sheet!EN$2,4,IF(Sheet!EO60=Sheet!EO$2,3,IF(Sheet!EP60=Sheet!EP$2,2,IF(Sheet!EQ60=Sheet!EQ$2,1,""))))</f>
        <v>1</v>
      </c>
      <c r="ER60" s="58">
        <f>IF(Sheet!ER60=Sheet!ER$2,4,IF(Sheet!ES60=Sheet!ES$2,3,IF(Sheet!ET60=Sheet!ET$2,2,IF(Sheet!EU60=Sheet!EU$2,1,""))))</f>
        <v>2</v>
      </c>
      <c r="EV60" s="58">
        <f>IF(Sheet!EV60=Sheet!EV$2,4,IF(Sheet!EW60=Sheet!EW$2,3,IF(Sheet!EX60=Sheet!EX$2,2,IF(Sheet!EY60=Sheet!EY$2,1,""))))</f>
        <v>3</v>
      </c>
      <c r="EZ60" s="58">
        <f>IF(Sheet!EZ60=Sheet!EZ$2,4,IF(Sheet!FA60=Sheet!FA$2,3,IF(Sheet!FB60=Sheet!FB$2,2,IF(Sheet!FC60=Sheet!FC$2,1,""))))</f>
        <v>3</v>
      </c>
      <c r="FD60" s="58">
        <f>IF(Sheet!FD60=Sheet!FD$2,4,IF(Sheet!FE60=Sheet!FE$2,3,IF(Sheet!FF60=Sheet!FF$2,2,IF(Sheet!FG60=Sheet!FG$2,1,""))))</f>
        <v>2</v>
      </c>
      <c r="FH60" s="58">
        <f>IF(Sheet!FH60=Sheet!FH$2,4,IF(Sheet!FI60=Sheet!FI$2,3,IF(Sheet!FJ60=Sheet!FJ$2,2,IF(Sheet!FK60=Sheet!FK$2,1,""))))</f>
        <v>3</v>
      </c>
      <c r="FL60" s="58">
        <f>IF(Sheet!FL60=Sheet!FL$2,4,IF(Sheet!FM60=Sheet!FM$2,3,IF(Sheet!FN60=Sheet!FN$2,2,IF(Sheet!FO60=Sheet!FO$2,1,""))))</f>
        <v>3</v>
      </c>
    </row>
    <row r="61" spans="1:168">
      <c r="A61" t="str">
        <f>Sheet!A61</f>
        <v>CI001</v>
      </c>
      <c r="AT61" s="56">
        <f t="shared" si="0"/>
        <v>2.161290322580645</v>
      </c>
      <c r="AV61" s="58">
        <f>IF(Sheet!AV61=Sheet!AV$2,4,IF(Sheet!AW61=Sheet!AW$2,3,IF(Sheet!AX61=Sheet!AX$2,2,IF(Sheet!AY61=Sheet!AY$2,1,""))))</f>
        <v>4</v>
      </c>
      <c r="AZ61" s="58">
        <f>IF(Sheet!AZ61=Sheet!AZ$2,4,IF(Sheet!BA61=Sheet!BA$2,3,IF(Sheet!BB61=Sheet!BB$2,2,IF(Sheet!BC61=Sheet!BC$2,1,""))))</f>
        <v>2</v>
      </c>
      <c r="BD61" s="58">
        <f>IF(Sheet!BD61=Sheet!BD$2,4,IF(Sheet!BE61=Sheet!BE$2,3,IF(Sheet!BF61=Sheet!BF$2,2,IF(Sheet!BG61=Sheet!BG$2,1,""))))</f>
        <v>2</v>
      </c>
      <c r="BH61" s="58">
        <f>IF(Sheet!BH61=Sheet!BH$2,4,IF(Sheet!BI61=Sheet!BI$2,3,IF(Sheet!BJ61=Sheet!BJ$2,2,IF(Sheet!BK61=Sheet!BK$2,1,""))))</f>
        <v>2</v>
      </c>
      <c r="BL61" s="58">
        <f>IF(Sheet!BL61=Sheet!BL$2,4,IF(Sheet!BM61=Sheet!BM$2,3,IF(Sheet!BN61=Sheet!BN$2,2,IF(Sheet!BO61=Sheet!BO$2,1,""))))</f>
        <v>2</v>
      </c>
      <c r="BP61" s="58">
        <f>IF(Sheet!BP61=Sheet!BP$2,4,IF(Sheet!BQ61=Sheet!BQ$2,3,IF(Sheet!BR61=Sheet!BR$2,2,IF(Sheet!BS61=Sheet!BS$2,1,""))))</f>
        <v>1</v>
      </c>
      <c r="BT61" s="58">
        <f>IF(Sheet!BT61=Sheet!BT$2,4,IF(Sheet!BU61=Sheet!BU$2,3,IF(Sheet!BV61=Sheet!BV$2,2,IF(Sheet!BW61=Sheet!BW$2,1,""))))</f>
        <v>2</v>
      </c>
      <c r="BX61" s="58">
        <f>IF(Sheet!BX61=Sheet!BX$2,4,IF(Sheet!BY61=Sheet!BY$2,3,IF(Sheet!BZ61=Sheet!BZ$2,2,IF(Sheet!CA61=Sheet!CA$2,1,""))))</f>
        <v>3</v>
      </c>
      <c r="CB61" s="58">
        <f>IF(Sheet!CB61=Sheet!CB$2,4,IF(Sheet!CC61=Sheet!CC$2,3,IF(Sheet!CD61=Sheet!CD$2,2,IF(Sheet!CE61=Sheet!CE$2,1,""))))</f>
        <v>3</v>
      </c>
      <c r="CF61" s="58">
        <f>IF(Sheet!CF61=Sheet!CF$2,4,IF(Sheet!CG61=Sheet!CG$2,3,IF(Sheet!CH61=Sheet!CH$2,2,IF(Sheet!CI61=Sheet!CI$2,1,""))))</f>
        <v>2</v>
      </c>
      <c r="CJ61" s="58">
        <f>IF(Sheet!CJ61=Sheet!CJ$2,4,IF(Sheet!CK61=Sheet!CK$2,3,IF(Sheet!CL61=Sheet!CL$2,2,IF(Sheet!CM61=Sheet!CM$2,1,""))))</f>
        <v>2</v>
      </c>
      <c r="CN61" s="58">
        <f>IF(Sheet!CN61=Sheet!CN$2,4,IF(Sheet!CO61=Sheet!CO$2,3,IF(Sheet!CP61=Sheet!CP$2,2,IF(Sheet!CQ61=Sheet!CQ$2,1,""))))</f>
        <v>1</v>
      </c>
      <c r="CR61" s="58">
        <f>IF(Sheet!CR61=Sheet!CR$2,4,IF(Sheet!CS61=Sheet!CS$2,3,IF(Sheet!CT61=Sheet!CT$2,2,IF(Sheet!CU61=Sheet!CU$2,1,""))))</f>
        <v>1</v>
      </c>
      <c r="CV61" s="58">
        <f>IF(Sheet!CV61=Sheet!CV$2,4,IF(Sheet!CW61=Sheet!CW$2,3,IF(Sheet!CX61=Sheet!CX$2,2,IF(Sheet!CY61=Sheet!CY$2,1,""))))</f>
        <v>2</v>
      </c>
      <c r="CZ61" s="58">
        <f>IF(Sheet!CZ61=Sheet!CZ$2,4,IF(Sheet!DA61=Sheet!DA$2,3,IF(Sheet!DB61=Sheet!DB$2,2,IF(Sheet!DC61=Sheet!DC$2,1,""))))</f>
        <v>2</v>
      </c>
      <c r="DD61" s="58">
        <f>IF(Sheet!DD61=Sheet!DD$2,4,IF(Sheet!DE61=Sheet!DE$2,3,IF(Sheet!DF61=Sheet!DF$2,2,IF(Sheet!DG61=Sheet!DG$2,1,""))))</f>
        <v>4</v>
      </c>
      <c r="DH61" s="58">
        <f>IF(Sheet!DH61=Sheet!DH$2,4,IF(Sheet!DI61=Sheet!DI$2,3,IF(Sheet!DJ61=Sheet!DJ$2,2,IF(Sheet!DK61=Sheet!DK$2,1,""))))</f>
        <v>3</v>
      </c>
      <c r="DL61" s="58">
        <f>IF(Sheet!DL61=Sheet!DL$2,4,IF(Sheet!DM61=Sheet!DM$2,3,IF(Sheet!DN61=Sheet!DN$2,2,IF(Sheet!DO61=Sheet!DO$2,1,""))))</f>
        <v>3</v>
      </c>
      <c r="DP61" s="58">
        <f>IF(Sheet!DP61=Sheet!DP$2,4,IF(Sheet!DQ61=Sheet!DQ$2,3,IF(Sheet!DR61=Sheet!DR$2,2,IF(Sheet!DS61=Sheet!DS$2,1,""))))</f>
        <v>2</v>
      </c>
      <c r="DT61" s="58">
        <f>IF(Sheet!DT61=Sheet!DT$2,4,IF(Sheet!DU61=Sheet!DU$2,3,IF(Sheet!DV61=Sheet!DV$2,2,IF(Sheet!DW61=Sheet!DW$2,1,""))))</f>
        <v>2</v>
      </c>
      <c r="DX61" s="58">
        <f>IF(Sheet!DX61=Sheet!DX$2,4,IF(Sheet!DY61=Sheet!DY$2,3,IF(Sheet!DZ61=Sheet!DZ$2,2,IF(Sheet!EA61=Sheet!EA$2,1,""))))</f>
        <v>2</v>
      </c>
      <c r="EB61" s="58">
        <f>IF(Sheet!EB61=Sheet!EB$2,4,IF(Sheet!EC61=Sheet!EC$2,3,IF(Sheet!ED61=Sheet!ED$2,2,IF(Sheet!EE61=Sheet!EE$2,1,""))))</f>
        <v>2</v>
      </c>
      <c r="EF61" s="58">
        <f>IF(Sheet!EF61=Sheet!EF$2,4,IF(Sheet!EG61=Sheet!EG$2,3,IF(Sheet!EH61=Sheet!EH$2,2,IF(Sheet!EI61=Sheet!EI$2,1,""))))</f>
        <v>3</v>
      </c>
      <c r="EJ61" s="58">
        <f>IF(Sheet!EJ61=Sheet!EJ$2,4,IF(Sheet!EK61=Sheet!EK$2,3,IF(Sheet!EL61=Sheet!EL$2,2,IF(Sheet!EM61=Sheet!EM$2,1,""))))</f>
        <v>1</v>
      </c>
      <c r="EN61" s="58">
        <f>IF(Sheet!EN61=Sheet!EN$2,4,IF(Sheet!EO61=Sheet!EO$2,3,IF(Sheet!EP61=Sheet!EP$2,2,IF(Sheet!EQ61=Sheet!EQ$2,1,""))))</f>
        <v>1</v>
      </c>
      <c r="ER61" s="58">
        <f>IF(Sheet!ER61=Sheet!ER$2,4,IF(Sheet!ES61=Sheet!ES$2,3,IF(Sheet!ET61=Sheet!ET$2,2,IF(Sheet!EU61=Sheet!EU$2,1,""))))</f>
        <v>1</v>
      </c>
      <c r="EV61" s="58">
        <f>IF(Sheet!EV61=Sheet!EV$2,4,IF(Sheet!EW61=Sheet!EW$2,3,IF(Sheet!EX61=Sheet!EX$2,2,IF(Sheet!EY61=Sheet!EY$2,1,""))))</f>
        <v>3</v>
      </c>
      <c r="EZ61" s="58">
        <f>IF(Sheet!EZ61=Sheet!EZ$2,4,IF(Sheet!FA61=Sheet!FA$2,3,IF(Sheet!FB61=Sheet!FB$2,2,IF(Sheet!FC61=Sheet!FC$2,1,""))))</f>
        <v>2</v>
      </c>
      <c r="FD61" s="58">
        <f>IF(Sheet!FD61=Sheet!FD$2,4,IF(Sheet!FE61=Sheet!FE$2,3,IF(Sheet!FF61=Sheet!FF$2,2,IF(Sheet!FG61=Sheet!FG$2,1,""))))</f>
        <v>2</v>
      </c>
      <c r="FH61" s="58">
        <f>IF(Sheet!FH61=Sheet!FH$2,4,IF(Sheet!FI61=Sheet!FI$2,3,IF(Sheet!FJ61=Sheet!FJ$2,2,IF(Sheet!FK61=Sheet!FK$2,1,""))))</f>
        <v>2</v>
      </c>
      <c r="FL61" s="58">
        <f>IF(Sheet!FL61=Sheet!FL$2,4,IF(Sheet!FM61=Sheet!FM$2,3,IF(Sheet!FN61=Sheet!FN$2,2,IF(Sheet!FO61=Sheet!FO$2,1,""))))</f>
        <v>3</v>
      </c>
    </row>
    <row r="62" spans="1:168">
      <c r="A62" t="str">
        <f>Sheet!A62</f>
        <v>CD001</v>
      </c>
      <c r="AT62" s="56">
        <f t="shared" si="0"/>
        <v>2.903225806451613</v>
      </c>
      <c r="AV62" s="58">
        <f>IF(Sheet!AV62=Sheet!AV$2,4,IF(Sheet!AW62=Sheet!AW$2,3,IF(Sheet!AX62=Sheet!AX$2,2,IF(Sheet!AY62=Sheet!AY$2,1,""))))</f>
        <v>2</v>
      </c>
      <c r="AZ62" s="58">
        <f>IF(Sheet!AZ62=Sheet!AZ$2,4,IF(Sheet!BA62=Sheet!BA$2,3,IF(Sheet!BB62=Sheet!BB$2,2,IF(Sheet!BC62=Sheet!BC$2,1,""))))</f>
        <v>3</v>
      </c>
      <c r="BD62" s="58">
        <f>IF(Sheet!BD62=Sheet!BD$2,4,IF(Sheet!BE62=Sheet!BE$2,3,IF(Sheet!BF62=Sheet!BF$2,2,IF(Sheet!BG62=Sheet!BG$2,1,""))))</f>
        <v>3</v>
      </c>
      <c r="BH62" s="58">
        <f>IF(Sheet!BH62=Sheet!BH$2,4,IF(Sheet!BI62=Sheet!BI$2,3,IF(Sheet!BJ62=Sheet!BJ$2,2,IF(Sheet!BK62=Sheet!BK$2,1,""))))</f>
        <v>1</v>
      </c>
      <c r="BL62" s="58">
        <f>IF(Sheet!BL62=Sheet!BL$2,4,IF(Sheet!BM62=Sheet!BM$2,3,IF(Sheet!BN62=Sheet!BN$2,2,IF(Sheet!BO62=Sheet!BO$2,1,""))))</f>
        <v>2</v>
      </c>
      <c r="BP62" s="58">
        <f>IF(Sheet!BP62=Sheet!BP$2,4,IF(Sheet!BQ62=Sheet!BQ$2,3,IF(Sheet!BR62=Sheet!BR$2,2,IF(Sheet!BS62=Sheet!BS$2,1,""))))</f>
        <v>3</v>
      </c>
      <c r="BT62" s="58">
        <f>IF(Sheet!BT62=Sheet!BT$2,4,IF(Sheet!BU62=Sheet!BU$2,3,IF(Sheet!BV62=Sheet!BV$2,2,IF(Sheet!BW62=Sheet!BW$2,1,""))))</f>
        <v>2</v>
      </c>
      <c r="BX62" s="58">
        <f>IF(Sheet!BX62=Sheet!BX$2,4,IF(Sheet!BY62=Sheet!BY$2,3,IF(Sheet!BZ62=Sheet!BZ$2,2,IF(Sheet!CA62=Sheet!CA$2,1,""))))</f>
        <v>3</v>
      </c>
      <c r="CB62" s="58">
        <f>IF(Sheet!CB62=Sheet!CB$2,4,IF(Sheet!CC62=Sheet!CC$2,3,IF(Sheet!CD62=Sheet!CD$2,2,IF(Sheet!CE62=Sheet!CE$2,1,""))))</f>
        <v>3</v>
      </c>
      <c r="CF62" s="58">
        <f>IF(Sheet!CF62=Sheet!CF$2,4,IF(Sheet!CG62=Sheet!CG$2,3,IF(Sheet!CH62=Sheet!CH$2,2,IF(Sheet!CI62=Sheet!CI$2,1,""))))</f>
        <v>2</v>
      </c>
      <c r="CJ62" s="58">
        <f>IF(Sheet!CJ62=Sheet!CJ$2,4,IF(Sheet!CK62=Sheet!CK$2,3,IF(Sheet!CL62=Sheet!CL$2,2,IF(Sheet!CM62=Sheet!CM$2,1,""))))</f>
        <v>3</v>
      </c>
      <c r="CN62" s="58">
        <f>IF(Sheet!CN62=Sheet!CN$2,4,IF(Sheet!CO62=Sheet!CO$2,3,IF(Sheet!CP62=Sheet!CP$2,2,IF(Sheet!CQ62=Sheet!CQ$2,1,""))))</f>
        <v>3</v>
      </c>
      <c r="CR62" s="58">
        <f>IF(Sheet!CR62=Sheet!CR$2,4,IF(Sheet!CS62=Sheet!CS$2,3,IF(Sheet!CT62=Sheet!CT$2,2,IF(Sheet!CU62=Sheet!CU$2,1,""))))</f>
        <v>4</v>
      </c>
      <c r="CV62" s="58">
        <f>IF(Sheet!CV62=Sheet!CV$2,4,IF(Sheet!CW62=Sheet!CW$2,3,IF(Sheet!CX62=Sheet!CX$2,2,IF(Sheet!CY62=Sheet!CY$2,1,""))))</f>
        <v>4</v>
      </c>
      <c r="CZ62" s="58">
        <f>IF(Sheet!CZ62=Sheet!CZ$2,4,IF(Sheet!DA62=Sheet!DA$2,3,IF(Sheet!DB62=Sheet!DB$2,2,IF(Sheet!DC62=Sheet!DC$2,1,""))))</f>
        <v>4</v>
      </c>
      <c r="DD62" s="58">
        <f>IF(Sheet!DD62=Sheet!DD$2,4,IF(Sheet!DE62=Sheet!DE$2,3,IF(Sheet!DF62=Sheet!DF$2,2,IF(Sheet!DG62=Sheet!DG$2,1,""))))</f>
        <v>4</v>
      </c>
      <c r="DH62" s="58">
        <f>IF(Sheet!DH62=Sheet!DH$2,4,IF(Sheet!DI62=Sheet!DI$2,3,IF(Sheet!DJ62=Sheet!DJ$2,2,IF(Sheet!DK62=Sheet!DK$2,1,""))))</f>
        <v>4</v>
      </c>
      <c r="DL62" s="58">
        <f>IF(Sheet!DL62=Sheet!DL$2,4,IF(Sheet!DM62=Sheet!DM$2,3,IF(Sheet!DN62=Sheet!DN$2,2,IF(Sheet!DO62=Sheet!DO$2,1,""))))</f>
        <v>4</v>
      </c>
      <c r="DP62" s="58">
        <f>IF(Sheet!DP62=Sheet!DP$2,4,IF(Sheet!DQ62=Sheet!DQ$2,3,IF(Sheet!DR62=Sheet!DR$2,2,IF(Sheet!DS62=Sheet!DS$2,1,""))))</f>
        <v>4</v>
      </c>
      <c r="DT62" s="58">
        <f>IF(Sheet!DT62=Sheet!DT$2,4,IF(Sheet!DU62=Sheet!DU$2,3,IF(Sheet!DV62=Sheet!DV$2,2,IF(Sheet!DW62=Sheet!DW$2,1,""))))</f>
        <v>3</v>
      </c>
      <c r="DX62" s="58">
        <f>IF(Sheet!DX62=Sheet!DX$2,4,IF(Sheet!DY62=Sheet!DY$2,3,IF(Sheet!DZ62=Sheet!DZ$2,2,IF(Sheet!EA62=Sheet!EA$2,1,""))))</f>
        <v>3</v>
      </c>
      <c r="EB62" s="58">
        <f>IF(Sheet!EB62=Sheet!EB$2,4,IF(Sheet!EC62=Sheet!EC$2,3,IF(Sheet!ED62=Sheet!ED$2,2,IF(Sheet!EE62=Sheet!EE$2,1,""))))</f>
        <v>4</v>
      </c>
      <c r="EF62" s="58">
        <f>IF(Sheet!EF62=Sheet!EF$2,4,IF(Sheet!EG62=Sheet!EG$2,3,IF(Sheet!EH62=Sheet!EH$2,2,IF(Sheet!EI62=Sheet!EI$2,1,""))))</f>
        <v>1</v>
      </c>
      <c r="EJ62" s="58">
        <f>IF(Sheet!EJ62=Sheet!EJ$2,4,IF(Sheet!EK62=Sheet!EK$2,3,IF(Sheet!EL62=Sheet!EL$2,2,IF(Sheet!EM62=Sheet!EM$2,1,""))))</f>
        <v>4</v>
      </c>
      <c r="EN62" s="58">
        <f>IF(Sheet!EN62=Sheet!EN$2,4,IF(Sheet!EO62=Sheet!EO$2,3,IF(Sheet!EP62=Sheet!EP$2,2,IF(Sheet!EQ62=Sheet!EQ$2,1,""))))</f>
        <v>1</v>
      </c>
      <c r="ER62" s="58">
        <f>IF(Sheet!ER62=Sheet!ER$2,4,IF(Sheet!ES62=Sheet!ES$2,3,IF(Sheet!ET62=Sheet!ET$2,2,IF(Sheet!EU62=Sheet!EU$2,1,""))))</f>
        <v>4</v>
      </c>
      <c r="EV62" s="58">
        <f>IF(Sheet!EV62=Sheet!EV$2,4,IF(Sheet!EW62=Sheet!EW$2,3,IF(Sheet!EX62=Sheet!EX$2,2,IF(Sheet!EY62=Sheet!EY$2,1,""))))</f>
        <v>4</v>
      </c>
      <c r="EZ62" s="58">
        <f>IF(Sheet!EZ62=Sheet!EZ$2,4,IF(Sheet!FA62=Sheet!FA$2,3,IF(Sheet!FB62=Sheet!FB$2,2,IF(Sheet!FC62=Sheet!FC$2,1,""))))</f>
        <v>3</v>
      </c>
      <c r="FD62" s="58">
        <f>IF(Sheet!FD62=Sheet!FD$2,4,IF(Sheet!FE62=Sheet!FE$2,3,IF(Sheet!FF62=Sheet!FF$2,2,IF(Sheet!FG62=Sheet!FG$2,1,""))))</f>
        <v>1</v>
      </c>
      <c r="FH62" s="58">
        <f>IF(Sheet!FH62=Sheet!FH$2,4,IF(Sheet!FI62=Sheet!FI$2,3,IF(Sheet!FJ62=Sheet!FJ$2,2,IF(Sheet!FK62=Sheet!FK$2,1,""))))</f>
        <v>2</v>
      </c>
      <c r="FL62" s="58">
        <f>IF(Sheet!FL62=Sheet!FL$2,4,IF(Sheet!FM62=Sheet!FM$2,3,IF(Sheet!FN62=Sheet!FN$2,2,IF(Sheet!FO62=Sheet!FO$2,1,""))))</f>
        <v>2</v>
      </c>
    </row>
    <row r="63" spans="1:168">
      <c r="A63" t="str">
        <f>Sheet!A63</f>
        <v>KP001</v>
      </c>
      <c r="AT63" s="56">
        <f t="shared" si="0"/>
        <v>2</v>
      </c>
      <c r="AV63" s="58">
        <f>IF(Sheet!AV63=Sheet!AV$2,4,IF(Sheet!AW63=Sheet!AW$2,3,IF(Sheet!AX63=Sheet!AX$2,2,IF(Sheet!AY63=Sheet!AY$2,1,""))))</f>
        <v>2</v>
      </c>
      <c r="AZ63" s="58">
        <f>IF(Sheet!AZ63=Sheet!AZ$2,4,IF(Sheet!BA63=Sheet!BA$2,3,IF(Sheet!BB63=Sheet!BB$2,2,IF(Sheet!BC63=Sheet!BC$2,1,""))))</f>
        <v>2</v>
      </c>
      <c r="BD63" s="58">
        <f>IF(Sheet!BD63=Sheet!BD$2,4,IF(Sheet!BE63=Sheet!BE$2,3,IF(Sheet!BF63=Sheet!BF$2,2,IF(Sheet!BG63=Sheet!BG$2,1,""))))</f>
        <v>1</v>
      </c>
      <c r="BH63" s="58">
        <f>IF(Sheet!BH63=Sheet!BH$2,4,IF(Sheet!BI63=Sheet!BI$2,3,IF(Sheet!BJ63=Sheet!BJ$2,2,IF(Sheet!BK63=Sheet!BK$2,1,""))))</f>
        <v>2</v>
      </c>
      <c r="BL63" s="58">
        <f>IF(Sheet!BL63=Sheet!BL$2,4,IF(Sheet!BM63=Sheet!BM$2,3,IF(Sheet!BN63=Sheet!BN$2,2,IF(Sheet!BO63=Sheet!BO$2,1,""))))</f>
        <v>3</v>
      </c>
      <c r="BP63" s="58">
        <f>IF(Sheet!BP63=Sheet!BP$2,4,IF(Sheet!BQ63=Sheet!BQ$2,3,IF(Sheet!BR63=Sheet!BR$2,2,IF(Sheet!BS63=Sheet!BS$2,1,""))))</f>
        <v>1</v>
      </c>
      <c r="BT63" s="58">
        <f>IF(Sheet!BT63=Sheet!BT$2,4,IF(Sheet!BU63=Sheet!BU$2,3,IF(Sheet!BV63=Sheet!BV$2,2,IF(Sheet!BW63=Sheet!BW$2,1,""))))</f>
        <v>2</v>
      </c>
      <c r="BX63" s="58">
        <f>IF(Sheet!BX63=Sheet!BX$2,4,IF(Sheet!BY63=Sheet!BY$2,3,IF(Sheet!BZ63=Sheet!BZ$2,2,IF(Sheet!CA63=Sheet!CA$2,1,""))))</f>
        <v>2</v>
      </c>
      <c r="CB63" s="58">
        <f>IF(Sheet!CB63=Sheet!CB$2,4,IF(Sheet!CC63=Sheet!CC$2,3,IF(Sheet!CD63=Sheet!CD$2,2,IF(Sheet!CE63=Sheet!CE$2,1,""))))</f>
        <v>3</v>
      </c>
      <c r="CF63" s="58">
        <f>IF(Sheet!CF63=Sheet!CF$2,4,IF(Sheet!CG63=Sheet!CG$2,3,IF(Sheet!CH63=Sheet!CH$2,2,IF(Sheet!CI63=Sheet!CI$2,1,""))))</f>
        <v>2</v>
      </c>
      <c r="CJ63" s="58">
        <f>IF(Sheet!CJ63=Sheet!CJ$2,4,IF(Sheet!CK63=Sheet!CK$2,3,IF(Sheet!CL63=Sheet!CL$2,2,IF(Sheet!CM63=Sheet!CM$2,1,""))))</f>
        <v>3</v>
      </c>
      <c r="CN63" s="58">
        <f>IF(Sheet!CN63=Sheet!CN$2,4,IF(Sheet!CO63=Sheet!CO$2,3,IF(Sheet!CP63=Sheet!CP$2,2,IF(Sheet!CQ63=Sheet!CQ$2,1,""))))</f>
        <v>2</v>
      </c>
      <c r="CR63" s="58">
        <f>IF(Sheet!CR63=Sheet!CR$2,4,IF(Sheet!CS63=Sheet!CS$2,3,IF(Sheet!CT63=Sheet!CT$2,2,IF(Sheet!CU63=Sheet!CU$2,1,""))))</f>
        <v>1</v>
      </c>
      <c r="CV63" s="58">
        <f>IF(Sheet!CV63=Sheet!CV$2,4,IF(Sheet!CW63=Sheet!CW$2,3,IF(Sheet!CX63=Sheet!CX$2,2,IF(Sheet!CY63=Sheet!CY$2,1,""))))</f>
        <v>2</v>
      </c>
      <c r="CZ63" s="58">
        <f>IF(Sheet!CZ63=Sheet!CZ$2,4,IF(Sheet!DA63=Sheet!DA$2,3,IF(Sheet!DB63=Sheet!DB$2,2,IF(Sheet!DC63=Sheet!DC$2,1,""))))</f>
        <v>1</v>
      </c>
      <c r="DD63" s="58">
        <f>IF(Sheet!DD63=Sheet!DD$2,4,IF(Sheet!DE63=Sheet!DE$2,3,IF(Sheet!DF63=Sheet!DF$2,2,IF(Sheet!DG63=Sheet!DG$2,1,""))))</f>
        <v>4</v>
      </c>
      <c r="DH63" s="58">
        <f>IF(Sheet!DH63=Sheet!DH$2,4,IF(Sheet!DI63=Sheet!DI$2,3,IF(Sheet!DJ63=Sheet!DJ$2,2,IF(Sheet!DK63=Sheet!DK$2,1,""))))</f>
        <v>4</v>
      </c>
      <c r="DL63" s="58">
        <f>IF(Sheet!DL63=Sheet!DL$2,4,IF(Sheet!DM63=Sheet!DM$2,3,IF(Sheet!DN63=Sheet!DN$2,2,IF(Sheet!DO63=Sheet!DO$2,1,""))))</f>
        <v>3</v>
      </c>
      <c r="DP63" s="58">
        <f>IF(Sheet!DP63=Sheet!DP$2,4,IF(Sheet!DQ63=Sheet!DQ$2,3,IF(Sheet!DR63=Sheet!DR$2,2,IF(Sheet!DS63=Sheet!DS$2,1,""))))</f>
        <v>1</v>
      </c>
      <c r="DT63" s="58">
        <f>IF(Sheet!DT63=Sheet!DT$2,4,IF(Sheet!DU63=Sheet!DU$2,3,IF(Sheet!DV63=Sheet!DV$2,2,IF(Sheet!DW63=Sheet!DW$2,1,""))))</f>
        <v>2</v>
      </c>
      <c r="DX63" s="58">
        <f>IF(Sheet!DX63=Sheet!DX$2,4,IF(Sheet!DY63=Sheet!DY$2,3,IF(Sheet!DZ63=Sheet!DZ$2,2,IF(Sheet!EA63=Sheet!EA$2,1,""))))</f>
        <v>1</v>
      </c>
      <c r="EB63" s="58">
        <f>IF(Sheet!EB63=Sheet!EB$2,4,IF(Sheet!EC63=Sheet!EC$2,3,IF(Sheet!ED63=Sheet!ED$2,2,IF(Sheet!EE63=Sheet!EE$2,1,""))))</f>
        <v>1</v>
      </c>
      <c r="EF63" s="58">
        <f>IF(Sheet!EF63=Sheet!EF$2,4,IF(Sheet!EG63=Sheet!EG$2,3,IF(Sheet!EH63=Sheet!EH$2,2,IF(Sheet!EI63=Sheet!EI$2,1,""))))</f>
        <v>1</v>
      </c>
      <c r="EJ63" s="58">
        <f>IF(Sheet!EJ63=Sheet!EJ$2,4,IF(Sheet!EK63=Sheet!EK$2,3,IF(Sheet!EL63=Sheet!EL$2,2,IF(Sheet!EM63=Sheet!EM$2,1,""))))</f>
        <v>1</v>
      </c>
      <c r="EN63" s="58">
        <f>IF(Sheet!EN63=Sheet!EN$2,4,IF(Sheet!EO63=Sheet!EO$2,3,IF(Sheet!EP63=Sheet!EP$2,2,IF(Sheet!EQ63=Sheet!EQ$2,1,""))))</f>
        <v>2</v>
      </c>
      <c r="ER63" s="58">
        <f>IF(Sheet!ER63=Sheet!ER$2,4,IF(Sheet!ES63=Sheet!ES$2,3,IF(Sheet!ET63=Sheet!ET$2,2,IF(Sheet!EU63=Sheet!EU$2,1,""))))</f>
        <v>3</v>
      </c>
      <c r="EV63" s="58">
        <f>IF(Sheet!EV63=Sheet!EV$2,4,IF(Sheet!EW63=Sheet!EW$2,3,IF(Sheet!EX63=Sheet!EX$2,2,IF(Sheet!EY63=Sheet!EY$2,1,""))))</f>
        <v>2</v>
      </c>
      <c r="EZ63" s="58">
        <f>IF(Sheet!EZ63=Sheet!EZ$2,4,IF(Sheet!FA63=Sheet!FA$2,3,IF(Sheet!FB63=Sheet!FB$2,2,IF(Sheet!FC63=Sheet!FC$2,1,""))))</f>
        <v>2</v>
      </c>
      <c r="FD63" s="58">
        <f>IF(Sheet!FD63=Sheet!FD$2,4,IF(Sheet!FE63=Sheet!FE$2,3,IF(Sheet!FF63=Sheet!FF$2,2,IF(Sheet!FG63=Sheet!FG$2,1,""))))</f>
        <v>1</v>
      </c>
      <c r="FH63" s="58">
        <f>IF(Sheet!FH63=Sheet!FH$2,4,IF(Sheet!FI63=Sheet!FI$2,3,IF(Sheet!FJ63=Sheet!FJ$2,2,IF(Sheet!FK63=Sheet!FK$2,1,""))))</f>
        <v>3</v>
      </c>
      <c r="FL63" s="58">
        <f>IF(Sheet!FL63=Sheet!FL$2,4,IF(Sheet!FM63=Sheet!FM$2,3,IF(Sheet!FN63=Sheet!FN$2,2,IF(Sheet!FO63=Sheet!FO$2,1,""))))</f>
        <v>2</v>
      </c>
    </row>
    <row r="64" spans="1:168">
      <c r="A64" t="str">
        <f>Sheet!A64</f>
        <v>XQ001</v>
      </c>
      <c r="AT64" s="56">
        <f t="shared" si="0"/>
        <v>2.774193548387097</v>
      </c>
      <c r="AV64" s="58">
        <f>IF(Sheet!AV64=Sheet!AV$2,4,IF(Sheet!AW64=Sheet!AW$2,3,IF(Sheet!AX64=Sheet!AX$2,2,IF(Sheet!AY64=Sheet!AY$2,1,""))))</f>
        <v>2</v>
      </c>
      <c r="AZ64" s="58">
        <f>IF(Sheet!AZ64=Sheet!AZ$2,4,IF(Sheet!BA64=Sheet!BA$2,3,IF(Sheet!BB64=Sheet!BB$2,2,IF(Sheet!BC64=Sheet!BC$2,1,""))))</f>
        <v>3</v>
      </c>
      <c r="BD64" s="58">
        <f>IF(Sheet!BD64=Sheet!BD$2,4,IF(Sheet!BE64=Sheet!BE$2,3,IF(Sheet!BF64=Sheet!BF$2,2,IF(Sheet!BG64=Sheet!BG$2,1,""))))</f>
        <v>4</v>
      </c>
      <c r="BH64" s="58">
        <f>IF(Sheet!BH64=Sheet!BH$2,4,IF(Sheet!BI64=Sheet!BI$2,3,IF(Sheet!BJ64=Sheet!BJ$2,2,IF(Sheet!BK64=Sheet!BK$2,1,""))))</f>
        <v>4</v>
      </c>
      <c r="BL64" s="58">
        <f>IF(Sheet!BL64=Sheet!BL$2,4,IF(Sheet!BM64=Sheet!BM$2,3,IF(Sheet!BN64=Sheet!BN$2,2,IF(Sheet!BO64=Sheet!BO$2,1,""))))</f>
        <v>2</v>
      </c>
      <c r="BP64" s="58">
        <f>IF(Sheet!BP64=Sheet!BP$2,4,IF(Sheet!BQ64=Sheet!BQ$2,3,IF(Sheet!BR64=Sheet!BR$2,2,IF(Sheet!BS64=Sheet!BS$2,1,""))))</f>
        <v>2</v>
      </c>
      <c r="BT64" s="58">
        <f>IF(Sheet!BT64=Sheet!BT$2,4,IF(Sheet!BU64=Sheet!BU$2,3,IF(Sheet!BV64=Sheet!BV$2,2,IF(Sheet!BW64=Sheet!BW$2,1,""))))</f>
        <v>3</v>
      </c>
      <c r="BX64" s="58">
        <f>IF(Sheet!BX64=Sheet!BX$2,4,IF(Sheet!BY64=Sheet!BY$2,3,IF(Sheet!BZ64=Sheet!BZ$2,2,IF(Sheet!CA64=Sheet!CA$2,1,""))))</f>
        <v>4</v>
      </c>
      <c r="CB64" s="58">
        <f>IF(Sheet!CB64=Sheet!CB$2,4,IF(Sheet!CC64=Sheet!CC$2,3,IF(Sheet!CD64=Sheet!CD$2,2,IF(Sheet!CE64=Sheet!CE$2,1,""))))</f>
        <v>4</v>
      </c>
      <c r="CF64" s="58">
        <f>IF(Sheet!CF64=Sheet!CF$2,4,IF(Sheet!CG64=Sheet!CG$2,3,IF(Sheet!CH64=Sheet!CH$2,2,IF(Sheet!CI64=Sheet!CI$2,1,""))))</f>
        <v>3</v>
      </c>
      <c r="CJ64" s="58">
        <f>IF(Sheet!CJ64=Sheet!CJ$2,4,IF(Sheet!CK64=Sheet!CK$2,3,IF(Sheet!CL64=Sheet!CL$2,2,IF(Sheet!CM64=Sheet!CM$2,1,""))))</f>
        <v>3</v>
      </c>
      <c r="CN64" s="58">
        <f>IF(Sheet!CN64=Sheet!CN$2,4,IF(Sheet!CO64=Sheet!CO$2,3,IF(Sheet!CP64=Sheet!CP$2,2,IF(Sheet!CQ64=Sheet!CQ$2,1,""))))</f>
        <v>2</v>
      </c>
      <c r="CR64" s="58">
        <f>IF(Sheet!CR64=Sheet!CR$2,4,IF(Sheet!CS64=Sheet!CS$2,3,IF(Sheet!CT64=Sheet!CT$2,2,IF(Sheet!CU64=Sheet!CU$2,1,""))))</f>
        <v>2</v>
      </c>
      <c r="CV64" s="58">
        <f>IF(Sheet!CV64=Sheet!CV$2,4,IF(Sheet!CW64=Sheet!CW$2,3,IF(Sheet!CX64=Sheet!CX$2,2,IF(Sheet!CY64=Sheet!CY$2,1,""))))</f>
        <v>4</v>
      </c>
      <c r="CZ64" s="58">
        <f>IF(Sheet!CZ64=Sheet!CZ$2,4,IF(Sheet!DA64=Sheet!DA$2,3,IF(Sheet!DB64=Sheet!DB$2,2,IF(Sheet!DC64=Sheet!DC$2,1,""))))</f>
        <v>4</v>
      </c>
      <c r="DD64" s="58">
        <f>IF(Sheet!DD64=Sheet!DD$2,4,IF(Sheet!DE64=Sheet!DE$2,3,IF(Sheet!DF64=Sheet!DF$2,2,IF(Sheet!DG64=Sheet!DG$2,1,""))))</f>
        <v>3</v>
      </c>
      <c r="DH64" s="58">
        <f>IF(Sheet!DH64=Sheet!DH$2,4,IF(Sheet!DI64=Sheet!DI$2,3,IF(Sheet!DJ64=Sheet!DJ$2,2,IF(Sheet!DK64=Sheet!DK$2,1,""))))</f>
        <v>4</v>
      </c>
      <c r="DL64" s="58">
        <f>IF(Sheet!DL64=Sheet!DL$2,4,IF(Sheet!DM64=Sheet!DM$2,3,IF(Sheet!DN64=Sheet!DN$2,2,IF(Sheet!DO64=Sheet!DO$2,1,""))))</f>
        <v>4</v>
      </c>
      <c r="DP64" s="58">
        <f>IF(Sheet!DP64=Sheet!DP$2,4,IF(Sheet!DQ64=Sheet!DQ$2,3,IF(Sheet!DR64=Sheet!DR$2,2,IF(Sheet!DS64=Sheet!DS$2,1,""))))</f>
        <v>3</v>
      </c>
      <c r="DT64" s="58">
        <f>IF(Sheet!DT64=Sheet!DT$2,4,IF(Sheet!DU64=Sheet!DU$2,3,IF(Sheet!DV64=Sheet!DV$2,2,IF(Sheet!DW64=Sheet!DW$2,1,""))))</f>
        <v>3</v>
      </c>
      <c r="DX64" s="58">
        <f>IF(Sheet!DX64=Sheet!DX$2,4,IF(Sheet!DY64=Sheet!DY$2,3,IF(Sheet!DZ64=Sheet!DZ$2,2,IF(Sheet!EA64=Sheet!EA$2,1,""))))</f>
        <v>3</v>
      </c>
      <c r="EB64" s="58">
        <f>IF(Sheet!EB64=Sheet!EB$2,4,IF(Sheet!EC64=Sheet!EC$2,3,IF(Sheet!ED64=Sheet!ED$2,2,IF(Sheet!EE64=Sheet!EE$2,1,""))))</f>
        <v>2</v>
      </c>
      <c r="EF64" s="58">
        <f>IF(Sheet!EF64=Sheet!EF$2,4,IF(Sheet!EG64=Sheet!EG$2,3,IF(Sheet!EH64=Sheet!EH$2,2,IF(Sheet!EI64=Sheet!EI$2,1,""))))</f>
        <v>4</v>
      </c>
      <c r="EJ64" s="58">
        <f>IF(Sheet!EJ64=Sheet!EJ$2,4,IF(Sheet!EK64=Sheet!EK$2,3,IF(Sheet!EL64=Sheet!EL$2,2,IF(Sheet!EM64=Sheet!EM$2,1,""))))</f>
        <v>1</v>
      </c>
      <c r="EN64" s="58">
        <f>IF(Sheet!EN64=Sheet!EN$2,4,IF(Sheet!EO64=Sheet!EO$2,3,IF(Sheet!EP64=Sheet!EP$2,2,IF(Sheet!EQ64=Sheet!EQ$2,1,""))))</f>
        <v>1</v>
      </c>
      <c r="ER64" s="58">
        <f>IF(Sheet!ER64=Sheet!ER$2,4,IF(Sheet!ES64=Sheet!ES$2,3,IF(Sheet!ET64=Sheet!ET$2,2,IF(Sheet!EU64=Sheet!EU$2,1,""))))</f>
        <v>1</v>
      </c>
      <c r="EV64" s="58">
        <f>IF(Sheet!EV64=Sheet!EV$2,4,IF(Sheet!EW64=Sheet!EW$2,3,IF(Sheet!EX64=Sheet!EX$2,2,IF(Sheet!EY64=Sheet!EY$2,1,""))))</f>
        <v>3</v>
      </c>
      <c r="EZ64" s="58">
        <f>IF(Sheet!EZ64=Sheet!EZ$2,4,IF(Sheet!FA64=Sheet!FA$2,3,IF(Sheet!FB64=Sheet!FB$2,2,IF(Sheet!FC64=Sheet!FC$2,1,""))))</f>
        <v>2</v>
      </c>
      <c r="FD64" s="58">
        <f>IF(Sheet!FD64=Sheet!FD$2,4,IF(Sheet!FE64=Sheet!FE$2,3,IF(Sheet!FF64=Sheet!FF$2,2,IF(Sheet!FG64=Sheet!FG$2,1,""))))</f>
        <v>1</v>
      </c>
      <c r="FH64" s="58">
        <f>IF(Sheet!FH64=Sheet!FH$2,4,IF(Sheet!FI64=Sheet!FI$2,3,IF(Sheet!FJ64=Sheet!FJ$2,2,IF(Sheet!FK64=Sheet!FK$2,1,""))))</f>
        <v>4</v>
      </c>
      <c r="FL64" s="58">
        <f>IF(Sheet!FL64=Sheet!FL$2,4,IF(Sheet!FM64=Sheet!FM$2,3,IF(Sheet!FN64=Sheet!FN$2,2,IF(Sheet!FO64=Sheet!FO$2,1,""))))</f>
        <v>1</v>
      </c>
    </row>
    <row r="65" spans="1:168">
      <c r="A65" t="str">
        <f>Sheet!A65</f>
        <v>EG001</v>
      </c>
      <c r="AT65" s="56">
        <f t="shared" si="0"/>
        <v>2.225806451612903</v>
      </c>
      <c r="AV65" s="58">
        <f>IF(Sheet!AV65=Sheet!AV$2,4,IF(Sheet!AW65=Sheet!AW$2,3,IF(Sheet!AX65=Sheet!AX$2,2,IF(Sheet!AY65=Sheet!AY$2,1,""))))</f>
        <v>1</v>
      </c>
      <c r="AZ65" s="58">
        <f>IF(Sheet!AZ65=Sheet!AZ$2,4,IF(Sheet!BA65=Sheet!BA$2,3,IF(Sheet!BB65=Sheet!BB$2,2,IF(Sheet!BC65=Sheet!BC$2,1,""))))</f>
        <v>1</v>
      </c>
      <c r="BD65" s="58">
        <f>IF(Sheet!BD65=Sheet!BD$2,4,IF(Sheet!BE65=Sheet!BE$2,3,IF(Sheet!BF65=Sheet!BF$2,2,IF(Sheet!BG65=Sheet!BG$2,1,""))))</f>
        <v>2</v>
      </c>
      <c r="BH65" s="58">
        <f>IF(Sheet!BH65=Sheet!BH$2,4,IF(Sheet!BI65=Sheet!BI$2,3,IF(Sheet!BJ65=Sheet!BJ$2,2,IF(Sheet!BK65=Sheet!BK$2,1,""))))</f>
        <v>1</v>
      </c>
      <c r="BL65" s="58">
        <f>IF(Sheet!BL65=Sheet!BL$2,4,IF(Sheet!BM65=Sheet!BM$2,3,IF(Sheet!BN65=Sheet!BN$2,2,IF(Sheet!BO65=Sheet!BO$2,1,""))))</f>
        <v>3</v>
      </c>
      <c r="BP65" s="58">
        <f>IF(Sheet!BP65=Sheet!BP$2,4,IF(Sheet!BQ65=Sheet!BQ$2,3,IF(Sheet!BR65=Sheet!BR$2,2,IF(Sheet!BS65=Sheet!BS$2,1,""))))</f>
        <v>1</v>
      </c>
      <c r="BT65" s="58">
        <f>IF(Sheet!BT65=Sheet!BT$2,4,IF(Sheet!BU65=Sheet!BU$2,3,IF(Sheet!BV65=Sheet!BV$2,2,IF(Sheet!BW65=Sheet!BW$2,1,""))))</f>
        <v>2</v>
      </c>
      <c r="BX65" s="58">
        <f>IF(Sheet!BX65=Sheet!BX$2,4,IF(Sheet!BY65=Sheet!BY$2,3,IF(Sheet!BZ65=Sheet!BZ$2,2,IF(Sheet!CA65=Sheet!CA$2,1,""))))</f>
        <v>3</v>
      </c>
      <c r="CB65" s="58">
        <f>IF(Sheet!CB65=Sheet!CB$2,4,IF(Sheet!CC65=Sheet!CC$2,3,IF(Sheet!CD65=Sheet!CD$2,2,IF(Sheet!CE65=Sheet!CE$2,1,""))))</f>
        <v>3</v>
      </c>
      <c r="CF65" s="58">
        <f>IF(Sheet!CF65=Sheet!CF$2,4,IF(Sheet!CG65=Sheet!CG$2,3,IF(Sheet!CH65=Sheet!CH$2,2,IF(Sheet!CI65=Sheet!CI$2,1,""))))</f>
        <v>2</v>
      </c>
      <c r="CJ65" s="58">
        <f>IF(Sheet!CJ65=Sheet!CJ$2,4,IF(Sheet!CK65=Sheet!CK$2,3,IF(Sheet!CL65=Sheet!CL$2,2,IF(Sheet!CM65=Sheet!CM$2,1,""))))</f>
        <v>3</v>
      </c>
      <c r="CN65" s="58">
        <f>IF(Sheet!CN65=Sheet!CN$2,4,IF(Sheet!CO65=Sheet!CO$2,3,IF(Sheet!CP65=Sheet!CP$2,2,IF(Sheet!CQ65=Sheet!CQ$2,1,""))))</f>
        <v>4</v>
      </c>
      <c r="CR65" s="58">
        <f>IF(Sheet!CR65=Sheet!CR$2,4,IF(Sheet!CS65=Sheet!CS$2,3,IF(Sheet!CT65=Sheet!CT$2,2,IF(Sheet!CU65=Sheet!CU$2,1,""))))</f>
        <v>2</v>
      </c>
      <c r="CV65" s="58">
        <f>IF(Sheet!CV65=Sheet!CV$2,4,IF(Sheet!CW65=Sheet!CW$2,3,IF(Sheet!CX65=Sheet!CX$2,2,IF(Sheet!CY65=Sheet!CY$2,1,""))))</f>
        <v>2</v>
      </c>
      <c r="CZ65" s="58">
        <f>IF(Sheet!CZ65=Sheet!CZ$2,4,IF(Sheet!DA65=Sheet!DA$2,3,IF(Sheet!DB65=Sheet!DB$2,2,IF(Sheet!DC65=Sheet!DC$2,1,""))))</f>
        <v>1</v>
      </c>
      <c r="DD65" s="58">
        <f>IF(Sheet!DD65=Sheet!DD$2,4,IF(Sheet!DE65=Sheet!DE$2,3,IF(Sheet!DF65=Sheet!DF$2,2,IF(Sheet!DG65=Sheet!DG$2,1,""))))</f>
        <v>4</v>
      </c>
      <c r="DH65" s="58">
        <f>IF(Sheet!DH65=Sheet!DH$2,4,IF(Sheet!DI65=Sheet!DI$2,3,IF(Sheet!DJ65=Sheet!DJ$2,2,IF(Sheet!DK65=Sheet!DK$2,1,""))))</f>
        <v>2</v>
      </c>
      <c r="DL65" s="58">
        <f>IF(Sheet!DL65=Sheet!DL$2,4,IF(Sheet!DM65=Sheet!DM$2,3,IF(Sheet!DN65=Sheet!DN$2,2,IF(Sheet!DO65=Sheet!DO$2,1,""))))</f>
        <v>1</v>
      </c>
      <c r="DP65" s="58">
        <f>IF(Sheet!DP65=Sheet!DP$2,4,IF(Sheet!DQ65=Sheet!DQ$2,3,IF(Sheet!DR65=Sheet!DR$2,2,IF(Sheet!DS65=Sheet!DS$2,1,""))))</f>
        <v>3</v>
      </c>
      <c r="DT65" s="58">
        <f>IF(Sheet!DT65=Sheet!DT$2,4,IF(Sheet!DU65=Sheet!DU$2,3,IF(Sheet!DV65=Sheet!DV$2,2,IF(Sheet!DW65=Sheet!DW$2,1,""))))</f>
        <v>2</v>
      </c>
      <c r="DX65" s="58">
        <f>IF(Sheet!DX65=Sheet!DX$2,4,IF(Sheet!DY65=Sheet!DY$2,3,IF(Sheet!DZ65=Sheet!DZ$2,2,IF(Sheet!EA65=Sheet!EA$2,1,""))))</f>
        <v>1</v>
      </c>
      <c r="EB65" s="58">
        <f>IF(Sheet!EB65=Sheet!EB$2,4,IF(Sheet!EC65=Sheet!EC$2,3,IF(Sheet!ED65=Sheet!ED$2,2,IF(Sheet!EE65=Sheet!EE$2,1,""))))</f>
        <v>2</v>
      </c>
      <c r="EF65" s="58">
        <f>IF(Sheet!EF65=Sheet!EF$2,4,IF(Sheet!EG65=Sheet!EG$2,3,IF(Sheet!EH65=Sheet!EH$2,2,IF(Sheet!EI65=Sheet!EI$2,1,""))))</f>
        <v>2</v>
      </c>
      <c r="EJ65" s="58">
        <f>IF(Sheet!EJ65=Sheet!EJ$2,4,IF(Sheet!EK65=Sheet!EK$2,3,IF(Sheet!EL65=Sheet!EL$2,2,IF(Sheet!EM65=Sheet!EM$2,1,""))))</f>
        <v>2</v>
      </c>
      <c r="EN65" s="58">
        <f>IF(Sheet!EN65=Sheet!EN$2,4,IF(Sheet!EO65=Sheet!EO$2,3,IF(Sheet!EP65=Sheet!EP$2,2,IF(Sheet!EQ65=Sheet!EQ$2,1,""))))</f>
        <v>3</v>
      </c>
      <c r="ER65" s="58">
        <f>IF(Sheet!ER65=Sheet!ER$2,4,IF(Sheet!ES65=Sheet!ES$2,3,IF(Sheet!ET65=Sheet!ET$2,2,IF(Sheet!EU65=Sheet!EU$2,1,""))))</f>
        <v>3</v>
      </c>
      <c r="EV65" s="58">
        <f>IF(Sheet!EV65=Sheet!EV$2,4,IF(Sheet!EW65=Sheet!EW$2,3,IF(Sheet!EX65=Sheet!EX$2,2,IF(Sheet!EY65=Sheet!EY$2,1,""))))</f>
        <v>3</v>
      </c>
      <c r="EZ65" s="58">
        <f>IF(Sheet!EZ65=Sheet!EZ$2,4,IF(Sheet!FA65=Sheet!FA$2,3,IF(Sheet!FB65=Sheet!FB$2,2,IF(Sheet!FC65=Sheet!FC$2,1,""))))</f>
        <v>1</v>
      </c>
      <c r="FD65" s="58">
        <f>IF(Sheet!FD65=Sheet!FD$2,4,IF(Sheet!FE65=Sheet!FE$2,3,IF(Sheet!FF65=Sheet!FF$2,2,IF(Sheet!FG65=Sheet!FG$2,1,""))))</f>
        <v>3</v>
      </c>
      <c r="FH65" s="58">
        <f>IF(Sheet!FH65=Sheet!FH$2,4,IF(Sheet!FI65=Sheet!FI$2,3,IF(Sheet!FJ65=Sheet!FJ$2,2,IF(Sheet!FK65=Sheet!FK$2,1,""))))</f>
        <v>3</v>
      </c>
      <c r="FL65" s="58">
        <f>IF(Sheet!FL65=Sheet!FL$2,4,IF(Sheet!FM65=Sheet!FM$2,3,IF(Sheet!FN65=Sheet!FN$2,2,IF(Sheet!FO65=Sheet!FO$2,1,""))))</f>
        <v>3</v>
      </c>
    </row>
    <row r="66" spans="1:168">
      <c r="A66" t="str">
        <f>Sheet!A66</f>
        <v xml:space="preserve">ID001 </v>
      </c>
      <c r="AT66" s="56">
        <f t="shared" si="0"/>
        <v>2.0333333333333332</v>
      </c>
      <c r="AV66" s="58">
        <f>IF(Sheet!AV66=Sheet!AV$2,4,IF(Sheet!AW66=Sheet!AW$2,3,IF(Sheet!AX66=Sheet!AX$2,2,IF(Sheet!AY66=Sheet!AY$2,1,""))))</f>
        <v>2</v>
      </c>
      <c r="AZ66" s="58">
        <f>IF(Sheet!AZ66=Sheet!AZ$2,4,IF(Sheet!BA66=Sheet!BA$2,3,IF(Sheet!BB66=Sheet!BB$2,2,IF(Sheet!BC66=Sheet!BC$2,1,""))))</f>
        <v>4</v>
      </c>
      <c r="BD66" s="58">
        <f>IF(Sheet!BD66=Sheet!BD$2,4,IF(Sheet!BE66=Sheet!BE$2,3,IF(Sheet!BF66=Sheet!BF$2,2,IF(Sheet!BG66=Sheet!BG$2,1,""))))</f>
        <v>3</v>
      </c>
      <c r="BH66" s="58">
        <f>IF(Sheet!BH66=Sheet!BH$2,4,IF(Sheet!BI66=Sheet!BI$2,3,IF(Sheet!BJ66=Sheet!BJ$2,2,IF(Sheet!BK66=Sheet!BK$2,1,""))))</f>
        <v>2</v>
      </c>
      <c r="BL66" s="58">
        <f>IF(Sheet!BL66=Sheet!BL$2,4,IF(Sheet!BM66=Sheet!BM$2,3,IF(Sheet!BN66=Sheet!BN$2,2,IF(Sheet!BO66=Sheet!BO$2,1,""))))</f>
        <v>2</v>
      </c>
      <c r="BP66" s="58">
        <f>IF(Sheet!BP66=Sheet!BP$2,4,IF(Sheet!BQ66=Sheet!BQ$2,3,IF(Sheet!BR66=Sheet!BR$2,2,IF(Sheet!BS66=Sheet!BS$2,1,""))))</f>
        <v>2</v>
      </c>
      <c r="BT66" s="58">
        <f>IF(Sheet!BT66=Sheet!BT$2,4,IF(Sheet!BU66=Sheet!BU$2,3,IF(Sheet!BV66=Sheet!BV$2,2,IF(Sheet!BW66=Sheet!BW$2,1,""))))</f>
        <v>3</v>
      </c>
      <c r="BX66" s="58">
        <f>IF(Sheet!BX66=Sheet!BX$2,4,IF(Sheet!BY66=Sheet!BY$2,3,IF(Sheet!BZ66=Sheet!BZ$2,2,IF(Sheet!CA66=Sheet!CA$2,1,""))))</f>
        <v>4</v>
      </c>
      <c r="CB66" s="58">
        <f>IF(Sheet!CB66=Sheet!CB$2,4,IF(Sheet!CC66=Sheet!CC$2,3,IF(Sheet!CD66=Sheet!CD$2,2,IF(Sheet!CE66=Sheet!CE$2,1,""))))</f>
        <v>2</v>
      </c>
      <c r="CF66" s="58">
        <f>IF(Sheet!CF66=Sheet!CF$2,4,IF(Sheet!CG66=Sheet!CG$2,3,IF(Sheet!CH66=Sheet!CH$2,2,IF(Sheet!CI66=Sheet!CI$2,1,""))))</f>
        <v>2</v>
      </c>
      <c r="CJ66" s="58">
        <f>IF(Sheet!CJ66=Sheet!CJ$2,4,IF(Sheet!CK66=Sheet!CK$2,3,IF(Sheet!CL66=Sheet!CL$2,2,IF(Sheet!CM66=Sheet!CM$2,1,""))))</f>
        <v>3</v>
      </c>
      <c r="CN66" s="58">
        <f>IF(Sheet!CN66=Sheet!CN$2,4,IF(Sheet!CO66=Sheet!CO$2,3,IF(Sheet!CP66=Sheet!CP$2,2,IF(Sheet!CQ66=Sheet!CQ$2,1,""))))</f>
        <v>1</v>
      </c>
      <c r="CR66" s="58">
        <f>IF(Sheet!CR66=Sheet!CR$2,4,IF(Sheet!CS66=Sheet!CS$2,3,IF(Sheet!CT66=Sheet!CT$2,2,IF(Sheet!CU66=Sheet!CU$2,1,""))))</f>
        <v>1</v>
      </c>
      <c r="CV66" s="58">
        <f>IF(Sheet!CV66=Sheet!CV$2,4,IF(Sheet!CW66=Sheet!CW$2,3,IF(Sheet!CX66=Sheet!CX$2,2,IF(Sheet!CY66=Sheet!CY$2,1,""))))</f>
        <v>1</v>
      </c>
      <c r="CZ66" s="58">
        <f>IF(Sheet!CZ66=Sheet!CZ$2,4,IF(Sheet!DA66=Sheet!DA$2,3,IF(Sheet!DB66=Sheet!DB$2,2,IF(Sheet!DC66=Sheet!DC$2,1,""))))</f>
        <v>1</v>
      </c>
      <c r="DD66" s="58">
        <f>IF(Sheet!DD66=Sheet!DD$2,4,IF(Sheet!DE66=Sheet!DE$2,3,IF(Sheet!DF66=Sheet!DF$2,2,IF(Sheet!DG66=Sheet!DG$2,1,""))))</f>
        <v>3</v>
      </c>
      <c r="DH66" s="58">
        <f>IF(Sheet!DH66=Sheet!DH$2,4,IF(Sheet!DI66=Sheet!DI$2,3,IF(Sheet!DJ66=Sheet!DJ$2,2,IF(Sheet!DK66=Sheet!DK$2,1,""))))</f>
        <v>2</v>
      </c>
      <c r="DL66" s="58">
        <f>IF(Sheet!DL66=Sheet!DL$2,4,IF(Sheet!DM66=Sheet!DM$2,3,IF(Sheet!DN66=Sheet!DN$2,2,IF(Sheet!DO66=Sheet!DO$2,1,""))))</f>
        <v>3</v>
      </c>
      <c r="DP66" s="58">
        <f>IF(Sheet!DP66=Sheet!DP$2,4,IF(Sheet!DQ66=Sheet!DQ$2,3,IF(Sheet!DR66=Sheet!DR$2,2,IF(Sheet!DS66=Sheet!DS$2,1,""))))</f>
        <v>3</v>
      </c>
      <c r="DT66" s="58">
        <f>IF(Sheet!DT66=Sheet!DT$2,4,IF(Sheet!DU66=Sheet!DU$2,3,IF(Sheet!DV66=Sheet!DV$2,2,IF(Sheet!DW66=Sheet!DW$2,1,""))))</f>
        <v>1</v>
      </c>
      <c r="DX66" s="58">
        <f>IF(Sheet!DX66=Sheet!DX$2,4,IF(Sheet!DY66=Sheet!DY$2,3,IF(Sheet!DZ66=Sheet!DZ$2,2,IF(Sheet!EA66=Sheet!EA$2,1,""))))</f>
        <v>1</v>
      </c>
      <c r="EB66" s="58">
        <f>IF(Sheet!EB66=Sheet!EB$2,4,IF(Sheet!EC66=Sheet!EC$2,3,IF(Sheet!ED66=Sheet!ED$2,2,IF(Sheet!EE66=Sheet!EE$2,1,""))))</f>
        <v>1</v>
      </c>
      <c r="EF66" s="58">
        <f>IF(Sheet!EF66=Sheet!EF$2,4,IF(Sheet!EG66=Sheet!EG$2,3,IF(Sheet!EH66=Sheet!EH$2,2,IF(Sheet!EI66=Sheet!EI$2,1,""))))</f>
        <v>1</v>
      </c>
      <c r="EJ66" s="58">
        <f>IF(Sheet!EJ66=Sheet!EJ$2,4,IF(Sheet!EK66=Sheet!EK$2,3,IF(Sheet!EL66=Sheet!EL$2,2,IF(Sheet!EM66=Sheet!EM$2,1,""))))</f>
        <v>1</v>
      </c>
      <c r="EN66" s="58">
        <f>IF(Sheet!EN66=Sheet!EN$2,4,IF(Sheet!EO66=Sheet!EO$2,3,IF(Sheet!EP66=Sheet!EP$2,2,IF(Sheet!EQ66=Sheet!EQ$2,1,""))))</f>
        <v>1</v>
      </c>
      <c r="ER66" s="58" t="str">
        <f>IF(Sheet!ER66=Sheet!ER$2,4,IF(Sheet!ES66=Sheet!ES$2,3,IF(Sheet!ET66=Sheet!ET$2,2,IF(Sheet!EU66=Sheet!EU$2,1,""))))</f>
        <v/>
      </c>
      <c r="EV66" s="58">
        <f>IF(Sheet!EV66=Sheet!EV$2,4,IF(Sheet!EW66=Sheet!EW$2,3,IF(Sheet!EX66=Sheet!EX$2,2,IF(Sheet!EY66=Sheet!EY$2,1,""))))</f>
        <v>2</v>
      </c>
      <c r="EZ66" s="58">
        <f>IF(Sheet!EZ66=Sheet!EZ$2,4,IF(Sheet!FA66=Sheet!FA$2,3,IF(Sheet!FB66=Sheet!FB$2,2,IF(Sheet!FC66=Sheet!FC$2,1,""))))</f>
        <v>2</v>
      </c>
      <c r="FD66" s="58">
        <f>IF(Sheet!FD66=Sheet!FD$2,4,IF(Sheet!FE66=Sheet!FE$2,3,IF(Sheet!FF66=Sheet!FF$2,2,IF(Sheet!FG66=Sheet!FG$2,1,""))))</f>
        <v>1</v>
      </c>
      <c r="FH66" s="58">
        <f>IF(Sheet!FH66=Sheet!FH$2,4,IF(Sheet!FI66=Sheet!FI$2,3,IF(Sheet!FJ66=Sheet!FJ$2,2,IF(Sheet!FK66=Sheet!FK$2,1,""))))</f>
        <v>4</v>
      </c>
      <c r="FL66" s="58">
        <f>IF(Sheet!FL66=Sheet!FL$2,4,IF(Sheet!FM66=Sheet!FM$2,3,IF(Sheet!FN66=Sheet!FN$2,2,IF(Sheet!FO66=Sheet!FO$2,1,""))))</f>
        <v>2</v>
      </c>
    </row>
    <row r="67" spans="1:168">
      <c r="A67" t="str">
        <f>Sheet!A67</f>
        <v>UN001</v>
      </c>
      <c r="AT67" s="56">
        <f t="shared" si="0"/>
        <v>2.4193548387096775</v>
      </c>
      <c r="AV67" s="58">
        <f>IF(Sheet!AV67=Sheet!AV$2,4,IF(Sheet!AW67=Sheet!AW$2,3,IF(Sheet!AX67=Sheet!AX$2,2,IF(Sheet!AY67=Sheet!AY$2,1,""))))</f>
        <v>1</v>
      </c>
      <c r="AZ67" s="58">
        <f>IF(Sheet!AZ67=Sheet!AZ$2,4,IF(Sheet!BA67=Sheet!BA$2,3,IF(Sheet!BB67=Sheet!BB$2,2,IF(Sheet!BC67=Sheet!BC$2,1,""))))</f>
        <v>3</v>
      </c>
      <c r="BD67" s="58">
        <f>IF(Sheet!BD67=Sheet!BD$2,4,IF(Sheet!BE67=Sheet!BE$2,3,IF(Sheet!BF67=Sheet!BF$2,2,IF(Sheet!BG67=Sheet!BG$2,1,""))))</f>
        <v>1</v>
      </c>
      <c r="BH67" s="58">
        <f>IF(Sheet!BH67=Sheet!BH$2,4,IF(Sheet!BI67=Sheet!BI$2,3,IF(Sheet!BJ67=Sheet!BJ$2,2,IF(Sheet!BK67=Sheet!BK$2,1,""))))</f>
        <v>3</v>
      </c>
      <c r="BL67" s="58">
        <f>IF(Sheet!BL67=Sheet!BL$2,4,IF(Sheet!BM67=Sheet!BM$2,3,IF(Sheet!BN67=Sheet!BN$2,2,IF(Sheet!BO67=Sheet!BO$2,1,""))))</f>
        <v>4</v>
      </c>
      <c r="BP67" s="58">
        <f>IF(Sheet!BP67=Sheet!BP$2,4,IF(Sheet!BQ67=Sheet!BQ$2,3,IF(Sheet!BR67=Sheet!BR$2,2,IF(Sheet!BS67=Sheet!BS$2,1,""))))</f>
        <v>3</v>
      </c>
      <c r="BT67" s="58">
        <f>IF(Sheet!BT67=Sheet!BT$2,4,IF(Sheet!BU67=Sheet!BU$2,3,IF(Sheet!BV67=Sheet!BV$2,2,IF(Sheet!BW67=Sheet!BW$2,1,""))))</f>
        <v>2</v>
      </c>
      <c r="BX67" s="58">
        <f>IF(Sheet!BX67=Sheet!BX$2,4,IF(Sheet!BY67=Sheet!BY$2,3,IF(Sheet!BZ67=Sheet!BZ$2,2,IF(Sheet!CA67=Sheet!CA$2,1,""))))</f>
        <v>4</v>
      </c>
      <c r="CB67" s="58">
        <f>IF(Sheet!CB67=Sheet!CB$2,4,IF(Sheet!CC67=Sheet!CC$2,3,IF(Sheet!CD67=Sheet!CD$2,2,IF(Sheet!CE67=Sheet!CE$2,1,""))))</f>
        <v>1</v>
      </c>
      <c r="CF67" s="58">
        <f>IF(Sheet!CF67=Sheet!CF$2,4,IF(Sheet!CG67=Sheet!CG$2,3,IF(Sheet!CH67=Sheet!CH$2,2,IF(Sheet!CI67=Sheet!CI$2,1,""))))</f>
        <v>2</v>
      </c>
      <c r="CJ67" s="58">
        <f>IF(Sheet!CJ67=Sheet!CJ$2,4,IF(Sheet!CK67=Sheet!CK$2,3,IF(Sheet!CL67=Sheet!CL$2,2,IF(Sheet!CM67=Sheet!CM$2,1,""))))</f>
        <v>4</v>
      </c>
      <c r="CN67" s="58">
        <f>IF(Sheet!CN67=Sheet!CN$2,4,IF(Sheet!CO67=Sheet!CO$2,3,IF(Sheet!CP67=Sheet!CP$2,2,IF(Sheet!CQ67=Sheet!CQ$2,1,""))))</f>
        <v>2</v>
      </c>
      <c r="CR67" s="58">
        <f>IF(Sheet!CR67=Sheet!CR$2,4,IF(Sheet!CS67=Sheet!CS$2,3,IF(Sheet!CT67=Sheet!CT$2,2,IF(Sheet!CU67=Sheet!CU$2,1,""))))</f>
        <v>3</v>
      </c>
      <c r="CV67" s="58">
        <f>IF(Sheet!CV67=Sheet!CV$2,4,IF(Sheet!CW67=Sheet!CW$2,3,IF(Sheet!CX67=Sheet!CX$2,2,IF(Sheet!CY67=Sheet!CY$2,1,""))))</f>
        <v>4</v>
      </c>
      <c r="CZ67" s="58">
        <f>IF(Sheet!CZ67=Sheet!CZ$2,4,IF(Sheet!DA67=Sheet!DA$2,3,IF(Sheet!DB67=Sheet!DB$2,2,IF(Sheet!DC67=Sheet!DC$2,1,""))))</f>
        <v>2</v>
      </c>
      <c r="DD67" s="58">
        <f>IF(Sheet!DD67=Sheet!DD$2,4,IF(Sheet!DE67=Sheet!DE$2,3,IF(Sheet!DF67=Sheet!DF$2,2,IF(Sheet!DG67=Sheet!DG$2,1,""))))</f>
        <v>4</v>
      </c>
      <c r="DH67" s="58">
        <f>IF(Sheet!DH67=Sheet!DH$2,4,IF(Sheet!DI67=Sheet!DI$2,3,IF(Sheet!DJ67=Sheet!DJ$2,2,IF(Sheet!DK67=Sheet!DK$2,1,""))))</f>
        <v>4</v>
      </c>
      <c r="DL67" s="58">
        <f>IF(Sheet!DL67=Sheet!DL$2,4,IF(Sheet!DM67=Sheet!DM$2,3,IF(Sheet!DN67=Sheet!DN$2,2,IF(Sheet!DO67=Sheet!DO$2,1,""))))</f>
        <v>4</v>
      </c>
      <c r="DP67" s="58">
        <f>IF(Sheet!DP67=Sheet!DP$2,4,IF(Sheet!DQ67=Sheet!DQ$2,3,IF(Sheet!DR67=Sheet!DR$2,2,IF(Sheet!DS67=Sheet!DS$2,1,""))))</f>
        <v>1</v>
      </c>
      <c r="DT67" s="58">
        <f>IF(Sheet!DT67=Sheet!DT$2,4,IF(Sheet!DU67=Sheet!DU$2,3,IF(Sheet!DV67=Sheet!DV$2,2,IF(Sheet!DW67=Sheet!DW$2,1,""))))</f>
        <v>3</v>
      </c>
      <c r="DX67" s="58">
        <f>IF(Sheet!DX67=Sheet!DX$2,4,IF(Sheet!DY67=Sheet!DY$2,3,IF(Sheet!DZ67=Sheet!DZ$2,2,IF(Sheet!EA67=Sheet!EA$2,1,""))))</f>
        <v>3</v>
      </c>
      <c r="EB67" s="58">
        <f>IF(Sheet!EB67=Sheet!EB$2,4,IF(Sheet!EC67=Sheet!EC$2,3,IF(Sheet!ED67=Sheet!ED$2,2,IF(Sheet!EE67=Sheet!EE$2,1,""))))</f>
        <v>2</v>
      </c>
      <c r="EF67" s="58">
        <f>IF(Sheet!EF67=Sheet!EF$2,4,IF(Sheet!EG67=Sheet!EG$2,3,IF(Sheet!EH67=Sheet!EH$2,2,IF(Sheet!EI67=Sheet!EI$2,1,""))))</f>
        <v>1</v>
      </c>
      <c r="EJ67" s="58">
        <f>IF(Sheet!EJ67=Sheet!EJ$2,4,IF(Sheet!EK67=Sheet!EK$2,3,IF(Sheet!EL67=Sheet!EL$2,2,IF(Sheet!EM67=Sheet!EM$2,1,""))))</f>
        <v>1</v>
      </c>
      <c r="EN67" s="58">
        <f>IF(Sheet!EN67=Sheet!EN$2,4,IF(Sheet!EO67=Sheet!EO$2,3,IF(Sheet!EP67=Sheet!EP$2,2,IF(Sheet!EQ67=Sheet!EQ$2,1,""))))</f>
        <v>2</v>
      </c>
      <c r="ER67" s="58">
        <f>IF(Sheet!ER67=Sheet!ER$2,4,IF(Sheet!ES67=Sheet!ES$2,3,IF(Sheet!ET67=Sheet!ET$2,2,IF(Sheet!EU67=Sheet!EU$2,1,""))))</f>
        <v>3</v>
      </c>
      <c r="EV67" s="58">
        <f>IF(Sheet!EV67=Sheet!EV$2,4,IF(Sheet!EW67=Sheet!EW$2,3,IF(Sheet!EX67=Sheet!EX$2,2,IF(Sheet!EY67=Sheet!EY$2,1,""))))</f>
        <v>3</v>
      </c>
      <c r="EZ67" s="58">
        <f>IF(Sheet!EZ67=Sheet!EZ$2,4,IF(Sheet!FA67=Sheet!FA$2,3,IF(Sheet!FB67=Sheet!FB$2,2,IF(Sheet!FC67=Sheet!FC$2,1,""))))</f>
        <v>1</v>
      </c>
      <c r="FD67" s="58">
        <f>IF(Sheet!FD67=Sheet!FD$2,4,IF(Sheet!FE67=Sheet!FE$2,3,IF(Sheet!FF67=Sheet!FF$2,2,IF(Sheet!FG67=Sheet!FG$2,1,""))))</f>
        <v>1</v>
      </c>
      <c r="FH67" s="58">
        <f>IF(Sheet!FH67=Sheet!FH$2,4,IF(Sheet!FI67=Sheet!FI$2,3,IF(Sheet!FJ67=Sheet!FJ$2,2,IF(Sheet!FK67=Sheet!FK$2,1,""))))</f>
        <v>1</v>
      </c>
      <c r="FL67" s="58">
        <f>IF(Sheet!FL67=Sheet!FL$2,4,IF(Sheet!FM67=Sheet!FM$2,3,IF(Sheet!FN67=Sheet!FN$2,2,IF(Sheet!FO67=Sheet!FO$2,1,""))))</f>
        <v>2</v>
      </c>
    </row>
    <row r="68" spans="1:168">
      <c r="A68" t="str">
        <f>Sheet!A68</f>
        <v>BO001</v>
      </c>
      <c r="AT68" s="56">
        <f t="shared" ref="AT68:AT69" si="1">AVERAGE(AV68:FL68)</f>
        <v>1.5483870967741935</v>
      </c>
      <c r="AV68" s="58">
        <f>IF(Sheet!AV68=Sheet!AV$2,4,IF(Sheet!AW68=Sheet!AW$2,3,IF(Sheet!AX68=Sheet!AX$2,2,IF(Sheet!AY68=Sheet!AY$2,1,""))))</f>
        <v>1</v>
      </c>
      <c r="AZ68" s="58">
        <f>IF(Sheet!AZ68=Sheet!AZ$2,4,IF(Sheet!BA68=Sheet!BA$2,3,IF(Sheet!BB68=Sheet!BB$2,2,IF(Sheet!BC68=Sheet!BC$2,1,""))))</f>
        <v>2</v>
      </c>
      <c r="BD68" s="58">
        <f>IF(Sheet!BD68=Sheet!BD$2,4,IF(Sheet!BE68=Sheet!BE$2,3,IF(Sheet!BF68=Sheet!BF$2,2,IF(Sheet!BG68=Sheet!BG$2,1,""))))</f>
        <v>1</v>
      </c>
      <c r="BH68" s="58">
        <f>IF(Sheet!BH68=Sheet!BH$2,4,IF(Sheet!BI68=Sheet!BI$2,3,IF(Sheet!BJ68=Sheet!BJ$2,2,IF(Sheet!BK68=Sheet!BK$2,1,""))))</f>
        <v>2</v>
      </c>
      <c r="BL68" s="58">
        <f>IF(Sheet!BL68=Sheet!BL$2,4,IF(Sheet!BM68=Sheet!BM$2,3,IF(Sheet!BN68=Sheet!BN$2,2,IF(Sheet!BO68=Sheet!BO$2,1,""))))</f>
        <v>2</v>
      </c>
      <c r="BP68" s="58">
        <f>IF(Sheet!BP68=Sheet!BP$2,4,IF(Sheet!BQ68=Sheet!BQ$2,3,IF(Sheet!BR68=Sheet!BR$2,2,IF(Sheet!BS68=Sheet!BS$2,1,""))))</f>
        <v>1</v>
      </c>
      <c r="BT68" s="58">
        <f>IF(Sheet!BT68=Sheet!BT$2,4,IF(Sheet!BU68=Sheet!BU$2,3,IF(Sheet!BV68=Sheet!BV$2,2,IF(Sheet!BW68=Sheet!BW$2,1,""))))</f>
        <v>1</v>
      </c>
      <c r="BX68" s="58">
        <f>IF(Sheet!BX68=Sheet!BX$2,4,IF(Sheet!BY68=Sheet!BY$2,3,IF(Sheet!BZ68=Sheet!BZ$2,2,IF(Sheet!CA68=Sheet!CA$2,1,""))))</f>
        <v>1</v>
      </c>
      <c r="CB68" s="58">
        <f>IF(Sheet!CB68=Sheet!CB$2,4,IF(Sheet!CC68=Sheet!CC$2,3,IF(Sheet!CD68=Sheet!CD$2,2,IF(Sheet!CE68=Sheet!CE$2,1,""))))</f>
        <v>1</v>
      </c>
      <c r="CF68" s="58">
        <f>IF(Sheet!CF68=Sheet!CF$2,4,IF(Sheet!CG68=Sheet!CG$2,3,IF(Sheet!CH68=Sheet!CH$2,2,IF(Sheet!CI68=Sheet!CI$2,1,""))))</f>
        <v>1</v>
      </c>
      <c r="CJ68" s="58">
        <f>IF(Sheet!CJ68=Sheet!CJ$2,4,IF(Sheet!CK68=Sheet!CK$2,3,IF(Sheet!CL68=Sheet!CL$2,2,IF(Sheet!CM68=Sheet!CM$2,1,""))))</f>
        <v>2</v>
      </c>
      <c r="CN68" s="58">
        <f>IF(Sheet!CN68=Sheet!CN$2,4,IF(Sheet!CO68=Sheet!CO$2,3,IF(Sheet!CP68=Sheet!CP$2,2,IF(Sheet!CQ68=Sheet!CQ$2,1,""))))</f>
        <v>1</v>
      </c>
      <c r="CR68" s="58">
        <f>IF(Sheet!CR68=Sheet!CR$2,4,IF(Sheet!CS68=Sheet!CS$2,3,IF(Sheet!CT68=Sheet!CT$2,2,IF(Sheet!CU68=Sheet!CU$2,1,""))))</f>
        <v>1</v>
      </c>
      <c r="CV68" s="58">
        <f>IF(Sheet!CV68=Sheet!CV$2,4,IF(Sheet!CW68=Sheet!CW$2,3,IF(Sheet!CX68=Sheet!CX$2,2,IF(Sheet!CY68=Sheet!CY$2,1,""))))</f>
        <v>2</v>
      </c>
      <c r="CZ68" s="58">
        <f>IF(Sheet!CZ68=Sheet!CZ$2,4,IF(Sheet!DA68=Sheet!DA$2,3,IF(Sheet!DB68=Sheet!DB$2,2,IF(Sheet!DC68=Sheet!DC$2,1,""))))</f>
        <v>2</v>
      </c>
      <c r="DD68" s="58">
        <f>IF(Sheet!DD68=Sheet!DD$2,4,IF(Sheet!DE68=Sheet!DE$2,3,IF(Sheet!DF68=Sheet!DF$2,2,IF(Sheet!DG68=Sheet!DG$2,1,""))))</f>
        <v>4</v>
      </c>
      <c r="DH68" s="58">
        <f>IF(Sheet!DH68=Sheet!DH$2,4,IF(Sheet!DI68=Sheet!DI$2,3,IF(Sheet!DJ68=Sheet!DJ$2,2,IF(Sheet!DK68=Sheet!DK$2,1,""))))</f>
        <v>2</v>
      </c>
      <c r="DL68" s="58">
        <f>IF(Sheet!DL68=Sheet!DL$2,4,IF(Sheet!DM68=Sheet!DM$2,3,IF(Sheet!DN68=Sheet!DN$2,2,IF(Sheet!DO68=Sheet!DO$2,1,""))))</f>
        <v>1</v>
      </c>
      <c r="DP68" s="58">
        <f>IF(Sheet!DP68=Sheet!DP$2,4,IF(Sheet!DQ68=Sheet!DQ$2,3,IF(Sheet!DR68=Sheet!DR$2,2,IF(Sheet!DS68=Sheet!DS$2,1,""))))</f>
        <v>1</v>
      </c>
      <c r="DT68" s="58">
        <f>IF(Sheet!DT68=Sheet!DT$2,4,IF(Sheet!DU68=Sheet!DU$2,3,IF(Sheet!DV68=Sheet!DV$2,2,IF(Sheet!DW68=Sheet!DW$2,1,""))))</f>
        <v>2</v>
      </c>
      <c r="DX68" s="58">
        <f>IF(Sheet!DX68=Sheet!DX$2,4,IF(Sheet!DY68=Sheet!DY$2,3,IF(Sheet!DZ68=Sheet!DZ$2,2,IF(Sheet!EA68=Sheet!EA$2,1,""))))</f>
        <v>1</v>
      </c>
      <c r="EB68" s="58">
        <f>IF(Sheet!EB68=Sheet!EB$2,4,IF(Sheet!EC68=Sheet!EC$2,3,IF(Sheet!ED68=Sheet!ED$2,2,IF(Sheet!EE68=Sheet!EE$2,1,""))))</f>
        <v>1</v>
      </c>
      <c r="EF68" s="58">
        <f>IF(Sheet!EF68=Sheet!EF$2,4,IF(Sheet!EG68=Sheet!EG$2,3,IF(Sheet!EH68=Sheet!EH$2,2,IF(Sheet!EI68=Sheet!EI$2,1,""))))</f>
        <v>1</v>
      </c>
      <c r="EJ68" s="58">
        <f>IF(Sheet!EJ68=Sheet!EJ$2,4,IF(Sheet!EK68=Sheet!EK$2,3,IF(Sheet!EL68=Sheet!EL$2,2,IF(Sheet!EM68=Sheet!EM$2,1,""))))</f>
        <v>1</v>
      </c>
      <c r="EN68" s="58">
        <f>IF(Sheet!EN68=Sheet!EN$2,4,IF(Sheet!EO68=Sheet!EO$2,3,IF(Sheet!EP68=Sheet!EP$2,2,IF(Sheet!EQ68=Sheet!EQ$2,1,""))))</f>
        <v>1</v>
      </c>
      <c r="ER68" s="58">
        <f>IF(Sheet!ER68=Sheet!ER$2,4,IF(Sheet!ES68=Sheet!ES$2,3,IF(Sheet!ET68=Sheet!ET$2,2,IF(Sheet!EU68=Sheet!EU$2,1,""))))</f>
        <v>1</v>
      </c>
      <c r="EV68" s="58">
        <f>IF(Sheet!EV68=Sheet!EV$2,4,IF(Sheet!EW68=Sheet!EW$2,3,IF(Sheet!EX68=Sheet!EX$2,2,IF(Sheet!EY68=Sheet!EY$2,1,""))))</f>
        <v>1</v>
      </c>
      <c r="EZ68" s="58">
        <f>IF(Sheet!EZ68=Sheet!EZ$2,4,IF(Sheet!FA68=Sheet!FA$2,3,IF(Sheet!FB68=Sheet!FB$2,2,IF(Sheet!FC68=Sheet!FC$2,1,""))))</f>
        <v>1</v>
      </c>
      <c r="FD68" s="58">
        <f>IF(Sheet!FD68=Sheet!FD$2,4,IF(Sheet!FE68=Sheet!FE$2,3,IF(Sheet!FF68=Sheet!FF$2,2,IF(Sheet!FG68=Sheet!FG$2,1,""))))</f>
        <v>2</v>
      </c>
      <c r="FH68" s="58">
        <f>IF(Sheet!FH68=Sheet!FH$2,4,IF(Sheet!FI68=Sheet!FI$2,3,IF(Sheet!FJ68=Sheet!FJ$2,2,IF(Sheet!FK68=Sheet!FK$2,1,""))))</f>
        <v>4</v>
      </c>
      <c r="FL68" s="58">
        <f>IF(Sheet!FL68=Sheet!FL$2,4,IF(Sheet!FM68=Sheet!FM$2,3,IF(Sheet!FN68=Sheet!FN$2,2,IF(Sheet!FO68=Sheet!FO$2,1,""))))</f>
        <v>3</v>
      </c>
    </row>
    <row r="69" spans="1:168">
      <c r="A69" t="str">
        <f>Sheet!A69</f>
        <v>UD001</v>
      </c>
      <c r="AT69" s="56">
        <f t="shared" si="1"/>
        <v>1.6129032258064515</v>
      </c>
      <c r="AV69" s="58">
        <f>IF(Sheet!AV69=Sheet!AV$2,4,IF(Sheet!AW69=Sheet!AW$2,3,IF(Sheet!AX69=Sheet!AX$2,2,IF(Sheet!AY69=Sheet!AY$2,1,""))))</f>
        <v>2</v>
      </c>
      <c r="AZ69" s="58">
        <f>IF(Sheet!AZ69=Sheet!AZ$2,4,IF(Sheet!BA69=Sheet!BA$2,3,IF(Sheet!BB69=Sheet!BB$2,2,IF(Sheet!BC69=Sheet!BC$2,1,""))))</f>
        <v>1</v>
      </c>
      <c r="BD69" s="58">
        <f>IF(Sheet!BD69=Sheet!BD$2,4,IF(Sheet!BE69=Sheet!BE$2,3,IF(Sheet!BF69=Sheet!BF$2,2,IF(Sheet!BG69=Sheet!BG$2,1,""))))</f>
        <v>2</v>
      </c>
      <c r="BH69" s="58">
        <f>IF(Sheet!BH69=Sheet!BH$2,4,IF(Sheet!BI69=Sheet!BI$2,3,IF(Sheet!BJ69=Sheet!BJ$2,2,IF(Sheet!BK69=Sheet!BK$2,1,""))))</f>
        <v>1</v>
      </c>
      <c r="BL69" s="58">
        <f>IF(Sheet!BL69=Sheet!BL$2,4,IF(Sheet!BM69=Sheet!BM$2,3,IF(Sheet!BN69=Sheet!BN$2,2,IF(Sheet!BO69=Sheet!BO$2,1,""))))</f>
        <v>2</v>
      </c>
      <c r="BP69" s="58">
        <f>IF(Sheet!BP69=Sheet!BP$2,4,IF(Sheet!BQ69=Sheet!BQ$2,3,IF(Sheet!BR69=Sheet!BR$2,2,IF(Sheet!BS69=Sheet!BS$2,1,""))))</f>
        <v>1</v>
      </c>
      <c r="BT69" s="58">
        <f>IF(Sheet!BT69=Sheet!BT$2,4,IF(Sheet!BU69=Sheet!BU$2,3,IF(Sheet!BV69=Sheet!BV$2,2,IF(Sheet!BW69=Sheet!BW$2,1,""))))</f>
        <v>1</v>
      </c>
      <c r="BX69" s="58">
        <f>IF(Sheet!BX69=Sheet!BX$2,4,IF(Sheet!BY69=Sheet!BY$2,3,IF(Sheet!BZ69=Sheet!BZ$2,2,IF(Sheet!CA69=Sheet!CA$2,1,""))))</f>
        <v>2</v>
      </c>
      <c r="CB69" s="58">
        <f>IF(Sheet!CB69=Sheet!CB$2,4,IF(Sheet!CC69=Sheet!CC$2,3,IF(Sheet!CD69=Sheet!CD$2,2,IF(Sheet!CE69=Sheet!CE$2,1,""))))</f>
        <v>1</v>
      </c>
      <c r="CF69" s="58">
        <f>IF(Sheet!CF69=Sheet!CF$2,4,IF(Sheet!CG69=Sheet!CG$2,3,IF(Sheet!CH69=Sheet!CH$2,2,IF(Sheet!CI69=Sheet!CI$2,1,""))))</f>
        <v>1</v>
      </c>
      <c r="CJ69" s="58">
        <f>IF(Sheet!CJ69=Sheet!CJ$2,4,IF(Sheet!CK69=Sheet!CK$2,3,IF(Sheet!CL69=Sheet!CL$2,2,IF(Sheet!CM69=Sheet!CM$2,1,""))))</f>
        <v>1</v>
      </c>
      <c r="CN69" s="58">
        <f>IF(Sheet!CN69=Sheet!CN$2,4,IF(Sheet!CO69=Sheet!CO$2,3,IF(Sheet!CP69=Sheet!CP$2,2,IF(Sheet!CQ69=Sheet!CQ$2,1,""))))</f>
        <v>2</v>
      </c>
      <c r="CR69" s="58">
        <f>IF(Sheet!CR69=Sheet!CR$2,4,IF(Sheet!CS69=Sheet!CS$2,3,IF(Sheet!CT69=Sheet!CT$2,2,IF(Sheet!CU69=Sheet!CU$2,1,""))))</f>
        <v>2</v>
      </c>
      <c r="CV69" s="58">
        <f>IF(Sheet!CV69=Sheet!CV$2,4,IF(Sheet!CW69=Sheet!CW$2,3,IF(Sheet!CX69=Sheet!CX$2,2,IF(Sheet!CY69=Sheet!CY$2,1,""))))</f>
        <v>1</v>
      </c>
      <c r="CZ69" s="58">
        <f>IF(Sheet!CZ69=Sheet!CZ$2,4,IF(Sheet!DA69=Sheet!DA$2,3,IF(Sheet!DB69=Sheet!DB$2,2,IF(Sheet!DC69=Sheet!DC$2,1,""))))</f>
        <v>1</v>
      </c>
      <c r="DD69" s="58">
        <f>IF(Sheet!DD69=Sheet!DD$2,4,IF(Sheet!DE69=Sheet!DE$2,3,IF(Sheet!DF69=Sheet!DF$2,2,IF(Sheet!DG69=Sheet!DG$2,1,""))))</f>
        <v>2</v>
      </c>
      <c r="DH69" s="58">
        <f>IF(Sheet!DH69=Sheet!DH$2,4,IF(Sheet!DI69=Sheet!DI$2,3,IF(Sheet!DJ69=Sheet!DJ$2,2,IF(Sheet!DK69=Sheet!DK$2,1,""))))</f>
        <v>2</v>
      </c>
      <c r="DL69" s="58">
        <f>IF(Sheet!DL69=Sheet!DL$2,4,IF(Sheet!DM69=Sheet!DM$2,3,IF(Sheet!DN69=Sheet!DN$2,2,IF(Sheet!DO69=Sheet!DO$2,1,""))))</f>
        <v>3</v>
      </c>
      <c r="DP69" s="58">
        <f>IF(Sheet!DP69=Sheet!DP$2,4,IF(Sheet!DQ69=Sheet!DQ$2,3,IF(Sheet!DR69=Sheet!DR$2,2,IF(Sheet!DS69=Sheet!DS$2,1,""))))</f>
        <v>4</v>
      </c>
      <c r="DT69" s="58">
        <f>IF(Sheet!DT69=Sheet!DT$2,4,IF(Sheet!DU69=Sheet!DU$2,3,IF(Sheet!DV69=Sheet!DV$2,2,IF(Sheet!DW69=Sheet!DW$2,1,""))))</f>
        <v>2</v>
      </c>
      <c r="DX69" s="58">
        <f>IF(Sheet!DX69=Sheet!DX$2,4,IF(Sheet!DY69=Sheet!DY$2,3,IF(Sheet!DZ69=Sheet!DZ$2,2,IF(Sheet!EA69=Sheet!EA$2,1,""))))</f>
        <v>1</v>
      </c>
      <c r="EB69" s="58">
        <f>IF(Sheet!EB69=Sheet!EB$2,4,IF(Sheet!EC69=Sheet!EC$2,3,IF(Sheet!ED69=Sheet!ED$2,2,IF(Sheet!EE69=Sheet!EE$2,1,""))))</f>
        <v>1</v>
      </c>
      <c r="EF69" s="58">
        <f>IF(Sheet!EF69=Sheet!EF$2,4,IF(Sheet!EG69=Sheet!EG$2,3,IF(Sheet!EH69=Sheet!EH$2,2,IF(Sheet!EI69=Sheet!EI$2,1,""))))</f>
        <v>1</v>
      </c>
      <c r="EJ69" s="58">
        <f>IF(Sheet!EJ69=Sheet!EJ$2,4,IF(Sheet!EK69=Sheet!EK$2,3,IF(Sheet!EL69=Sheet!EL$2,2,IF(Sheet!EM69=Sheet!EM$2,1,""))))</f>
        <v>1</v>
      </c>
      <c r="EN69" s="58">
        <f>IF(Sheet!EN69=Sheet!EN$2,4,IF(Sheet!EO69=Sheet!EO$2,3,IF(Sheet!EP69=Sheet!EP$2,2,IF(Sheet!EQ69=Sheet!EQ$2,1,""))))</f>
        <v>2</v>
      </c>
      <c r="ER69" s="58">
        <f>IF(Sheet!ER69=Sheet!ER$2,4,IF(Sheet!ES69=Sheet!ES$2,3,IF(Sheet!ET69=Sheet!ET$2,2,IF(Sheet!EU69=Sheet!EU$2,1,""))))</f>
        <v>1</v>
      </c>
      <c r="EV69" s="58">
        <f>IF(Sheet!EV69=Sheet!EV$2,4,IF(Sheet!EW69=Sheet!EW$2,3,IF(Sheet!EX69=Sheet!EX$2,2,IF(Sheet!EY69=Sheet!EY$2,1,""))))</f>
        <v>2</v>
      </c>
      <c r="EZ69" s="58">
        <f>IF(Sheet!EZ69=Sheet!EZ$2,4,IF(Sheet!FA69=Sheet!FA$2,3,IF(Sheet!FB69=Sheet!FB$2,2,IF(Sheet!FC69=Sheet!FC$2,1,""))))</f>
        <v>1</v>
      </c>
      <c r="FD69" s="58">
        <f>IF(Sheet!FD69=Sheet!FD$2,4,IF(Sheet!FE69=Sheet!FE$2,3,IF(Sheet!FF69=Sheet!FF$2,2,IF(Sheet!FG69=Sheet!FG$2,1,""))))</f>
        <v>1</v>
      </c>
      <c r="FH69" s="58">
        <f>IF(Sheet!FH69=Sheet!FH$2,4,IF(Sheet!FI69=Sheet!FI$2,3,IF(Sheet!FJ69=Sheet!FJ$2,2,IF(Sheet!FK69=Sheet!FK$2,1,""))))</f>
        <v>2</v>
      </c>
      <c r="FL69" s="58">
        <f>IF(Sheet!FL69=Sheet!FL$2,4,IF(Sheet!FM69=Sheet!FM$2,3,IF(Sheet!FN69=Sheet!FN$2,2,IF(Sheet!FO69=Sheet!FO$2,1,""))))</f>
        <v>3</v>
      </c>
    </row>
    <row r="70" spans="1:168">
      <c r="AV70" t="str">
        <f>IF(Sheet!AV70=Sheet!AV$2,0,IF(Sheet!AW70=Sheet!AW$2,1,IF(Sheet!AX70=Sheet!AX$2,2,IF(Sheet!AY70=Sheet!AY$2,3,""))))</f>
        <v/>
      </c>
      <c r="AZ70" t="str">
        <f>IF(Sheet!AZ70=Sheet!AZ$2,0,IF(Sheet!BA70=Sheet!BA$2,1,IF(Sheet!BB70=Sheet!BB$2,2,IF(Sheet!BC70=Sheet!BC$2,3,""))))</f>
        <v/>
      </c>
    </row>
  </sheetData>
  <autoFilter ref="AV1:AV70" xr:uid="{00000000-0009-0000-0000-000002000000}">
    <filterColumn colId="0" hiddenButton="1"/>
  </autoFilter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X71"/>
  <sheetViews>
    <sheetView zoomScale="75" zoomScaleNormal="75" workbookViewId="0">
      <pane xSplit="2" ySplit="2" topLeftCell="F3" activePane="bottomRight" state="frozen"/>
      <selection pane="bottomRight" activeCell="B3" sqref="B3"/>
      <selection pane="bottomLeft" activeCell="A6" sqref="A6"/>
      <selection pane="topRight" activeCell="C1" sqref="C1"/>
    </sheetView>
  </sheetViews>
  <sheetFormatPr defaultColWidth="10.7109375" defaultRowHeight="14.25"/>
  <cols>
    <col min="2" max="2" width="41.28515625" customWidth="1"/>
    <col min="3" max="3" width="31.42578125" customWidth="1"/>
    <col min="4" max="4" width="9.140625" customWidth="1"/>
    <col min="5" max="5" width="99.28515625" customWidth="1"/>
    <col min="9" max="172" width="10.140625" hidden="1" customWidth="1"/>
    <col min="173" max="173" width="31.7109375" customWidth="1"/>
    <col min="175" max="175" width="44.140625" customWidth="1"/>
    <col min="177" max="177" width="47.85546875" customWidth="1"/>
    <col min="179" max="179" width="35.7109375" customWidth="1"/>
    <col min="181" max="181" width="23.140625" customWidth="1"/>
    <col min="183" max="183" width="21.140625" customWidth="1"/>
    <col min="185" max="185" width="59.85546875" customWidth="1"/>
    <col min="187" max="187" width="20.7109375" customWidth="1"/>
    <col min="189" max="189" width="41.28515625" customWidth="1"/>
    <col min="191" max="191" width="30.5703125" customWidth="1"/>
    <col min="193" max="193" width="58.5703125" customWidth="1"/>
    <col min="195" max="195" width="70" customWidth="1"/>
    <col min="197" max="197" width="72.28515625" customWidth="1"/>
    <col min="199" max="199" width="38.42578125" customWidth="1"/>
    <col min="201" max="201" width="89.85546875" customWidth="1"/>
    <col min="203" max="203" width="25.7109375" customWidth="1"/>
    <col min="205" max="205" width="16.85546875" customWidth="1"/>
  </cols>
  <sheetData>
    <row r="1" spans="1:206" ht="15">
      <c r="A1" s="14" t="str">
        <f>IF(Sheet!A1&lt;&gt;"",Sheet!A1, "")</f>
        <v>Пожалуйста, введите свой ID, который вы получили после подписания соглашения на участие.</v>
      </c>
      <c r="B1" s="18" t="s">
        <v>562</v>
      </c>
      <c r="C1" s="18"/>
      <c r="D1" s="18"/>
      <c r="E1" s="19" t="s">
        <v>563</v>
      </c>
      <c r="F1" s="20" t="s">
        <v>552</v>
      </c>
      <c r="G1" s="21" t="s">
        <v>551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2" t="str">
        <f>IF(Sheet!FP1&lt;&gt;"",Sheet!FP1, "")</f>
        <v xml:space="preserve">Отсутствие жилья / Lack of shelter </v>
      </c>
      <c r="FR1" s="12"/>
      <c r="FS1" s="12" t="str">
        <f>IF(Sheet!FR1&lt;&gt;"",Sheet!FR1, "")</f>
        <v>Отсутствие еды или воды / Lack of food or water</v>
      </c>
      <c r="FT1" s="12"/>
      <c r="FU1" s="12" t="str">
        <f>IF(Sheet!FT1&lt;&gt;"",Sheet!FT1, "")</f>
        <v>Плохое здоровье без доступа к медицинской помощи / Ill health without access to medical care</v>
      </c>
      <c r="FV1" s="12"/>
      <c r="FW1" s="12" t="str">
        <f>IF(Sheet!FV1&lt;&gt;"",Sheet!FV1, "")</f>
        <v>Конфискация имущества / Confiscation of personal property</v>
      </c>
      <c r="FX1" s="12"/>
      <c r="FY1" s="12" t="str">
        <f>IF(Sheet!FX1&lt;&gt;"",Sheet!FX1, "")</f>
        <v>Избиение / Beating to the body</v>
      </c>
      <c r="FZ1" s="12"/>
      <c r="GA1" s="12" t="str">
        <f>IF(Sheet!FZ1&lt;&gt;"",Sheet!FZ1, "")</f>
        <v>Изнасилование / Rape</v>
      </c>
      <c r="GB1" s="12"/>
      <c r="GC1" s="12" t="str">
        <f>IF(Sheet!GB1&lt;&gt;"",Sheet!GB1, "")</f>
        <v>Другие виды сексуального домогательства или унижения / Other types of sexual abuse or sexual humiliation</v>
      </c>
      <c r="GD1" s="12"/>
      <c r="GE1" s="12" t="str">
        <f>IF(Sheet!GD1&lt;&gt;"",Sheet!GD1, "")</f>
        <v xml:space="preserve">Арест / Imprisonment </v>
      </c>
      <c r="GF1" s="12"/>
      <c r="GG1" s="12" t="str">
        <f>IF(Sheet!GF1&lt;&gt;"",Sheet!GF1, "")</f>
        <v xml:space="preserve">Рэкет или ограбление / Extortion or robbery </v>
      </c>
      <c r="GH1" s="12"/>
      <c r="GI1" s="12" t="str">
        <f>IF(Sheet!GH1&lt;&gt;"",Sheet!GH1, "")</f>
        <v>Промывка мозгов / Brainwashing</v>
      </c>
      <c r="GJ1" s="12"/>
      <c r="GK1" s="12" t="str">
        <f>IF(Sheet!GJ1&lt;&gt;"",Sheet!GJ1, "")</f>
        <v>Разделение с членами семьи / Separation from family members</v>
      </c>
      <c r="GL1" s="12"/>
      <c r="GM1" s="12" t="str">
        <f>IF(Sheet!GL1&lt;&gt;"",Sheet!GL1, "")</f>
        <v>Предательство члена семьи или друга / Betrayal of family member, or friend</v>
      </c>
      <c r="GN1" s="12"/>
      <c r="GO1" s="12" t="str">
        <f>IF(Sheet!GN1&lt;&gt;"",Sheet!GN1, "")</f>
        <v>Присутствие при избиении другого человека / Witness beating to head or body</v>
      </c>
      <c r="GP1" s="12"/>
      <c r="GQ1" s="12" t="str">
        <f>IF(Sheet!GP1&lt;&gt;"",Sheet!GP1, "")</f>
        <v>Присутствие при пытках / Witness torture</v>
      </c>
      <c r="GR1" s="12"/>
      <c r="GS1" s="12" t="str">
        <f>IF(Sheet!GR1&lt;&gt;"",Sheet!GR1, "")</f>
        <v>Присутствие при изнасиловании или сексуальных домогательствах / Witness rape or sexual abuse</v>
      </c>
      <c r="GT1" s="12"/>
      <c r="GU1" s="12" t="str">
        <f>IF(Sheet!GT1&lt;&gt;"",Sheet!GT1, "")</f>
        <v>Утопление / Near drowning</v>
      </c>
      <c r="GV1" s="12"/>
      <c r="GW1" s="12" t="str">
        <f>IF(Sheet!GV1&lt;&gt;"",Sheet!GV1, "")</f>
        <v>Голод / Starvation</v>
      </c>
      <c r="GX1" s="12"/>
    </row>
    <row r="2" spans="1:206" ht="13.9">
      <c r="A2" s="12"/>
      <c r="C2" s="22" t="s">
        <v>564</v>
      </c>
      <c r="E2" s="23" t="s">
        <v>59</v>
      </c>
      <c r="F2" s="24">
        <f>G2/66</f>
        <v>0.59090909090909094</v>
      </c>
      <c r="G2" s="25">
        <v>39</v>
      </c>
      <c r="FQ2">
        <f>COUNTIF(Sheet!FP:FP,Sheet!FP2)</f>
        <v>27</v>
      </c>
      <c r="FS2">
        <f>COUNTIF(Sheet!FR:FR,Sheet!FR2)</f>
        <v>9</v>
      </c>
      <c r="FU2">
        <f>COUNTIF(Sheet!FT:FT,Sheet!FT2)</f>
        <v>14</v>
      </c>
      <c r="FW2">
        <f>COUNTIF(Sheet!FV:FV,Sheet!FV2)</f>
        <v>8</v>
      </c>
      <c r="FY2">
        <f>COUNTIF(Sheet!FX:FX,Sheet!FX2)</f>
        <v>7</v>
      </c>
      <c r="GA2">
        <f>COUNTIF(Sheet!FZ:FZ,Sheet!FZ2)</f>
        <v>5</v>
      </c>
      <c r="GC2">
        <f>COUNTIF(Sheet!GB:GB,Sheet!GB2)</f>
        <v>13</v>
      </c>
      <c r="GE2">
        <f>COUNTIF(Sheet!GD:GD,Sheet!GD2)</f>
        <v>12</v>
      </c>
      <c r="GG2">
        <f>COUNTIF(Sheet!GF:GF,Sheet!GF2)</f>
        <v>7</v>
      </c>
      <c r="GI2">
        <f>COUNTIF(Sheet!GH:GH,Sheet!GH2)</f>
        <v>28</v>
      </c>
      <c r="GK2">
        <f>COUNTIF(Sheet!GJ:GJ,Sheet!GJ2)</f>
        <v>39</v>
      </c>
      <c r="GM2">
        <f>COUNTIF(Sheet!GL:GL,Sheet!GL2)</f>
        <v>24</v>
      </c>
      <c r="GO2">
        <f>COUNTIF(Sheet!GN:GN,Sheet!GN2)</f>
        <v>10</v>
      </c>
      <c r="GQ2">
        <f>COUNTIF(Sheet!GP:GP,Sheet!GP2)</f>
        <v>3</v>
      </c>
      <c r="GS2">
        <f>COUNTIF(Sheet!GR:GR,Sheet!GR2)</f>
        <v>6</v>
      </c>
      <c r="GU2">
        <f>COUNTIF(Sheet!GT:GT,Sheet!GT2)</f>
        <v>3</v>
      </c>
      <c r="GW2">
        <f>COUNTIF(Sheet!GV:GV,Sheet!GV2)</f>
        <v>5</v>
      </c>
    </row>
    <row r="3" spans="1:206" ht="16.350000000000001">
      <c r="A3" s="12" t="str">
        <f>IF(Sheet!A3&lt;&gt;"",Sheet!A3, "")</f>
        <v>SC001</v>
      </c>
      <c r="B3">
        <f>COUNTIF(Sheet!FP3:GW3,Sheet!FP$2)</f>
        <v>0</v>
      </c>
      <c r="C3" s="26">
        <f>AVERAGE(B3:B69)</f>
        <v>3.0757575757575757</v>
      </c>
      <c r="D3" s="27"/>
      <c r="E3" s="23" t="s">
        <v>58</v>
      </c>
      <c r="F3" s="24">
        <f>G3/66</f>
        <v>0.42424242424242425</v>
      </c>
      <c r="G3" s="25">
        <v>28</v>
      </c>
    </row>
    <row r="4" spans="1:206" ht="16.350000000000001">
      <c r="A4" s="12" t="str">
        <f>IF(Sheet!A4&lt;&gt;"",Sheet!A4, "")</f>
        <v>CF002</v>
      </c>
      <c r="B4">
        <f>COUNTIF(Sheet!FP4:GW4,Sheet!FP$2)</f>
        <v>6</v>
      </c>
      <c r="E4" s="23" t="s">
        <v>49</v>
      </c>
      <c r="F4" s="24">
        <f>G4/66</f>
        <v>0.40909090909090912</v>
      </c>
      <c r="G4" s="25">
        <v>27</v>
      </c>
    </row>
    <row r="5" spans="1:206" ht="16.350000000000001">
      <c r="A5" s="12" t="str">
        <f>IF(Sheet!A5&lt;&gt;"",Sheet!A5, "")</f>
        <v>CT001</v>
      </c>
      <c r="B5">
        <f>COUNTIF(Sheet!FP5:GW5,Sheet!FP$2)</f>
        <v>4</v>
      </c>
      <c r="C5" s="22" t="s">
        <v>565</v>
      </c>
      <c r="E5" s="23" t="s">
        <v>60</v>
      </c>
      <c r="F5" s="24">
        <f>G5/66</f>
        <v>0.36363636363636365</v>
      </c>
      <c r="G5" s="25">
        <v>24</v>
      </c>
    </row>
    <row r="6" spans="1:206" ht="16.350000000000001">
      <c r="A6" s="12" t="str">
        <f>IF(Sheet!A6&lt;&gt;"",Sheet!A6, "")</f>
        <v>GU001</v>
      </c>
      <c r="B6">
        <f>COUNTIF(Sheet!FP6:GW6,Sheet!FP$2)</f>
        <v>1</v>
      </c>
      <c r="C6" s="26">
        <f>_xlfn.STDEV.S(B3:B69)</f>
        <v>2.6850618446428958</v>
      </c>
      <c r="D6" s="27"/>
      <c r="E6" s="28" t="s">
        <v>51</v>
      </c>
      <c r="F6" s="29">
        <f>G6/66</f>
        <v>0.21212121212121213</v>
      </c>
      <c r="G6" s="30">
        <v>14</v>
      </c>
    </row>
    <row r="7" spans="1:206" ht="15">
      <c r="A7" s="12" t="str">
        <f>IF(Sheet!A7&lt;&gt;"",Sheet!A7, "")</f>
        <v>FM002</v>
      </c>
      <c r="B7">
        <f>COUNTIF(Sheet!FP7:GW7,Sheet!FP$2)</f>
        <v>5</v>
      </c>
      <c r="E7" s="14"/>
      <c r="F7" s="14"/>
    </row>
    <row r="8" spans="1:206">
      <c r="A8" s="12" t="str">
        <f>IF(Sheet!A8&lt;&gt;"",Sheet!A8, "")</f>
        <v>FM001</v>
      </c>
      <c r="B8">
        <f>COUNTIF(Sheet!FP8:GW8,Sheet!FP$2)</f>
        <v>0</v>
      </c>
      <c r="E8" s="14"/>
      <c r="F8" s="14"/>
    </row>
    <row r="9" spans="1:206">
      <c r="A9" s="12" t="str">
        <f>IF(Sheet!A9&lt;&gt;"",Sheet!A9, "")</f>
        <v>PM001</v>
      </c>
      <c r="B9">
        <f>COUNTIF(Sheet!FP9:GW9,Sheet!FP$2)</f>
        <v>0</v>
      </c>
      <c r="E9" s="14"/>
      <c r="F9" s="14"/>
    </row>
    <row r="10" spans="1:206">
      <c r="A10" s="12" t="str">
        <f>IF(Sheet!A10&lt;&gt;"",Sheet!A10, "")</f>
        <v>MF001</v>
      </c>
      <c r="B10">
        <f>COUNTIF(Sheet!FP10:GW10,Sheet!FP$2)</f>
        <v>1</v>
      </c>
      <c r="E10" s="14"/>
      <c r="F10" s="14"/>
    </row>
    <row r="11" spans="1:206">
      <c r="A11" s="12" t="str">
        <f>IF(Sheet!A11&lt;&gt;"",Sheet!A11, "")</f>
        <v>MU001</v>
      </c>
      <c r="B11">
        <f>COUNTIF(Sheet!FP11:GW11,Sheet!FP$2)</f>
        <v>4</v>
      </c>
      <c r="E11" s="14"/>
      <c r="F11" s="14"/>
    </row>
    <row r="12" spans="1:206">
      <c r="A12" s="12" t="str">
        <f>IF(Sheet!A12&lt;&gt;"",Sheet!A12, "")</f>
        <v>KU001</v>
      </c>
      <c r="B12">
        <f>COUNTIF(Sheet!FP12:GW12,Sheet!FP$2)</f>
        <v>5</v>
      </c>
      <c r="E12" s="14"/>
      <c r="F12" s="14"/>
    </row>
    <row r="13" spans="1:206">
      <c r="A13" s="12" t="str">
        <f>IF(Sheet!A13&lt;&gt;"",Sheet!A13, "")</f>
        <v>OT001</v>
      </c>
      <c r="B13">
        <f>COUNTIF(Sheet!FP13:GW13,Sheet!FP$2)</f>
        <v>7</v>
      </c>
      <c r="E13" s="14"/>
      <c r="F13" s="14"/>
    </row>
    <row r="14" spans="1:206">
      <c r="A14" s="12" t="str">
        <f>IF(Sheet!A14&lt;&gt;"",Sheet!A14, "")</f>
        <v>PD001</v>
      </c>
      <c r="B14">
        <f>COUNTIF(Sheet!FP14:GW14,Sheet!FP$2)</f>
        <v>1</v>
      </c>
      <c r="E14" s="14"/>
      <c r="F14" s="14"/>
    </row>
    <row r="15" spans="1:206">
      <c r="A15" s="12" t="str">
        <f>IF(Sheet!A15&lt;&gt;"",Sheet!A15, "")</f>
        <v>CI002</v>
      </c>
      <c r="B15">
        <f>COUNTIF(Sheet!FP15:GW15,Sheet!FP$2)</f>
        <v>2</v>
      </c>
      <c r="E15" s="14"/>
      <c r="F15" s="14"/>
    </row>
    <row r="16" spans="1:206">
      <c r="A16" s="12" t="str">
        <f>IF(Sheet!A16&lt;&gt;"",Sheet!A16, "")</f>
        <v>YC001</v>
      </c>
      <c r="B16">
        <f>COUNTIF(Sheet!FP16:GW16,Sheet!FP$2)</f>
        <v>8</v>
      </c>
      <c r="E16" s="14"/>
      <c r="F16" s="14"/>
    </row>
    <row r="17" spans="1:6">
      <c r="A17" s="12" t="str">
        <f>IF(Sheet!A17&lt;&gt;"",Sheet!A17, "")</f>
        <v>FG001</v>
      </c>
      <c r="B17">
        <f>COUNTIF(Sheet!FP17:GW17,Sheet!FP$2)</f>
        <v>8</v>
      </c>
      <c r="E17" s="14"/>
      <c r="F17" s="14"/>
    </row>
    <row r="18" spans="1:6">
      <c r="A18" s="12" t="str">
        <f>IF(Sheet!A18&lt;&gt;"",Sheet!A18, "")</f>
        <v>GR001</v>
      </c>
      <c r="B18">
        <f>COUNTIF(Sheet!FP18:GW18,Sheet!FP$2)</f>
        <v>4</v>
      </c>
      <c r="E18" s="14"/>
      <c r="F18" s="14"/>
    </row>
    <row r="19" spans="1:6">
      <c r="A19" s="12" t="str">
        <f>IF(Sheet!A19&lt;&gt;"",Sheet!A19, "")</f>
        <v>TB001</v>
      </c>
      <c r="B19">
        <f>COUNTIF(Sheet!FP19:GW19,Sheet!FP$2)</f>
        <v>1</v>
      </c>
      <c r="E19" s="14"/>
      <c r="F19" s="14"/>
    </row>
    <row r="20" spans="1:6">
      <c r="A20" s="12" t="str">
        <f>IF(Sheet!A20&lt;&gt;"",Sheet!A20, "")</f>
        <v>VI001</v>
      </c>
      <c r="B20">
        <f>COUNTIF(Sheet!FP20:GW20,Sheet!FP$2)</f>
        <v>3</v>
      </c>
      <c r="E20" s="14"/>
      <c r="F20" s="14"/>
    </row>
    <row r="21" spans="1:6">
      <c r="A21" s="12" t="str">
        <f>IF(Sheet!A21&lt;&gt;"",Sheet!A21, "")</f>
        <v>ID MT002</v>
      </c>
      <c r="B21">
        <f>COUNTIF(Sheet!FP21:GW21,Sheet!FP$2)</f>
        <v>2</v>
      </c>
      <c r="E21" s="14"/>
      <c r="F21" s="14"/>
    </row>
    <row r="22" spans="1:6">
      <c r="A22" s="12" t="str">
        <f>IF(Sheet!A22&lt;&gt;"",Sheet!A22, "")</f>
        <v>TI001</v>
      </c>
      <c r="B22">
        <f>COUNTIF(Sheet!FP22:GW22,Sheet!FP$2)</f>
        <v>2</v>
      </c>
      <c r="E22" s="14"/>
      <c r="F22" s="14"/>
    </row>
    <row r="23" spans="1:6">
      <c r="A23" s="12" t="str">
        <f>IF(Sheet!A23&lt;&gt;"",Sheet!A23, "")</f>
        <v>TK001</v>
      </c>
      <c r="B23">
        <f>COUNTIF(Sheet!FP23:GW23,Sheet!FP$2)</f>
        <v>0</v>
      </c>
    </row>
    <row r="24" spans="1:6">
      <c r="A24" s="12" t="str">
        <f>IF(Sheet!A24&lt;&gt;"",Sheet!A24, "")</f>
        <v>PG001</v>
      </c>
      <c r="B24">
        <f>COUNTIF(Sheet!FP24:GW24,Sheet!FP$2)</f>
        <v>8</v>
      </c>
    </row>
    <row r="25" spans="1:6">
      <c r="A25" s="12" t="str">
        <f>IF(Sheet!A25&lt;&gt;"",Sheet!A25, "")</f>
        <v>CV001</v>
      </c>
      <c r="B25">
        <f>COUNTIF(Sheet!FP25:GW25,Sheet!FP$2)</f>
        <v>2</v>
      </c>
    </row>
    <row r="26" spans="1:6">
      <c r="A26" s="12" t="str">
        <f>IF(Sheet!A26&lt;&gt;"",Sheet!A26, "")</f>
        <v>CG001</v>
      </c>
      <c r="B26">
        <f>COUNTIF(Sheet!FP26:GW26,Sheet!FP$2)</f>
        <v>8</v>
      </c>
    </row>
    <row r="27" spans="1:6">
      <c r="A27" s="12" t="str">
        <f>IF(Sheet!A27&lt;&gt;"",Sheet!A27, "")</f>
        <v>RG001</v>
      </c>
      <c r="B27">
        <f>COUNTIF(Sheet!FP27:GW27,Sheet!FP$2)</f>
        <v>8</v>
      </c>
    </row>
    <row r="28" spans="1:6">
      <c r="A28" s="12" t="str">
        <f>IF(Sheet!A28&lt;&gt;"",Sheet!A28, "")</f>
        <v>AO001</v>
      </c>
      <c r="B28">
        <f>COUNTIF(Sheet!FP28:GW28,Sheet!FP$2)</f>
        <v>1</v>
      </c>
    </row>
    <row r="29" spans="1:6">
      <c r="A29" s="12" t="str">
        <f>IF(Sheet!A29&lt;&gt;"",Sheet!A29, "")</f>
        <v>FO001</v>
      </c>
      <c r="B29">
        <f>COUNTIF(Sheet!FP29:GW29,Sheet!FP$2)</f>
        <v>4</v>
      </c>
    </row>
    <row r="30" spans="1:6">
      <c r="A30" s="12" t="str">
        <f>IF(Sheet!A30&lt;&gt;"",Sheet!A30, "")</f>
        <v>uu001</v>
      </c>
      <c r="B30">
        <f>COUNTIF(Sheet!FP30:GW30,Sheet!FP$2)</f>
        <v>3</v>
      </c>
    </row>
    <row r="31" spans="1:6">
      <c r="A31" s="12" t="str">
        <f>IF(Sheet!A31&lt;&gt;"",Sheet!A31, "")</f>
        <v>ID FP001</v>
      </c>
      <c r="B31">
        <f>COUNTIF(Sheet!FP31:GW31,Sheet!FP$2)</f>
        <v>1</v>
      </c>
    </row>
    <row r="32" spans="1:6">
      <c r="A32" s="12" t="str">
        <f>IF(Sheet!A32&lt;&gt;"",Sheet!A32, "")</f>
        <v>FN001</v>
      </c>
      <c r="B32">
        <f>COUNTIF(Sheet!FP32:GW32,Sheet!FP$2)</f>
        <v>1</v>
      </c>
    </row>
    <row r="33" spans="1:2">
      <c r="A33" s="12" t="str">
        <f>IF(Sheet!A33&lt;&gt;"",Sheet!A33, "")</f>
        <v>NI001</v>
      </c>
      <c r="B33">
        <f>COUNTIF(Sheet!FP33:GW33,Sheet!FP$2)</f>
        <v>4</v>
      </c>
    </row>
    <row r="34" spans="1:2">
      <c r="A34" s="12" t="str">
        <f>IF(Sheet!A34&lt;&gt;"",Sheet!A34, "")</f>
        <v>EE001</v>
      </c>
      <c r="B34">
        <f>COUNTIF(Sheet!FP34:GW34,Sheet!FP$2)</f>
        <v>3</v>
      </c>
    </row>
    <row r="35" spans="1:2">
      <c r="A35" s="12" t="str">
        <f>IF(Sheet!A35&lt;&gt;"",Sheet!A35, "")</f>
        <v>OM001</v>
      </c>
      <c r="B35">
        <f>COUNTIF(Sheet!FP35:GW35,Sheet!FP$2)</f>
        <v>4</v>
      </c>
    </row>
    <row r="36" spans="1:2">
      <c r="A36" s="12" t="str">
        <f>IF(Sheet!A36&lt;&gt;"",Sheet!A36, "")</f>
        <v>MT001</v>
      </c>
      <c r="B36">
        <f>COUNTIF(Sheet!FP36:GW36,Sheet!FP$2)</f>
        <v>1</v>
      </c>
    </row>
    <row r="37" spans="1:2">
      <c r="A37" s="13" t="str">
        <f>IF(Sheet!A37&lt;&gt;"",Sheet!A37, "")</f>
        <v>LO001</v>
      </c>
      <c r="B37">
        <f>COUNTIF(Sheet!FP37:GW37,Sheet!FP$2)</f>
        <v>1</v>
      </c>
    </row>
    <row r="38" spans="1:2">
      <c r="A38" s="13" t="str">
        <f>IF(Sheet!A38&lt;&gt;"",Sheet!A38, "")</f>
        <v>DA001</v>
      </c>
      <c r="B38">
        <f>COUNTIF(Sheet!FP38:GW38,Sheet!FP$2)</f>
        <v>2</v>
      </c>
    </row>
    <row r="39" spans="1:2">
      <c r="A39" s="12" t="str">
        <f>IF(Sheet!A39&lt;&gt;"",Sheet!A39, "")</f>
        <v>LU001</v>
      </c>
      <c r="B39">
        <f>COUNTIF(Sheet!FP39:GW39,Sheet!FP$2)</f>
        <v>2</v>
      </c>
    </row>
    <row r="40" spans="1:2">
      <c r="A40" s="12" t="str">
        <f>IF(Sheet!A40&lt;&gt;"",Sheet!A40, "")</f>
        <v>TC001</v>
      </c>
      <c r="B40">
        <f>COUNTIF(Sheet!FP40:GW40,Sheet!FP$2)</f>
        <v>3</v>
      </c>
    </row>
    <row r="41" spans="1:2">
      <c r="A41" s="12" t="str">
        <f>IF(Sheet!A41&lt;&gt;"",Sheet!A41, "")</f>
        <v>CD002</v>
      </c>
      <c r="B41">
        <f>COUNTIF(Sheet!FP41:GW41,Sheet!FP$2)</f>
        <v>3</v>
      </c>
    </row>
    <row r="42" spans="1:2">
      <c r="A42" s="12" t="str">
        <f>IF(Sheet!A42&lt;&gt;"",Sheet!A42, "")</f>
        <v>СМ001</v>
      </c>
      <c r="B42">
        <f>COUNTIF(Sheet!FP42:GW42,Sheet!FP$2)</f>
        <v>1</v>
      </c>
    </row>
    <row r="43" spans="1:2" ht="16.350000000000001">
      <c r="A43" s="13" t="s">
        <v>566</v>
      </c>
    </row>
    <row r="44" spans="1:2" ht="16.350000000000001">
      <c r="A44" s="13" t="s">
        <v>561</v>
      </c>
      <c r="B44">
        <f>COUNTIF(Sheet!FP44:GW44,Sheet!FP$2)</f>
        <v>5</v>
      </c>
    </row>
    <row r="45" spans="1:2">
      <c r="A45" s="12" t="str">
        <f>IF(Sheet!A45&lt;&gt;"",Sheet!A45, "")</f>
        <v>PF001</v>
      </c>
      <c r="B45">
        <f>COUNTIF(Sheet!FP45:GW45,Sheet!FP$2)</f>
        <v>1</v>
      </c>
    </row>
    <row r="46" spans="1:2">
      <c r="A46" s="12" t="str">
        <f>IF(Sheet!A46&lt;&gt;"",Sheet!A46, "")</f>
        <v>MC001</v>
      </c>
      <c r="B46">
        <f>COUNTIF(Sheet!FP46:GW46,Sheet!FP$2)</f>
        <v>2</v>
      </c>
    </row>
    <row r="47" spans="1:2">
      <c r="A47" s="12" t="str">
        <f>IF(Sheet!A47&lt;&gt;"",Sheet!A47, "")</f>
        <v>UD002</v>
      </c>
      <c r="B47">
        <f>COUNTIF(Sheet!FP47:GW47,Sheet!FP$2)</f>
        <v>1</v>
      </c>
    </row>
    <row r="48" spans="1:2">
      <c r="A48" s="12" t="str">
        <f>IF(Sheet!A48&lt;&gt;"",Sheet!A48, "")</f>
        <v>KI001</v>
      </c>
      <c r="B48">
        <f>COUNTIF(Sheet!FP48:GW48,Sheet!FP$2)</f>
        <v>0</v>
      </c>
    </row>
    <row r="49" spans="1:2">
      <c r="A49" s="12" t="str">
        <f>IF(Sheet!A49&lt;&gt;"",Sheet!A49, "")</f>
        <v>MO001</v>
      </c>
      <c r="B49">
        <f>COUNTIF(Sheet!FP49:GW49,Sheet!FP$2)</f>
        <v>5</v>
      </c>
    </row>
    <row r="50" spans="1:2">
      <c r="A50" s="12" t="str">
        <f>IF(Sheet!A50&lt;&gt;"",Sheet!A50, "")</f>
        <v>RU001</v>
      </c>
      <c r="B50">
        <f>COUNTIF(Sheet!FP50:GW50,Sheet!FP$2)</f>
        <v>6</v>
      </c>
    </row>
    <row r="51" spans="1:2">
      <c r="A51" s="12" t="str">
        <f>IF(Sheet!A51&lt;&gt;"",Sheet!A51, "")</f>
        <v>CU002</v>
      </c>
      <c r="B51">
        <f>COUNTIF(Sheet!FP51:GW51,Sheet!FP$2)</f>
        <v>1</v>
      </c>
    </row>
    <row r="52" spans="1:2">
      <c r="A52" s="12" t="str">
        <f>IF(Sheet!A52&lt;&gt;"",Sheet!A52, "")</f>
        <v>OD001</v>
      </c>
      <c r="B52">
        <f>COUNTIF(Sheet!FP52:GW52,Sheet!FP$2)</f>
        <v>7</v>
      </c>
    </row>
    <row r="53" spans="1:2">
      <c r="A53" s="12" t="str">
        <f>IF(Sheet!A53&lt;&gt;"",Sheet!A53, "")</f>
        <v>RE001</v>
      </c>
      <c r="B53">
        <f>COUNTIF(Sheet!FP53:GW53,Sheet!FP$2)</f>
        <v>2</v>
      </c>
    </row>
    <row r="54" spans="1:2">
      <c r="A54" s="12" t="str">
        <f>IF(Sheet!A54&lt;&gt;"",Sheet!A54, "")</f>
        <v>CF001</v>
      </c>
      <c r="B54">
        <f>COUNTIF(Sheet!FP54:GW54,Sheet!FP$2)</f>
        <v>0</v>
      </c>
    </row>
    <row r="55" spans="1:2">
      <c r="A55" s="12" t="str">
        <f>IF(Sheet!A55&lt;&gt;"",Sheet!A55, "")</f>
        <v>RM001</v>
      </c>
      <c r="B55">
        <f>COUNTIF(Sheet!FP55:GW55,Sheet!FP$2)</f>
        <v>3</v>
      </c>
    </row>
    <row r="56" spans="1:2">
      <c r="A56" s="12" t="str">
        <f>IF(Sheet!A56&lt;&gt;"",Sheet!A56, "")</f>
        <v>KO002</v>
      </c>
      <c r="B56">
        <f>COUNTIF(Sheet!FP56:GW56,Sheet!FP$2)</f>
        <v>11</v>
      </c>
    </row>
    <row r="57" spans="1:2">
      <c r="A57" s="12" t="str">
        <f>IF(Sheet!A57&lt;&gt;"",Sheet!A57, "")</f>
        <v>Cu 001</v>
      </c>
      <c r="B57">
        <f>COUNTIF(Sheet!FP57:GW57,Sheet!FP$2)</f>
        <v>1</v>
      </c>
    </row>
    <row r="58" spans="1:2">
      <c r="A58" s="12" t="str">
        <f>IF(Sheet!A58&lt;&gt;"",Sheet!A58, "")</f>
        <v>XO001</v>
      </c>
      <c r="B58">
        <f>COUNTIF(Sheet!FP58:GW58,Sheet!FP$2)</f>
        <v>3</v>
      </c>
    </row>
    <row r="59" spans="1:2">
      <c r="A59" s="12" t="str">
        <f>IF(Sheet!A59&lt;&gt;"",Sheet!A59, "")</f>
        <v>CN001</v>
      </c>
      <c r="B59">
        <f>COUNTIF(Sheet!FP59:GW59,Sheet!FP$2)</f>
        <v>5</v>
      </c>
    </row>
    <row r="60" spans="1:2">
      <c r="A60" s="12" t="str">
        <f>IF(Sheet!A60&lt;&gt;"",Sheet!A60, "")</f>
        <v>CR001</v>
      </c>
      <c r="B60">
        <f>COUNTIF(Sheet!FP60:GW60,Sheet!FP$2)</f>
        <v>2</v>
      </c>
    </row>
    <row r="61" spans="1:2">
      <c r="A61" s="12" t="str">
        <f>IF(Sheet!A61&lt;&gt;"",Sheet!A61, "")</f>
        <v>CI001</v>
      </c>
      <c r="B61">
        <f>COUNTIF(Sheet!FP61:GW61,Sheet!FP$2)</f>
        <v>2</v>
      </c>
    </row>
    <row r="62" spans="1:2">
      <c r="A62" s="12" t="str">
        <f>IF(Sheet!A62&lt;&gt;"",Sheet!A62, "")</f>
        <v>CD001</v>
      </c>
      <c r="B62">
        <f>COUNTIF(Sheet!FP62:GW62,Sheet!FP$2)</f>
        <v>10</v>
      </c>
    </row>
    <row r="63" spans="1:2">
      <c r="A63" s="12" t="str">
        <f>IF(Sheet!A63&lt;&gt;"",Sheet!A63, "")</f>
        <v>KP001</v>
      </c>
      <c r="B63">
        <f>COUNTIF(Sheet!FP63:GW63,Sheet!FP$2)</f>
        <v>0</v>
      </c>
    </row>
    <row r="64" spans="1:2">
      <c r="A64" s="12" t="str">
        <f>IF(Sheet!A64&lt;&gt;"",Sheet!A64, "")</f>
        <v>XQ001</v>
      </c>
      <c r="B64">
        <f>COUNTIF(Sheet!FP64:GW64,Sheet!FP$2)</f>
        <v>1</v>
      </c>
    </row>
    <row r="65" spans="1:2">
      <c r="A65" s="12" t="str">
        <f>IF(Sheet!A65&lt;&gt;"",Sheet!A65, "")</f>
        <v>EG001</v>
      </c>
      <c r="B65">
        <f>COUNTIF(Sheet!FP65:GW65,Sheet!FP$2)</f>
        <v>6</v>
      </c>
    </row>
    <row r="66" spans="1:2">
      <c r="A66" s="12" t="str">
        <f>IF(Sheet!A66&lt;&gt;"",Sheet!A66, "")</f>
        <v xml:space="preserve">ID001 </v>
      </c>
      <c r="B66">
        <f>COUNTIF(Sheet!FP66:GW66,Sheet!FP$2)</f>
        <v>1</v>
      </c>
    </row>
    <row r="67" spans="1:2">
      <c r="A67" s="12" t="str">
        <f>IF(Sheet!A67&lt;&gt;"",Sheet!A67, "")</f>
        <v>UN001</v>
      </c>
      <c r="B67">
        <f>COUNTIF(Sheet!FP67:GW67,Sheet!FP$2)</f>
        <v>2</v>
      </c>
    </row>
    <row r="68" spans="1:2">
      <c r="A68" s="12" t="str">
        <f>IF(Sheet!A68&lt;&gt;"",Sheet!A68, "")</f>
        <v>BO001</v>
      </c>
      <c r="B68">
        <f>COUNTIF(Sheet!FP68:GW68,Sheet!FP$2)</f>
        <v>1</v>
      </c>
    </row>
    <row r="69" spans="1:2">
      <c r="A69" s="12" t="str">
        <f>IF(Sheet!A69&lt;&gt;"",Sheet!A69, "")</f>
        <v>UD001</v>
      </c>
      <c r="B69">
        <f>COUNTIF(Sheet!FP69:GW69,Sheet!FP$2)</f>
        <v>1</v>
      </c>
    </row>
    <row r="70" spans="1:2">
      <c r="A70" s="12" t="str">
        <f>IF(Sheet!A70&lt;&gt;"",Sheet!A70, "")</f>
        <v/>
      </c>
    </row>
    <row r="71" spans="1:2">
      <c r="A71" s="12" t="str">
        <f>IF(Sheet!A71&lt;&gt;"",Sheet!A71, "")</f>
        <v/>
      </c>
    </row>
  </sheetData>
  <autoFilter ref="A1:C71" xr:uid="{00000000-0009-0000-0000-000003000000}"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A933"/>
  </sheetPr>
  <dimension ref="A1:KT70"/>
  <sheetViews>
    <sheetView zoomScale="75" zoomScaleNormal="75" workbookViewId="0">
      <pane xSplit="1" ySplit="2" topLeftCell="GW43" activePane="bottomRight" state="frozen"/>
      <selection pane="bottomRight" activeCell="GW43" sqref="GW43"/>
      <selection pane="bottomLeft" activeCell="A3" sqref="A3"/>
      <selection pane="topRight" activeCell="B1" sqref="B1"/>
    </sheetView>
  </sheetViews>
  <sheetFormatPr defaultColWidth="8.5703125" defaultRowHeight="14.25"/>
  <cols>
    <col min="2" max="204" width="10.140625" hidden="1" customWidth="1"/>
    <col min="206" max="206" width="13.140625" customWidth="1"/>
    <col min="207" max="207" width="40.42578125" customWidth="1"/>
    <col min="208" max="208" width="18" customWidth="1"/>
    <col min="211" max="211" width="26.7109375" customWidth="1"/>
    <col min="212" max="212" width="18" customWidth="1"/>
    <col min="215" max="215" width="18.5703125" customWidth="1"/>
    <col min="216" max="216" width="18" customWidth="1"/>
    <col min="219" max="219" width="24.5703125" customWidth="1"/>
    <col min="220" max="220" width="18" customWidth="1"/>
    <col min="223" max="223" width="24.5703125" customWidth="1"/>
    <col min="224" max="224" width="18" customWidth="1"/>
    <col min="227" max="227" width="24.5703125" customWidth="1"/>
    <col min="228" max="228" width="18" customWidth="1"/>
    <col min="231" max="231" width="24.5703125" customWidth="1"/>
    <col min="232" max="232" width="18" customWidth="1"/>
    <col min="235" max="235" width="24.5703125" customWidth="1"/>
    <col min="236" max="236" width="18" customWidth="1"/>
    <col min="239" max="239" width="24.5703125" customWidth="1"/>
    <col min="240" max="240" width="18" customWidth="1"/>
    <col min="243" max="243" width="24.5703125" customWidth="1"/>
    <col min="244" max="244" width="18" customWidth="1"/>
    <col min="247" max="247" width="31.140625" customWidth="1"/>
    <col min="248" max="248" width="18" customWidth="1"/>
    <col min="251" max="251" width="31.85546875" customWidth="1"/>
    <col min="252" max="252" width="18" customWidth="1"/>
    <col min="255" max="255" width="24.5703125" customWidth="1"/>
    <col min="256" max="256" width="18" customWidth="1"/>
    <col min="259" max="259" width="24.5703125" customWidth="1"/>
    <col min="260" max="260" width="18" customWidth="1"/>
    <col min="263" max="263" width="38" customWidth="1"/>
    <col min="264" max="264" width="18" customWidth="1"/>
    <col min="267" max="267" width="38" customWidth="1"/>
    <col min="268" max="268" width="18" customWidth="1"/>
    <col min="271" max="271" width="38" customWidth="1"/>
    <col min="272" max="272" width="18" customWidth="1"/>
    <col min="275" max="275" width="24.5703125" customWidth="1"/>
    <col min="276" max="276" width="18" customWidth="1"/>
    <col min="279" max="279" width="24.5703125" customWidth="1"/>
    <col min="280" max="280" width="18" customWidth="1"/>
    <col min="283" max="283" width="24.5703125" customWidth="1"/>
    <col min="284" max="284" width="18" customWidth="1"/>
    <col min="287" max="287" width="24.5703125" customWidth="1"/>
    <col min="288" max="288" width="18" customWidth="1"/>
    <col min="291" max="291" width="24.5703125" customWidth="1"/>
    <col min="292" max="292" width="18" customWidth="1"/>
    <col min="295" max="295" width="24.5703125" customWidth="1"/>
    <col min="296" max="296" width="18" customWidth="1"/>
    <col min="299" max="299" width="52.28515625" customWidth="1"/>
    <col min="300" max="300" width="18" customWidth="1"/>
    <col min="303" max="303" width="24.5703125" customWidth="1"/>
    <col min="304" max="304" width="18" customWidth="1"/>
  </cols>
  <sheetData>
    <row r="1" spans="1:306" s="18" customFormat="1" ht="15">
      <c r="A1" t="str">
        <f>Sheet!A1</f>
        <v>Пожалуйста, введите свой ID, который вы получили после подписания соглашения на участие.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 s="31" t="s">
        <v>567</v>
      </c>
      <c r="GX1"/>
      <c r="GY1" s="32" t="str">
        <f>IF(Sheet!GY1&lt;&gt;"",Sheet!GY1, "")</f>
        <v>Насколько нижеприведенные симптомы вас беспокоили в течение последней недели?</v>
      </c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</row>
    <row r="2" spans="1:306" ht="137.25">
      <c r="A2" s="18" t="str">
        <f>Sheet!A2</f>
        <v>Open-Ended Response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33" t="s">
        <v>568</v>
      </c>
      <c r="GX2" s="18"/>
      <c r="GY2" s="12" t="str">
        <f>IF(Sheet!GY2&lt;&gt;"",Sheet!GY2, "")</f>
        <v>Навязчивые мысли и воспоминания о наиболее болезненных или пугающих событиях / Recurrent thoughts or memories of the most hurtful or terrifying events - Совсем нет/Not at all</v>
      </c>
      <c r="GZ2" s="22" t="s">
        <v>569</v>
      </c>
      <c r="HA2" s="12"/>
      <c r="HB2" s="12"/>
      <c r="HC2" s="12" t="str">
        <f>IF(Sheet!HC2&lt;&gt;"",Sheet!HC2, "")</f>
        <v>Ощущение, что это событие повторяется вновь / Feeling as though the event is happening again - Совсем нет/Not at all</v>
      </c>
      <c r="HD2" s="22" t="s">
        <v>569</v>
      </c>
      <c r="HE2" s="12"/>
      <c r="HF2" s="12"/>
      <c r="HG2" s="12" t="str">
        <f>IF(Sheet!HG2&lt;&gt;"",Sheet!HG2, "")</f>
        <v>Повторяющиеся ночные кошмары / Recurrent nightmares - Совсем нет/Not at all</v>
      </c>
      <c r="HH2" s="22" t="s">
        <v>569</v>
      </c>
      <c r="HI2" s="12"/>
      <c r="HJ2" s="12"/>
      <c r="HK2" s="12" t="str">
        <f>IF(Sheet!HK2&lt;&gt;"",Sheet!HK2, "")</f>
        <v>Ощущение отовранности или отчужденности от людей / Feeling detached or withdrawn from people - Совсем нет/Not at all</v>
      </c>
      <c r="HL2" s="22" t="s">
        <v>569</v>
      </c>
      <c r="HM2" s="12"/>
      <c r="HN2" s="12"/>
      <c r="HO2" s="12" t="str">
        <f>IF(Sheet!HO2&lt;&gt;"",Sheet!HO2, "")</f>
        <v>Неспособность испытывать эмоции / Unable to feel emotions - Совсем нет/Not at all</v>
      </c>
      <c r="HP2" s="22" t="s">
        <v>569</v>
      </c>
      <c r="HQ2" s="12"/>
      <c r="HR2" s="12"/>
      <c r="HS2" s="12" t="str">
        <f>IF(Sheet!HS2&lt;&gt;"",Sheet!HS2, "")</f>
        <v>Нервозность, вздрагивание / Feeling jumpy, easily startled - Совсем нет/Not at all</v>
      </c>
      <c r="HT2" s="22" t="s">
        <v>569</v>
      </c>
      <c r="HU2" s="12"/>
      <c r="HV2" s="12"/>
      <c r="HW2" s="12" t="str">
        <f>IF(Sheet!HW2&lt;&gt;"",Sheet!HW2, "")</f>
        <v>Трудности с концентрацией внимания / Difficulty concentrating - Совсем нет/Not at all</v>
      </c>
      <c r="HX2" s="22" t="s">
        <v>569</v>
      </c>
      <c r="HY2" s="12"/>
      <c r="HZ2" s="12"/>
      <c r="IA2" s="12" t="str">
        <f>IF(Sheet!IA2&lt;&gt;"",Sheet!IA2, "")</f>
        <v>Проблемы со сном / Trouble sleeping - Совсем нет/Not at all</v>
      </c>
      <c r="IB2" s="22" t="s">
        <v>569</v>
      </c>
      <c r="IC2" s="12"/>
      <c r="ID2" s="12"/>
      <c r="IE2" s="12" t="str">
        <f>IF(Sheet!IE2&lt;&gt;"",Sheet!IE2, "")</f>
        <v>Постоянно настороже / Feeling on guard - Совсем нет/Not at all</v>
      </c>
      <c r="IF2" s="22" t="s">
        <v>569</v>
      </c>
      <c r="IG2" s="12"/>
      <c r="IH2" s="12"/>
      <c r="II2" s="12" t="str">
        <f>IF(Sheet!II2&lt;&gt;"",Sheet!II2, "")</f>
        <v>Легко раздражаетесь, испытываете вспышки гнева / Feeling irritable or having outbursts of anger - Совсем нет/Not at all</v>
      </c>
      <c r="IJ2" s="22" t="s">
        <v>569</v>
      </c>
      <c r="IK2" s="12"/>
      <c r="IL2" s="12"/>
      <c r="IM2" s="12" t="str">
        <f>IF(Sheet!IM2&lt;&gt;"",Sheet!IM2, "")</f>
        <v>Избегания действий, которые напоминают вам о траматическом или болезненном событии. / Avoiding activities that remind you of the traumatic or hurtful event - Совсем нет/Not at all</v>
      </c>
      <c r="IN2" s="22" t="s">
        <v>569</v>
      </c>
      <c r="IO2" s="12"/>
      <c r="IP2" s="12"/>
      <c r="IQ2" s="12" t="str">
        <f>IF(Sheet!IQ2&lt;&gt;"",Sheet!IQ2, "")</f>
        <v>Невозможность вспомнить фрагменты наиболее болезненных или травматичных событий / Inability to remember parts of the most hurtful or traumatic events - Совсем нет/Not at all</v>
      </c>
      <c r="IR2" s="22" t="s">
        <v>569</v>
      </c>
      <c r="IS2" s="12"/>
      <c r="IT2" s="12"/>
      <c r="IU2" s="12" t="str">
        <f>IF(Sheet!IU2&lt;&gt;"",Sheet!IU2, "")</f>
        <v>Пониженный интерес к повседневной деятельности / Less interest in daily activities - Совсем нет/Not at all</v>
      </c>
      <c r="IV2" s="22" t="s">
        <v>569</v>
      </c>
      <c r="IW2" s="12"/>
      <c r="IX2" s="12"/>
      <c r="IY2" s="12" t="str">
        <f>IF(Sheet!IY2&lt;&gt;"",Sheet!IY2, "")</f>
        <v>Чувство, что у вас нет будущего / Feeling as if you don’t have a future - Совсем нет/Not at all</v>
      </c>
      <c r="IZ2" s="22" t="s">
        <v>569</v>
      </c>
      <c r="JA2" s="12"/>
      <c r="JB2" s="12"/>
      <c r="JC2" s="12" t="str">
        <f>IF(Sheet!JC2&lt;&gt;"",Sheet!JC2, "")</f>
        <v>Избегание мыслей и чувств, которые ассоциируются с траматичными или болезненными собиытиями / Avoiding thoughts or feelings associated with the traumatic or hurtful events - Совсем нет/Not at all</v>
      </c>
      <c r="JD2" s="22" t="s">
        <v>569</v>
      </c>
      <c r="JE2" s="12"/>
      <c r="JF2" s="12"/>
      <c r="JG2" s="12" t="str">
        <f>IF(Sheet!JG2&lt;&gt;"",Sheet!JG2, "")</f>
        <v>Внезапная эмоциональная или физическая реакция при напоминании об особенно болезненном или травматичном событии / Sudden emotional or physical reaction when reminded of the most hurtful or traumatic events - Совсем нет/Not at all</v>
      </c>
      <c r="JH2" s="22" t="s">
        <v>569</v>
      </c>
      <c r="JI2" s="12"/>
      <c r="JJ2" s="12"/>
      <c r="JK2" s="12" t="str">
        <f>IF(Sheet!JK2&lt;&gt;"",Sheet!JK2, "")</f>
        <v>Ощущение, что мир очень опасен / Feeling that the world is a very dangerous place - Совсем нет/Not at all</v>
      </c>
      <c r="JL2" s="22" t="s">
        <v>569</v>
      </c>
      <c r="JM2" s="12"/>
      <c r="JN2" s="12"/>
      <c r="JO2" s="12" t="str">
        <f>IF(Sheet!JO2&lt;&gt;"",Sheet!JO2, "")</f>
        <v>Ощущение, что вы плохой человек / Feeling that you are a bad person - Совсем нет/Not at all</v>
      </c>
      <c r="JP2" s="22" t="s">
        <v>569</v>
      </c>
      <c r="JQ2" s="12"/>
      <c r="JR2" s="12"/>
      <c r="JS2" s="12" t="str">
        <f>IF(Sheet!JS2&lt;&gt;"",Sheet!JS2, "")</f>
        <v>Обвинение себя в том, что произошло / Blaming yourself for the traumatic event - Совсем нет/Not at all</v>
      </c>
      <c r="JT2" s="22" t="s">
        <v>569</v>
      </c>
      <c r="JU2" s="12"/>
      <c r="JV2" s="12"/>
      <c r="JW2" s="12" t="str">
        <f>IF(Sheet!JW2&lt;&gt;"",Sheet!JW2, "")</f>
        <v>Сильное чувство страха, ужаса, злости, вины или стыда, когда думаете о травматическом событии / Strong feeling of fear, horror, anger, guilt or shame when thinking about the traumatic event - Совсем нет/Not at all</v>
      </c>
      <c r="JX2" s="22" t="s">
        <v>569</v>
      </c>
      <c r="JY2" s="12"/>
      <c r="JZ2" s="12"/>
      <c r="KA2" s="12" t="str">
        <f>IF(Sheet!KA2&lt;&gt;"",Sheet!KA2, "")</f>
        <v>Сложности с чувствами любви и счастья / Difficulty feeling love or happiness - Совсем нет/Not at all</v>
      </c>
      <c r="KB2" s="22" t="s">
        <v>569</v>
      </c>
      <c r="KC2" s="12"/>
      <c r="KD2" s="12"/>
      <c r="KE2" s="12" t="str">
        <f>IF(Sheet!KE2&lt;&gt;"",Sheet!KE2, "")</f>
        <v>Совершение рискованных поступков, которые могут повредить вам или окружающим / Taking risks that may harm yourself or others - Совсем нет/Not at all</v>
      </c>
      <c r="KF2" s="22" t="s">
        <v>569</v>
      </c>
      <c r="KG2" s="12"/>
      <c r="KH2" s="12"/>
      <c r="KI2" s="12" t="str">
        <f>IF(Sheet!KI2&lt;&gt;"",Sheet!KI2, "")</f>
        <v>Ощущение, что травматическое событие повредило вас как личность / Feeling like you have been damaged as a person by the traumatic event - Совсем нет/Not at all</v>
      </c>
      <c r="KJ2" s="22" t="s">
        <v>569</v>
      </c>
      <c r="KK2" s="12"/>
      <c r="KL2" s="12"/>
      <c r="KM2" s="12" t="str">
        <f>IF(Sheet!KM2&lt;&gt;"",Sheet!KM2, "")</f>
        <v>Ощущение, будто если что-то напоминает вам о травматическом событии, это похоже на сон, что это не случилось с вами и/или это не произошло в реальности / Feeling as if something reminds you of the trauma but it feels like a dream, that it is not happening to you, and/or that it is not real - Совсем нет/Not at all</v>
      </c>
      <c r="KN2" s="22" t="s">
        <v>569</v>
      </c>
      <c r="KO2" s="12"/>
      <c r="KP2" s="12"/>
      <c r="KQ2" s="12" t="str">
        <f>IF(Sheet!KQ2&lt;&gt;"",Sheet!KQ2, "")</f>
        <v>Ощущение, что люди и предметы вокруг вас не настоящие или не знакомые / Feeling people or objects around you are not real or strange - Совсем нет/Not at all</v>
      </c>
      <c r="KR2" s="22" t="s">
        <v>569</v>
      </c>
      <c r="KS2" s="12"/>
      <c r="KT2" s="12"/>
    </row>
    <row r="3" spans="1:306" ht="15">
      <c r="A3" t="str">
        <f>Sheet!A3</f>
        <v>SC001</v>
      </c>
      <c r="GW3" s="27">
        <f>SUM(GY3,HC3,HG3,HK3,HO3,HS3,HW3,IA3,IE3,II3,IM3,IQ3,IU3,IY3,JC3,JG3,JK3,JO3,JS3,JW3,KA3,KE3,KI3,KM3,KQ3)/25</f>
        <v>1.72</v>
      </c>
      <c r="GX3" t="str">
        <f>GW2</f>
        <v>∑/25</v>
      </c>
      <c r="GY3">
        <f>IF(Sheet!GY3="Совсем нет/Not at all",1,IF(Sheet!GZ3="Немного/A little",2,IF(Sheet!HA3="Довольно сильно/Quite a bit",3,IF(Sheet!HB3="Очень сильно/Extremely",4,""))))</f>
        <v>4</v>
      </c>
      <c r="GZ3" s="26">
        <f>AVERAGE(GY3:GY69)</f>
        <v>1.8307692307692307</v>
      </c>
      <c r="HC3">
        <f>IF(Sheet!HC3="Совсем нет/Not at all",1,IF(Sheet!HD3="Немного/A little",2,IF(Sheet!HE3="Довольно сильно/Quite a bit",3,IF(Sheet!HF3="Очень сильно/Extremely",4,""))))</f>
        <v>1</v>
      </c>
      <c r="HD3" s="26">
        <f>AVERAGE(HC3:HC69)</f>
        <v>1.523076923076923</v>
      </c>
      <c r="HG3">
        <f>IF(Sheet!HG3="Совсем нет/Not at all",1,IF(Sheet!HH3="Немного/A little",2,IF(Sheet!HI3="Довольно сильно/Quite a bit",3,IF(Sheet!HJ3="Очень сильно/Extremely",4,""))))</f>
        <v>1</v>
      </c>
      <c r="HH3" s="26">
        <f>AVERAGE(HG3:HG69)</f>
        <v>1.5076923076923077</v>
      </c>
      <c r="HK3">
        <f>IF(Sheet!HK3="Совсем нет/Not at all",1,IF(Sheet!HL3="Немного/A little",2,IF(Sheet!HM3="Довольно сильно/Quite a bit",3,IF(Sheet!HN3="Очень сильно/Extremely",4,""))))</f>
        <v>1</v>
      </c>
      <c r="HL3" s="26">
        <f>AVERAGE(HK3:HK69)</f>
        <v>2.2307692307692308</v>
      </c>
      <c r="HO3">
        <f>IF(Sheet!HO3="Совсем нет/Not at all",1,IF(Sheet!HP3="Немного/A little",2,IF(Sheet!HQ3="Довольно сильно/Quite a bit",3,IF(Sheet!HR3="Очень сильно/Extremely",4,""))))</f>
        <v>1</v>
      </c>
      <c r="HP3" s="26">
        <f>AVERAGE(HO3:HO69)</f>
        <v>1.9692307692307693</v>
      </c>
      <c r="HS3">
        <f>IF(Sheet!HS3="Совсем нет/Not at all",1,IF(Sheet!HT3="Немного/A little",2,IF(Sheet!HU3="Довольно сильно/Quite a bit",3,IF(Sheet!HV3="Очень сильно/Extremely",4,""))))</f>
        <v>3</v>
      </c>
      <c r="HT3" s="26">
        <f>AVERAGE(HS3:HS69)</f>
        <v>2.1384615384615384</v>
      </c>
      <c r="HW3">
        <f>IF(Sheet!HW3="Совсем нет/Not at all",1,IF(Sheet!HX3="Немного/A little",2,IF(Sheet!HY3="Довольно сильно/Quite a bit",3,IF(Sheet!HZ3="Очень сильно/Extremely",4,""))))</f>
        <v>1</v>
      </c>
      <c r="HX3" s="26">
        <f>AVERAGE(HW3:HW69)</f>
        <v>2.523076923076923</v>
      </c>
      <c r="IA3">
        <f>IF(Sheet!IA3="Совсем нет/Not at all",1,IF(Sheet!IB3="Немного/A little",2,IF(Sheet!IC3="Довольно сильно/Quite a bit",3,IF(Sheet!ID3="Очень сильно/Extremely",4,""))))</f>
        <v>1</v>
      </c>
      <c r="IB3" s="26">
        <f>AVERAGE(IA3:IA69)</f>
        <v>2.476923076923077</v>
      </c>
      <c r="IE3">
        <f>IF(Sheet!IE3="Совсем нет/Not at all",1,IF(Sheet!IF3="Немного/A little",2,IF(Sheet!IG3="Довольно сильно/Quite a bit",3,IF(Sheet!IH3="Очень сильно/Extremely",4,""))))</f>
        <v>1</v>
      </c>
      <c r="IF3" s="26">
        <f>AVERAGE(IE3:IE69)</f>
        <v>2.3076923076923075</v>
      </c>
      <c r="II3">
        <f>IF(Sheet!II3="Совсем нет/Not at all",1,IF(Sheet!IJ3="Немного/A little",2,IF(Sheet!IK3="Довольно сильно/Quite a bit",3,IF(Sheet!IL3="Очень сильно/Extremely",4,""))))</f>
        <v>3</v>
      </c>
      <c r="IJ3" s="26">
        <f>AVERAGE(II3:II69)</f>
        <v>2.3230769230769233</v>
      </c>
      <c r="IM3">
        <f>IF(Sheet!IM3="Совсем нет/Not at all",1,IF(Sheet!IN3="Немного/A little",2,IF(Sheet!IO3="Довольно сильно/Quite a bit",3,IF(Sheet!IP3="Очень сильно/Extremely",4,""))))</f>
        <v>4</v>
      </c>
      <c r="IN3" s="26">
        <f>AVERAGE(IM3:IM69)</f>
        <v>1.875</v>
      </c>
      <c r="IQ3">
        <f>IF(Sheet!IQ3="Совсем нет/Not at all",1,IF(Sheet!IR3="Немного/A little",2,IF(Sheet!IS3="Довольно сильно/Quite a bit ",3,IF(Sheet!IT3="Очень сильно/Extremely ",4,""))))</f>
        <v>1</v>
      </c>
      <c r="IR3" s="26">
        <f>AVERAGE(IQ3:IQ69)</f>
        <v>1.3076923076923077</v>
      </c>
      <c r="IU3">
        <f>IF(Sheet!IU3="Совсем нет/Not at all",1,IF(Sheet!IV3="Немного/A little",2,IF(Sheet!IW3="Довольно сильно/Quite a bit ",3,IF(Sheet!IX3="Очень сильно/Extremely ",4,""))))</f>
        <v>2</v>
      </c>
      <c r="IV3" s="26">
        <f>AVERAGE(IU3:IU69)</f>
        <v>2.1538461538461537</v>
      </c>
      <c r="IY3">
        <f>IF(Sheet!IY3="Совсем нет/Not at all",1,IF(Sheet!IZ3="Немного/A little",2,IF(Sheet!JA3="Довольно сильно/Quite a bit ",3,IF(Sheet!JB3="Очень сильно/Extremely ",4,""))))</f>
        <v>1</v>
      </c>
      <c r="IZ3" s="26">
        <f>AVERAGE(IY3:IY69)</f>
        <v>2.4923076923076923</v>
      </c>
      <c r="JC3">
        <f>IF(Sheet!JC3="Совсем нет/Not at all",1,IF(Sheet!JD3="Немного/A little",2,IF(Sheet!JE3="Довольно сильно/Quite a bit ",3,IF(Sheet!JF3="Очень сильно/Extremely ",4,""))))</f>
        <v>1</v>
      </c>
      <c r="JD3" s="26">
        <f>AVERAGE(JC3:JC69)</f>
        <v>1.8153846153846154</v>
      </c>
      <c r="JG3">
        <f>IF(Sheet!JG3="Совсем нет/Not at all",1,IF(Sheet!JH3="Немного/A little",2,IF(Sheet!JI3="Довольно сильно/Quite a bit ",3,IF(Sheet!JJ3="Очень сильно/Extremely ",4,""))))</f>
        <v>3</v>
      </c>
      <c r="JH3" s="26">
        <f>AVERAGE(JG3:JG69)</f>
        <v>1.7076923076923076</v>
      </c>
      <c r="JK3">
        <f>IF(Sheet!JK3="Совсем нет/Not at all",1,IF(Sheet!JL3="Немного/A little",2,IF(Sheet!JM3="Довольно сильно/Quite a bit ",3,IF(Sheet!JN3="Очень сильно/Extremely ",4,""))))</f>
        <v>2</v>
      </c>
      <c r="JL3" s="26">
        <f>AVERAGE(JK3:JK69)</f>
        <v>2.1692307692307691</v>
      </c>
      <c r="JO3">
        <f>IF(Sheet!JO3="Совсем нет/Not at all",1,IF(Sheet!JP3="Немного/A little",2,IF(Sheet!JQ3="Довольно сильно/Quite a bit",3,IF(Sheet!JR3="Очень сильно/Extremely",4,""))))</f>
        <v>1</v>
      </c>
      <c r="JP3" s="26">
        <f>AVERAGE(JO3:JO69)</f>
        <v>1.346938775510204</v>
      </c>
      <c r="JS3">
        <f>IF(Sheet!JS3="Совсем нет/Not at all",1,IF(Sheet!JT3="Немного/A little",2,IF(Sheet!JU3="Довольно сильно/Quite a bit",3,IF(Sheet!JV3="Очень сильно/Extremely",4,""))))</f>
        <v>1</v>
      </c>
      <c r="JT3" s="26">
        <f>AVERAGE(JS3:JS69)</f>
        <v>1.6615384615384616</v>
      </c>
      <c r="JW3">
        <f>IF(Sheet!JW3="Совсем нет/Not at all",1,IF(Sheet!JX3="Немного/A little",2,IF(Sheet!JY3="Довольно сильно/Quite a bit",3,IF(Sheet!JZ3="Очень сильно/Extremely",4,""))))</f>
        <v>3</v>
      </c>
      <c r="JX3" s="26">
        <f>AVERAGE(JW3:JW69)</f>
        <v>1.8923076923076922</v>
      </c>
      <c r="KA3">
        <f>IF(Sheet!KA3="Совсем нет/Not at all",1,IF(Sheet!KB3="Немного/A little",2,IF(Sheet!KC3="Довольно сильно/Quite a bit",3,IF(Sheet!KD3="Очень сильно/Extremely",4,""))))</f>
        <v>1</v>
      </c>
      <c r="KB3" s="26">
        <f>AVERAGE(KA3:KA69)</f>
        <v>2.2923076923076922</v>
      </c>
      <c r="KE3">
        <f>IF(Sheet!KE3="Совсем нет/Not at all",1,IF(Sheet!KF3="Немного/A little",2,IF(Sheet!KG3="Довольно сильно/Quite a bit",3,IF(Sheet!KH3="Очень сильно/Extremely",4,""))))</f>
        <v>2</v>
      </c>
      <c r="KF3" s="26">
        <f>AVERAGE(KE3:KE69)</f>
        <v>1.4153846153846155</v>
      </c>
      <c r="KI3">
        <f>IF(Sheet!KI3="Совсем нет/Not at all",1,IF(Sheet!KJ3="Немного/A little",2,IF(Sheet!KK3="Довольно сильно/Quite a bit",3,IF(Sheet!KL3="Очень сильно/Extremely",4,""))))</f>
        <v>2</v>
      </c>
      <c r="KJ3" s="26">
        <f>AVERAGE(KI3:KI69)</f>
        <v>1.9846153846153847</v>
      </c>
      <c r="KM3">
        <f>IF(Sheet!KM3="Совсем нет/Not at all",1,IF(Sheet!KN3="Немного/A little",2,IF(Sheet!KO3="Довольно сильно/Quite a bit",3,IF(Sheet!KP3="Очень сильно/Extremely",4,""))))</f>
        <v>1</v>
      </c>
      <c r="KN3" s="26">
        <f>AVERAGE(KM3:KM69)</f>
        <v>1.4307692307692308</v>
      </c>
      <c r="KQ3">
        <f>IF(Sheet!KQ3="Совсем нет/Not at all",1,IF(Sheet!KR3="Немного/A little",2,IF(Sheet!KS3="Довольно сильно/Quite a bit",3,IF(Sheet!KT3="Очень сильно/Extremely",4,""))))</f>
        <v>1</v>
      </c>
      <c r="KR3" s="26">
        <f>AVERAGE(KQ3:KQ69)</f>
        <v>1.3692307692307693</v>
      </c>
    </row>
    <row r="4" spans="1:306" ht="15">
      <c r="A4" t="str">
        <f>Sheet!A4</f>
        <v>CF002</v>
      </c>
      <c r="GW4" s="27">
        <f>SUM(GY4,HC4,HG4,HK4,HO4,HS4,HW4,IA4,IE4,II4,IM4,IQ4,IU4,IY4,JC4,JG4,JK4,JO4,JS4,JW4,KA4,KE4,KI4,KM4,KQ4)/25</f>
        <v>1.52</v>
      </c>
      <c r="GX4" s="34">
        <f>COUNTIF(GW3:GW69,"&gt;2.5")/65</f>
        <v>0.16923076923076924</v>
      </c>
      <c r="GY4">
        <f>IF(Sheet!GY4="Совсем нет/Not at all",1,IF(Sheet!GZ4="Немного/A little",2,IF(Sheet!HA4="Довольно сильно/Quite a bit",3,IF(Sheet!HB4="Очень сильно/Extremely",4,""))))</f>
        <v>2</v>
      </c>
      <c r="HC4">
        <f>IF(Sheet!HC4="Совсем нет/Not at all",1,IF(Sheet!HD4="Немного/A little",2,IF(Sheet!HE4="Довольно сильно/Quite a bit",3,IF(Sheet!HF4="Очень сильно/Extremely",4,""))))</f>
        <v>1</v>
      </c>
      <c r="HG4">
        <f>IF(Sheet!HG4="Совсем нет/Not at all",1,IF(Sheet!HH4="Немного/A little",2,IF(Sheet!HI4="Довольно сильно/Quite a bit",3,IF(Sheet!HJ4="Очень сильно/Extremely",4,""))))</f>
        <v>1</v>
      </c>
      <c r="HK4">
        <f>IF(Sheet!HK4="Совсем нет/Not at all",1,IF(Sheet!HL4="Немного/A little",2,IF(Sheet!HM4="Довольно сильно/Quite a bit",3,IF(Sheet!HN4="Очень сильно/Extremely",4,""))))</f>
        <v>1</v>
      </c>
      <c r="HO4">
        <f>IF(Sheet!HO4="Совсем нет/Not at all",1,IF(Sheet!HP4="Немного/A little",2,IF(Sheet!HQ4="Довольно сильно/Quite a bit",3,IF(Sheet!HR4="Очень сильно/Extremely",4,""))))</f>
        <v>1</v>
      </c>
      <c r="HS4">
        <f>IF(Sheet!HS4="Совсем нет/Not at all",1,IF(Sheet!HT4="Немного/A little",2,IF(Sheet!HU4="Довольно сильно/Quite a bit",3,IF(Sheet!HV4="Очень сильно/Extremely",4,""))))</f>
        <v>2</v>
      </c>
      <c r="HW4">
        <f>IF(Sheet!HW4="Совсем нет/Not at all",1,IF(Sheet!HX4="Немного/A little",2,IF(Sheet!HY4="Довольно сильно/Quite a bit",3,IF(Sheet!HZ4="Очень сильно/Extremely",4,""))))</f>
        <v>1</v>
      </c>
      <c r="IA4">
        <f>IF(Sheet!IA4="Совсем нет/Not at all",1,IF(Sheet!IB4="Немного/A little",2,IF(Sheet!IC4="Довольно сильно/Quite a bit",3,IF(Sheet!ID4="Очень сильно/Extremely",4,""))))</f>
        <v>3</v>
      </c>
      <c r="IE4">
        <f>IF(Sheet!IE4="Совсем нет/Not at all",1,IF(Sheet!IF4="Немного/A little",2,IF(Sheet!IG4="Довольно сильно/Quite a bit",3,IF(Sheet!IH4="Очень сильно/Extremely",4,""))))</f>
        <v>1</v>
      </c>
      <c r="II4">
        <f>IF(Sheet!II4="Совсем нет/Not at all",1,IF(Sheet!IJ4="Немного/A little",2,IF(Sheet!IK4="Довольно сильно/Quite a bit",3,IF(Sheet!IL4="Очень сильно/Extremely",4,""))))</f>
        <v>1</v>
      </c>
      <c r="IM4">
        <f>IF(Sheet!IM4="Совсем нет/Not at all",1,IF(Sheet!IN4="Немного/A little",2,IF(Sheet!IO4="Довольно сильно/Quite a bit",3,IF(Sheet!IP4="Очень сильно/Extremely",4,""))))</f>
        <v>1</v>
      </c>
      <c r="IQ4">
        <f>IF(Sheet!IQ4="Совсем нет/Not at all",1,IF(Sheet!IR4="Немного/A little",2,IF(Sheet!IS4="Довольно сильно/Quite a bit ",3,IF(Sheet!IT4="Очень сильно/Extremely ",4,""))))</f>
        <v>1</v>
      </c>
      <c r="IU4">
        <f>IF(Sheet!IU4="Совсем нет/Not at all",1,IF(Sheet!IV4="Немного/A little",2,IF(Sheet!IW4="Довольно сильно/Quite a bit ",3,IF(Sheet!IX4="Очень сильно/Extremely ",4,""))))</f>
        <v>3</v>
      </c>
      <c r="IY4">
        <f>IF(Sheet!IY4="Совсем нет/Not at all",1,IF(Sheet!IZ4="Немного/A little",2,IF(Sheet!JA4="Довольно сильно/Quite a bit ",3,IF(Sheet!JB4="Очень сильно/Extremely ",4,""))))</f>
        <v>1</v>
      </c>
      <c r="JC4">
        <f>IF(Sheet!JC4="Совсем нет/Not at all",1,IF(Sheet!JD4="Немного/A little",2,IF(Sheet!JE4="Довольно сильно/Quite a bit ",3,IF(Sheet!JF4="Очень сильно/Extremely ",4,""))))</f>
        <v>2</v>
      </c>
      <c r="JG4">
        <f>IF(Sheet!JG4="Совсем нет/Not at all",1,IF(Sheet!JH4="Немного/A little",2,IF(Sheet!JI4="Довольно сильно/Quite a bit ",3,IF(Sheet!JJ4="Очень сильно/Extremely ",4,""))))</f>
        <v>1</v>
      </c>
      <c r="JK4">
        <f>IF(Sheet!JK4="Совсем нет/Not at all",1,IF(Sheet!JL4="Немного/A little",2,IF(Sheet!JM4="Довольно сильно/Quite a bit ",3,IF(Sheet!JN4="Очень сильно/Extremely ",4,""))))</f>
        <v>2</v>
      </c>
      <c r="JO4" t="str">
        <f>IF(Sheet!JO4="Совсем нет/Not at all",1,IF(Sheet!JP4="Немного/A little",2,IF(Sheet!JQ4="Довольно сильно/Quite a bit",3,IF(Sheet!JR4="Очень сильно/Extremely",4,""))))</f>
        <v/>
      </c>
      <c r="JS4">
        <f>IF(Sheet!JS4="Совсем нет/Not at all",1,IF(Sheet!JT4="Немного/A little",2,IF(Sheet!JU4="Довольно сильно/Quite a bit",3,IF(Sheet!JV4="Очень сильно/Extremely",4,""))))</f>
        <v>2</v>
      </c>
      <c r="JW4">
        <f>IF(Sheet!JW4="Совсем нет/Not at all",1,IF(Sheet!JX4="Немного/A little",2,IF(Sheet!JY4="Довольно сильно/Quite a bit",3,IF(Sheet!JZ4="Очень сильно/Extremely",4,""))))</f>
        <v>3</v>
      </c>
      <c r="KA4">
        <f>IF(Sheet!KA4="Совсем нет/Not at all",1,IF(Sheet!KB4="Немного/A little",2,IF(Sheet!KC4="Довольно сильно/Quite a bit",3,IF(Sheet!KD4="Очень сильно/Extremely",4,""))))</f>
        <v>2</v>
      </c>
      <c r="KE4">
        <f>IF(Sheet!KE4="Совсем нет/Not at all",1,IF(Sheet!KF4="Немного/A little",2,IF(Sheet!KG4="Довольно сильно/Quite a bit",3,IF(Sheet!KH4="Очень сильно/Extremely",4,""))))</f>
        <v>1</v>
      </c>
      <c r="KI4">
        <f>IF(Sheet!KI4="Совсем нет/Not at all",1,IF(Sheet!KJ4="Немного/A little",2,IF(Sheet!KK4="Довольно сильно/Quite a bit",3,IF(Sheet!KL4="Очень сильно/Extremely",4,""))))</f>
        <v>3</v>
      </c>
      <c r="KM4">
        <f>IF(Sheet!KM4="Совсем нет/Not at all",1,IF(Sheet!KN4="Немного/A little",2,IF(Sheet!KO4="Довольно сильно/Quite a bit",3,IF(Sheet!KP4="Очень сильно/Extremely",4,""))))</f>
        <v>1</v>
      </c>
      <c r="KQ4">
        <f>IF(Sheet!KQ4="Совсем нет/Not at all",1,IF(Sheet!KR4="Немного/A little",2,IF(Sheet!KS4="Довольно сильно/Quite a bit",3,IF(Sheet!KT4="Очень сильно/Extremely",4,""))))</f>
        <v>1</v>
      </c>
    </row>
    <row r="5" spans="1:306" ht="15">
      <c r="A5" t="str">
        <f>Sheet!A5</f>
        <v>CT001</v>
      </c>
      <c r="GW5" s="27">
        <f>SUM(GY5,HC5,HG5,HK5,HO5,HS5,HW5,IA5,IE5,II5,IM5,IQ5,IU5,IY5,JC5,JG5,JK5,JO5,JS5,JW5,KA5,KE5,KI5,KM5,KQ5)/25</f>
        <v>1.2</v>
      </c>
      <c r="GY5">
        <f>IF(Sheet!GY5="Совсем нет/Not at all",1,IF(Sheet!GZ5="Немного/A little",2,IF(Sheet!HA5="Довольно сильно/Quite a bit",3,IF(Sheet!HB5="Очень сильно/Extremely",4,""))))</f>
        <v>1</v>
      </c>
      <c r="GZ5" s="22" t="s">
        <v>565</v>
      </c>
      <c r="HC5">
        <f>IF(Sheet!HC5="Совсем нет/Not at all",1,IF(Sheet!HD5="Немного/A little",2,IF(Sheet!HE5="Довольно сильно/Quite a bit",3,IF(Sheet!HF5="Очень сильно/Extremely",4,""))))</f>
        <v>1</v>
      </c>
      <c r="HD5" s="22" t="s">
        <v>565</v>
      </c>
      <c r="HG5">
        <f>IF(Sheet!HG5="Совсем нет/Not at all",1,IF(Sheet!HH5="Немного/A little",2,IF(Sheet!HI5="Довольно сильно/Quite a bit",3,IF(Sheet!HJ5="Очень сильно/Extremely",4,""))))</f>
        <v>2</v>
      </c>
      <c r="HH5" s="22" t="s">
        <v>565</v>
      </c>
      <c r="HK5">
        <f>IF(Sheet!HK5="Совсем нет/Not at all",1,IF(Sheet!HL5="Немного/A little",2,IF(Sheet!HM5="Довольно сильно/Quite a bit",3,IF(Sheet!HN5="Очень сильно/Extremely",4,""))))</f>
        <v>1</v>
      </c>
      <c r="HL5" s="22" t="s">
        <v>565</v>
      </c>
      <c r="HO5">
        <f>IF(Sheet!HO5="Совсем нет/Not at all",1,IF(Sheet!HP5="Немного/A little",2,IF(Sheet!HQ5="Довольно сильно/Quite a bit",3,IF(Sheet!HR5="Очень сильно/Extremely",4,""))))</f>
        <v>1</v>
      </c>
      <c r="HP5" s="22" t="s">
        <v>565</v>
      </c>
      <c r="HS5">
        <f>IF(Sheet!HS5="Совсем нет/Not at all",1,IF(Sheet!HT5="Немного/A little",2,IF(Sheet!HU5="Довольно сильно/Quite a bit",3,IF(Sheet!HV5="Очень сильно/Extremely",4,""))))</f>
        <v>1</v>
      </c>
      <c r="HT5" s="22" t="s">
        <v>565</v>
      </c>
      <c r="HW5">
        <f>IF(Sheet!HW5="Совсем нет/Not at all",1,IF(Sheet!HX5="Немного/A little",2,IF(Sheet!HY5="Довольно сильно/Quite a bit",3,IF(Sheet!HZ5="Очень сильно/Extremely",4,""))))</f>
        <v>2</v>
      </c>
      <c r="HX5" s="22" t="s">
        <v>565</v>
      </c>
      <c r="IA5">
        <f>IF(Sheet!IA5="Совсем нет/Not at all",1,IF(Sheet!IB5="Немного/A little",2,IF(Sheet!IC5="Довольно сильно/Quite a bit",3,IF(Sheet!ID5="Очень сильно/Extremely",4,""))))</f>
        <v>1</v>
      </c>
      <c r="IB5" s="22" t="s">
        <v>565</v>
      </c>
      <c r="IE5">
        <f>IF(Sheet!IE5="Совсем нет/Not at all",1,IF(Sheet!IF5="Немного/A little",2,IF(Sheet!IG5="Довольно сильно/Quite a bit",3,IF(Sheet!IH5="Очень сильно/Extremely",4,""))))</f>
        <v>1</v>
      </c>
      <c r="IF5" s="22" t="s">
        <v>565</v>
      </c>
      <c r="II5">
        <f>IF(Sheet!II5="Совсем нет/Not at all",1,IF(Sheet!IJ5="Немного/A little",2,IF(Sheet!IK5="Довольно сильно/Quite a bit",3,IF(Sheet!IL5="Очень сильно/Extremely",4,""))))</f>
        <v>1</v>
      </c>
      <c r="IJ5" s="22" t="s">
        <v>565</v>
      </c>
      <c r="IM5">
        <f>IF(Sheet!IM5="Совсем нет/Not at all",1,IF(Sheet!IN5="Немного/A little",2,IF(Sheet!IO5="Довольно сильно/Quite a bit",3,IF(Sheet!IP5="Очень сильно/Extremely",4,""))))</f>
        <v>1</v>
      </c>
      <c r="IN5" s="22" t="s">
        <v>565</v>
      </c>
      <c r="IQ5">
        <f>IF(Sheet!IQ5="Совсем нет/Not at all",1,IF(Sheet!IR5="Немного/A little",2,IF(Sheet!IS5="Довольно сильно/Quite a bit ",3,IF(Sheet!IT5="Очень сильно/Extremely ",4,""))))</f>
        <v>1</v>
      </c>
      <c r="IR5" s="22" t="s">
        <v>565</v>
      </c>
      <c r="IU5">
        <f>IF(Sheet!IU5="Совсем нет/Not at all",1,IF(Sheet!IV5="Немного/A little",2,IF(Sheet!IW5="Довольно сильно/Quite a bit ",3,IF(Sheet!IX5="Очень сильно/Extremely ",4,""))))</f>
        <v>1</v>
      </c>
      <c r="IV5" s="22" t="s">
        <v>565</v>
      </c>
      <c r="IY5">
        <f>IF(Sheet!IY5="Совсем нет/Not at all",1,IF(Sheet!IZ5="Немного/A little",2,IF(Sheet!JA5="Довольно сильно/Quite a bit ",3,IF(Sheet!JB5="Очень сильно/Extremely ",4,""))))</f>
        <v>2</v>
      </c>
      <c r="IZ5" s="22" t="s">
        <v>565</v>
      </c>
      <c r="JC5">
        <f>IF(Sheet!JC5="Совсем нет/Not at all",1,IF(Sheet!JD5="Немного/A little",2,IF(Sheet!JE5="Довольно сильно/Quite a bit ",3,IF(Sheet!JF5="Очень сильно/Extremely ",4,""))))</f>
        <v>1</v>
      </c>
      <c r="JD5" s="22" t="s">
        <v>565</v>
      </c>
      <c r="JG5">
        <f>IF(Sheet!JG5="Совсем нет/Not at all",1,IF(Sheet!JH5="Немного/A little",2,IF(Sheet!JI5="Довольно сильно/Quite a bit ",3,IF(Sheet!JJ5="Очень сильно/Extremely ",4,""))))</f>
        <v>1</v>
      </c>
      <c r="JH5" s="22" t="s">
        <v>565</v>
      </c>
      <c r="JK5">
        <f>IF(Sheet!JK5="Совсем нет/Not at all",1,IF(Sheet!JL5="Немного/A little",2,IF(Sheet!JM5="Довольно сильно/Quite a bit ",3,IF(Sheet!JN5="Очень сильно/Extremely ",4,""))))</f>
        <v>1</v>
      </c>
      <c r="JL5" s="22" t="s">
        <v>565</v>
      </c>
      <c r="JO5">
        <f>IF(Sheet!JO5="Совсем нет/Not at all",1,IF(Sheet!JP5="Немного/A little",2,IF(Sheet!JQ5="Довольно сильно/Quite a bit",3,IF(Sheet!JR5="Очень сильно/Extremely",4,""))))</f>
        <v>2</v>
      </c>
      <c r="JP5" s="22" t="s">
        <v>565</v>
      </c>
      <c r="JS5">
        <f>IF(Sheet!JS5="Совсем нет/Not at all",1,IF(Sheet!JT5="Немного/A little",2,IF(Sheet!JU5="Довольно сильно/Quite a bit",3,IF(Sheet!JV5="Очень сильно/Extremely",4,""))))</f>
        <v>2</v>
      </c>
      <c r="JT5" s="22" t="s">
        <v>565</v>
      </c>
      <c r="JW5">
        <f>IF(Sheet!JW5="Совсем нет/Not at all",1,IF(Sheet!JX5="Немного/A little",2,IF(Sheet!JY5="Довольно сильно/Quite a bit",3,IF(Sheet!JZ5="Очень сильно/Extremely",4,""))))</f>
        <v>1</v>
      </c>
      <c r="JX5" s="22" t="s">
        <v>565</v>
      </c>
      <c r="KA5">
        <f>IF(Sheet!KA5="Совсем нет/Not at all",1,IF(Sheet!KB5="Немного/A little",2,IF(Sheet!KC5="Довольно сильно/Quite a bit",3,IF(Sheet!KD5="Очень сильно/Extremely",4,""))))</f>
        <v>1</v>
      </c>
      <c r="KB5" s="22" t="s">
        <v>565</v>
      </c>
      <c r="KE5">
        <f>IF(Sheet!KE5="Совсем нет/Not at all",1,IF(Sheet!KF5="Немного/A little",2,IF(Sheet!KG5="Довольно сильно/Quite a bit",3,IF(Sheet!KH5="Очень сильно/Extremely",4,""))))</f>
        <v>1</v>
      </c>
      <c r="KF5" s="22" t="s">
        <v>565</v>
      </c>
      <c r="KI5">
        <f>IF(Sheet!KI5="Совсем нет/Not at all",1,IF(Sheet!KJ5="Немного/A little",2,IF(Sheet!KK5="Довольно сильно/Quite a bit",3,IF(Sheet!KL5="Очень сильно/Extremely",4,""))))</f>
        <v>1</v>
      </c>
      <c r="KJ5" s="22" t="s">
        <v>565</v>
      </c>
      <c r="KM5">
        <f>IF(Sheet!KM5="Совсем нет/Not at all",1,IF(Sheet!KN5="Немного/A little",2,IF(Sheet!KO5="Довольно сильно/Quite a bit",3,IF(Sheet!KP5="Очень сильно/Extremely",4,""))))</f>
        <v>1</v>
      </c>
      <c r="KN5" s="22" t="s">
        <v>565</v>
      </c>
      <c r="KQ5">
        <f>IF(Sheet!KQ5="Совсем нет/Not at all",1,IF(Sheet!KR5="Немного/A little",2,IF(Sheet!KS5="Довольно сильно/Quite a bit",3,IF(Sheet!KT5="Очень сильно/Extremely",4,""))))</f>
        <v>1</v>
      </c>
      <c r="KR5" s="22" t="s">
        <v>565</v>
      </c>
    </row>
    <row r="6" spans="1:306" ht="15">
      <c r="A6" t="str">
        <f>Sheet!A6</f>
        <v>GU001</v>
      </c>
      <c r="GW6" s="27">
        <f>SUM(GY6,HC6,HG6,HK6,HO6,HS6,HW6,IA6,IE6,II6,IM6,IQ6,IU6,IY6,JC6,JG6,JK6,JO6,JS6,JW6,KA6,KE6,KI6,KM6,KQ6)/25</f>
        <v>1.24</v>
      </c>
      <c r="GY6">
        <f>IF(Sheet!GY6="Совсем нет/Not at all",1,IF(Sheet!GZ6="Немного/A little",2,IF(Sheet!HA6="Довольно сильно/Quite a bit",3,IF(Sheet!HB6="Очень сильно/Extremely",4,""))))</f>
        <v>1</v>
      </c>
      <c r="GZ6" s="26">
        <f>_xlfn.STDEV.S(GY3:GY69)</f>
        <v>0.78200924645330228</v>
      </c>
      <c r="HC6">
        <f>IF(Sheet!HC6="Совсем нет/Not at all",1,IF(Sheet!HD6="Немного/A little",2,IF(Sheet!HE6="Довольно сильно/Quite a bit",3,IF(Sheet!HF6="Очень сильно/Extremely",4,""))))</f>
        <v>1</v>
      </c>
      <c r="HD6" s="26">
        <f>_xlfn.STDEV.S(HC3:HC69)</f>
        <v>0.73117397698180187</v>
      </c>
      <c r="HG6">
        <f>IF(Sheet!HG6="Совсем нет/Not at all",1,IF(Sheet!HH6="Немного/A little",2,IF(Sheet!HI6="Довольно сильно/Quite a bit",3,IF(Sheet!HJ6="Очень сильно/Extremely",4,""))))</f>
        <v>1</v>
      </c>
      <c r="HH6" s="26">
        <f>_xlfn.STDEV.S(HG3:HG69)</f>
        <v>0.81246301690978762</v>
      </c>
      <c r="HK6">
        <f>IF(Sheet!HK6="Совсем нет/Not at all",1,IF(Sheet!HL6="Немного/A little",2,IF(Sheet!HM6="Довольно сильно/Quite a bit",3,IF(Sheet!HN6="Очень сильно/Extremely",4,""))))</f>
        <v>1</v>
      </c>
      <c r="HL6" s="26">
        <f>_xlfn.STDEV.S(HK3:HK69)</f>
        <v>0.98058067569092022</v>
      </c>
      <c r="HO6">
        <f>IF(Sheet!HO6="Совсем нет/Not at all",1,IF(Sheet!HP6="Немного/A little",2,IF(Sheet!HQ6="Довольно сильно/Quite a bit",3,IF(Sheet!HR6="Очень сильно/Extremely",4,""))))</f>
        <v>1</v>
      </c>
      <c r="HP6" s="26">
        <f>_xlfn.STDEV.S(HO3:HO69)</f>
        <v>1.1035345311944078</v>
      </c>
      <c r="HS6">
        <f>IF(Sheet!HS6="Совсем нет/Not at all",1,IF(Sheet!HT6="Немного/A little",2,IF(Sheet!HU6="Довольно сильно/Quite a bit",3,IF(Sheet!HV6="Очень сильно/Extremely",4,""))))</f>
        <v>1</v>
      </c>
      <c r="HT6" s="26">
        <f>_xlfn.STDEV.S(HS3:HS69)</f>
        <v>1.0588455251611757</v>
      </c>
      <c r="HW6">
        <f>IF(Sheet!HW6="Совсем нет/Not at all",1,IF(Sheet!HX6="Немного/A little",2,IF(Sheet!HY6="Довольно сильно/Quite a bit",3,IF(Sheet!HZ6="Очень сильно/Extremely",4,""))))</f>
        <v>1</v>
      </c>
      <c r="HX6" s="26">
        <f>_xlfn.STDEV.S(HW3:HW69)</f>
        <v>1.0171604517554664</v>
      </c>
      <c r="IA6">
        <f>IF(Sheet!IA6="Совсем нет/Not at all",1,IF(Sheet!IB6="Немного/A little",2,IF(Sheet!IC6="Довольно сильно/Quite a bit",3,IF(Sheet!ID6="Очень сильно/Extremely",4,""))))</f>
        <v>1</v>
      </c>
      <c r="IB6" s="26">
        <f>_xlfn.STDEV.S(IA3:IA69)</f>
        <v>1.0912677877658556</v>
      </c>
      <c r="IE6">
        <f>IF(Sheet!IE6="Совсем нет/Not at all",1,IF(Sheet!IF6="Немного/A little",2,IF(Sheet!IG6="Довольно сильно/Quite a bit",3,IF(Sheet!IH6="Очень сильно/Extremely",4,""))))</f>
        <v>1</v>
      </c>
      <c r="IF6" s="26">
        <f>_xlfn.STDEV.S(IE3:IE69)</f>
        <v>1.0886212168822331</v>
      </c>
      <c r="II6">
        <f>IF(Sheet!II6="Совсем нет/Not at all",1,IF(Sheet!IJ6="Немного/A little",2,IF(Sheet!IK6="Довольно сильно/Quite a bit",3,IF(Sheet!IL6="Очень сильно/Extremely",4,""))))</f>
        <v>1</v>
      </c>
      <c r="IJ6" s="26">
        <f>_xlfn.STDEV.S(II3:II69)</f>
        <v>1.1054932766034284</v>
      </c>
      <c r="IM6">
        <f>IF(Sheet!IM6="Совсем нет/Not at all",1,IF(Sheet!IN6="Немного/A little",2,IF(Sheet!IO6="Довольно сильно/Quite a bit",3,IF(Sheet!IP6="Очень сильно/Extremely",4,""))))</f>
        <v>3</v>
      </c>
      <c r="IN6" s="26">
        <f>_xlfn.STDEV.S(IM3:IM69)</f>
        <v>1.0764432909959347</v>
      </c>
      <c r="IQ6">
        <f>IF(Sheet!IQ6="Совсем нет/Not at all",1,IF(Sheet!IR6="Немного/A little",2,IF(Sheet!IS6="Довольно сильно/Quite a bit ",3,IF(Sheet!IT6="Очень сильно/Extremely ",4,""))))</f>
        <v>1</v>
      </c>
      <c r="IR6" s="26">
        <f>_xlfn.STDEV.S(IQ3:IQ69)</f>
        <v>0.72721809235342438</v>
      </c>
      <c r="IU6">
        <f>IF(Sheet!IU6="Совсем нет/Not at all",1,IF(Sheet!IV6="Немного/A little",2,IF(Sheet!IW6="Довольно сильно/Quite a bit ",3,IF(Sheet!IX6="Очень сильно/Extremely ",4,""))))</f>
        <v>2</v>
      </c>
      <c r="IV6" s="26">
        <f>_xlfn.STDEV.S(IU3:IU69)</f>
        <v>0.95575181844532131</v>
      </c>
      <c r="IY6">
        <f>IF(Sheet!IY6="Совсем нет/Not at all",1,IF(Sheet!IZ6="Немного/A little",2,IF(Sheet!JA6="Довольно сильно/Quite a bit ",3,IF(Sheet!JB6="Очень сильно/Extremely ",4,""))))</f>
        <v>2</v>
      </c>
      <c r="IZ6" s="26">
        <f>_xlfn.STDEV.S(IY3:IY69)</f>
        <v>1.1197527199547916</v>
      </c>
      <c r="JC6">
        <f>IF(Sheet!JC6="Совсем нет/Not at all",1,IF(Sheet!JD6="Немного/A little",2,IF(Sheet!JE6="Довольно сильно/Quite a bit ",3,IF(Sheet!JF6="Очень сильно/Extremely ",4,""))))</f>
        <v>1</v>
      </c>
      <c r="JD6" s="26">
        <f>_xlfn.STDEV.S(JC3:JC69)</f>
        <v>0.91672493987270554</v>
      </c>
      <c r="JG6">
        <f>IF(Sheet!JG6="Совсем нет/Not at all",1,IF(Sheet!JH6="Немного/A little",2,IF(Sheet!JI6="Довольно сильно/Quite a bit ",3,IF(Sheet!JJ6="Очень сильно/Extremely ",4,""))))</f>
        <v>1</v>
      </c>
      <c r="JH6" s="26">
        <f>_xlfn.STDEV.S(JG3:JG69)</f>
        <v>0.97984496418880151</v>
      </c>
      <c r="JK6">
        <f>IF(Sheet!JK6="Совсем нет/Not at all",1,IF(Sheet!JL6="Немного/A little",2,IF(Sheet!JM6="Довольно сильно/Quite a bit ",3,IF(Sheet!JN6="Очень сильно/Extremely ",4,""))))</f>
        <v>1</v>
      </c>
      <c r="JL6" s="26">
        <f>_xlfn.STDEV.S(JK3:JK69)</f>
        <v>0.96126919306636538</v>
      </c>
      <c r="JO6">
        <f>IF(Sheet!JO6="Совсем нет/Not at all",1,IF(Sheet!JP6="Немного/A little",2,IF(Sheet!JQ6="Довольно сильно/Quite a bit",3,IF(Sheet!JR6="Очень сильно/Extremely",4,""))))</f>
        <v>1</v>
      </c>
      <c r="JP6" s="26">
        <f>_xlfn.STDEV.S(JO3:JO69)</f>
        <v>0.48092880658867049</v>
      </c>
      <c r="JS6">
        <f>IF(Sheet!JS6="Совсем нет/Not at all",1,IF(Sheet!JT6="Немного/A little",2,IF(Sheet!JU6="Довольно сильно/Quite a bit",3,IF(Sheet!JV6="Очень сильно/Extremely",4,""))))</f>
        <v>1</v>
      </c>
      <c r="JT6" s="26">
        <f>_xlfn.STDEV.S(JS3:JS69)</f>
        <v>0.77614679420445098</v>
      </c>
      <c r="JW6">
        <f>IF(Sheet!JW6="Совсем нет/Not at all",1,IF(Sheet!JX6="Немного/A little",2,IF(Sheet!JY6="Довольно сильно/Quite a bit",3,IF(Sheet!JZ6="Очень сильно/Extremely",4,""))))</f>
        <v>2</v>
      </c>
      <c r="JX6" s="26">
        <f>_xlfn.STDEV.S(JW3:JW69)</f>
        <v>1.0019212313581112</v>
      </c>
      <c r="KA6">
        <f>IF(Sheet!KA6="Совсем нет/Not at all",1,IF(Sheet!KB6="Немного/A little",2,IF(Sheet!KC6="Довольно сильно/Quite a bit",3,IF(Sheet!KD6="Очень сильно/Extremely",4,""))))</f>
        <v>1</v>
      </c>
      <c r="KB6" s="26">
        <f>_xlfn.STDEV.S(KA3:KA69)</f>
        <v>1.1280940359057634</v>
      </c>
      <c r="KE6">
        <f>IF(Sheet!KE6="Совсем нет/Not at all",1,IF(Sheet!KF6="Немного/A little",2,IF(Sheet!KG6="Довольно сильно/Quite a bit",3,IF(Sheet!KH6="Очень сильно/Extremely",4,""))))</f>
        <v>1</v>
      </c>
      <c r="KF6" s="26">
        <f>_xlfn.STDEV.S(KE3:KE69)</f>
        <v>0.86408021351296749</v>
      </c>
      <c r="KI6">
        <f>IF(Sheet!KI6="Совсем нет/Not at all",1,IF(Sheet!KJ6="Немного/A little",2,IF(Sheet!KK6="Довольно сильно/Quite a bit",3,IF(Sheet!KL6="Очень сильно/Extremely",4,""))))</f>
        <v>2</v>
      </c>
      <c r="KJ6" s="26">
        <f>_xlfn.STDEV.S(KI3:KI69)</f>
        <v>1.0824207201382534</v>
      </c>
      <c r="KM6">
        <f>IF(Sheet!KM6="Совсем нет/Not at all",1,IF(Sheet!KN6="Немного/A little",2,IF(Sheet!KO6="Довольно сильно/Quite a bit",3,IF(Sheet!KP6="Очень сильно/Extremely",4,""))))</f>
        <v>1</v>
      </c>
      <c r="KN6" s="26">
        <f>_xlfn.STDEV.S(KM3:KM69)</f>
        <v>0.88333938072434048</v>
      </c>
      <c r="KQ6">
        <f>IF(Sheet!KQ6="Совсем нет/Not at all",1,IF(Sheet!KR6="Немного/A little",2,IF(Sheet!KS6="Довольно сильно/Quite a bit",3,IF(Sheet!KT6="Очень сильно/Extremely",4,""))))</f>
        <v>1</v>
      </c>
      <c r="KR6" s="26">
        <f>_xlfn.STDEV.S(KQ3:KQ69)</f>
        <v>0.71957519519398494</v>
      </c>
    </row>
    <row r="7" spans="1:306" ht="15">
      <c r="A7" t="str">
        <f>Sheet!A7</f>
        <v>FM002</v>
      </c>
      <c r="GW7" s="27">
        <f>SUM(GY7,HC7,HG7,HK7,HO7,HS7,HW7,IA7,IE7,II7,IM7,IQ7,IU7,IY7,JC7,JG7,JK7,JO7,JS7,JW7,KA7,KE7,KI7,KM7,KQ7)/25</f>
        <v>2.4</v>
      </c>
      <c r="GX7">
        <f>COUNTIF(GW3:GW69,"&gt;2.5")</f>
        <v>11</v>
      </c>
      <c r="GY7">
        <f>IF(Sheet!GY7="Совсем нет/Not at all",1,IF(Sheet!GZ7="Немного/A little",2,IF(Sheet!HA7="Довольно сильно/Quite a bit",3,IF(Sheet!HB7="Очень сильно/Extremely",4,""))))</f>
        <v>3</v>
      </c>
      <c r="HC7">
        <f>IF(Sheet!HC7="Совсем нет/Not at all",1,IF(Sheet!HD7="Немного/A little",2,IF(Sheet!HE7="Довольно сильно/Quite a bit",3,IF(Sheet!HF7="Очень сильно/Extremely",4,""))))</f>
        <v>3</v>
      </c>
      <c r="HG7">
        <f>IF(Sheet!HG7="Совсем нет/Not at all",1,IF(Sheet!HH7="Немного/A little",2,IF(Sheet!HI7="Довольно сильно/Quite a bit",3,IF(Sheet!HJ7="Очень сильно/Extremely",4,""))))</f>
        <v>2</v>
      </c>
      <c r="HK7">
        <f>IF(Sheet!HK7="Совсем нет/Not at all",1,IF(Sheet!HL7="Немного/A little",2,IF(Sheet!HM7="Довольно сильно/Quite a bit",3,IF(Sheet!HN7="Очень сильно/Extremely",4,""))))</f>
        <v>3</v>
      </c>
      <c r="HO7">
        <f>IF(Sheet!HO7="Совсем нет/Not at all",1,IF(Sheet!HP7="Немного/A little",2,IF(Sheet!HQ7="Довольно сильно/Quite a bit",3,IF(Sheet!HR7="Очень сильно/Extremely",4,""))))</f>
        <v>2</v>
      </c>
      <c r="HS7">
        <f>IF(Sheet!HS7="Совсем нет/Not at all",1,IF(Sheet!HT7="Немного/A little",2,IF(Sheet!HU7="Довольно сильно/Quite a bit",3,IF(Sheet!HV7="Очень сильно/Extremely",4,""))))</f>
        <v>2</v>
      </c>
      <c r="HW7">
        <f>IF(Sheet!HW7="Совсем нет/Not at all",1,IF(Sheet!HX7="Немного/A little",2,IF(Sheet!HY7="Довольно сильно/Quite a bit",3,IF(Sheet!HZ7="Очень сильно/Extremely",4,""))))</f>
        <v>2</v>
      </c>
      <c r="IA7">
        <f>IF(Sheet!IA7="Совсем нет/Not at all",1,IF(Sheet!IB7="Немного/A little",2,IF(Sheet!IC7="Довольно сильно/Quite a bit",3,IF(Sheet!ID7="Очень сильно/Extremely",4,""))))</f>
        <v>3</v>
      </c>
      <c r="IE7">
        <f>IF(Sheet!IE7="Совсем нет/Not at all",1,IF(Sheet!IF7="Немного/A little",2,IF(Sheet!IG7="Довольно сильно/Quite a bit",3,IF(Sheet!IH7="Очень сильно/Extremely",4,""))))</f>
        <v>4</v>
      </c>
      <c r="II7">
        <f>IF(Sheet!II7="Совсем нет/Not at all",1,IF(Sheet!IJ7="Немного/A little",2,IF(Sheet!IK7="Довольно сильно/Quite a bit",3,IF(Sheet!IL7="Очень сильно/Extremely",4,""))))</f>
        <v>2</v>
      </c>
      <c r="IM7">
        <f>IF(Sheet!IM7="Совсем нет/Not at all",1,IF(Sheet!IN7="Немного/A little",2,IF(Sheet!IO7="Довольно сильно/Quite a bit",3,IF(Sheet!IP7="Очень сильно/Extremely",4,""))))</f>
        <v>4</v>
      </c>
      <c r="IQ7">
        <f>IF(Sheet!IQ7="Совсем нет/Not at all",1,IF(Sheet!IR7="Немного/A little",2,IF(Sheet!IS7="Довольно сильно/Quite a bit ",3,IF(Sheet!IT7="Очень сильно/Extremely ",4,""))))</f>
        <v>1</v>
      </c>
      <c r="IU7">
        <f>IF(Sheet!IU7="Совсем нет/Not at all",1,IF(Sheet!IV7="Немного/A little",2,IF(Sheet!IW7="Довольно сильно/Quite a bit ",3,IF(Sheet!IX7="Очень сильно/Extremely ",4,""))))</f>
        <v>2</v>
      </c>
      <c r="IY7">
        <f>IF(Sheet!IY7="Совсем нет/Not at all",1,IF(Sheet!IZ7="Немного/A little",2,IF(Sheet!JA7="Довольно сильно/Quite a bit ",3,IF(Sheet!JB7="Очень сильно/Extremely ",4,""))))</f>
        <v>2</v>
      </c>
      <c r="JC7">
        <f>IF(Sheet!JC7="Совсем нет/Not at all",1,IF(Sheet!JD7="Немного/A little",2,IF(Sheet!JE7="Довольно сильно/Quite a bit ",3,IF(Sheet!JF7="Очень сильно/Extremely ",4,""))))</f>
        <v>2</v>
      </c>
      <c r="JG7">
        <f>IF(Sheet!JG7="Совсем нет/Not at all",1,IF(Sheet!JH7="Немного/A little",2,IF(Sheet!JI7="Довольно сильно/Quite a bit ",3,IF(Sheet!JJ7="Очень сильно/Extremely ",4,""))))</f>
        <v>3</v>
      </c>
      <c r="JK7">
        <f>IF(Sheet!JK7="Совсем нет/Not at all",1,IF(Sheet!JL7="Немного/A little",2,IF(Sheet!JM7="Довольно сильно/Quite a bit ",3,IF(Sheet!JN7="Очень сильно/Extremely ",4,""))))</f>
        <v>4</v>
      </c>
      <c r="JO7">
        <f>IF(Sheet!JO7="Совсем нет/Not at all",1,IF(Sheet!JP7="Немного/A little",2,IF(Sheet!JQ7="Довольно сильно/Quite a bit",3,IF(Sheet!JR7="Очень сильно/Extremely",4,""))))</f>
        <v>2</v>
      </c>
      <c r="JS7">
        <f>IF(Sheet!JS7="Совсем нет/Not at all",1,IF(Sheet!JT7="Немного/A little",2,IF(Sheet!JU7="Довольно сильно/Quite a bit",3,IF(Sheet!JV7="Очень сильно/Extremely",4,""))))</f>
        <v>3</v>
      </c>
      <c r="JW7">
        <f>IF(Sheet!JW7="Совсем нет/Not at all",1,IF(Sheet!JX7="Немного/A little",2,IF(Sheet!JY7="Довольно сильно/Quite a bit",3,IF(Sheet!JZ7="Очень сильно/Extremely",4,""))))</f>
        <v>3</v>
      </c>
      <c r="KA7">
        <f>IF(Sheet!KA7="Совсем нет/Not at all",1,IF(Sheet!KB7="Немного/A little",2,IF(Sheet!KC7="Довольно сильно/Quite a bit",3,IF(Sheet!KD7="Очень сильно/Extremely",4,""))))</f>
        <v>3</v>
      </c>
      <c r="KE7">
        <f>IF(Sheet!KE7="Совсем нет/Not at all",1,IF(Sheet!KF7="Немного/A little",2,IF(Sheet!KG7="Довольно сильно/Quite a bit",3,IF(Sheet!KH7="Очень сильно/Extremely",4,""))))</f>
        <v>1</v>
      </c>
      <c r="KI7">
        <f>IF(Sheet!KI7="Совсем нет/Not at all",1,IF(Sheet!KJ7="Немного/A little",2,IF(Sheet!KK7="Довольно сильно/Quite a bit",3,IF(Sheet!KL7="Очень сильно/Extremely",4,""))))</f>
        <v>2</v>
      </c>
      <c r="KM7">
        <f>IF(Sheet!KM7="Совсем нет/Not at all",1,IF(Sheet!KN7="Немного/A little",2,IF(Sheet!KO7="Довольно сильно/Quite a bit",3,IF(Sheet!KP7="Очень сильно/Extremely",4,""))))</f>
        <v>1</v>
      </c>
      <c r="KQ7">
        <f>IF(Sheet!KQ7="Совсем нет/Not at all",1,IF(Sheet!KR7="Немного/A little",2,IF(Sheet!KS7="Довольно сильно/Quite a bit",3,IF(Sheet!KT7="Очень сильно/Extremely",4,""))))</f>
        <v>1</v>
      </c>
    </row>
    <row r="8" spans="1:306" ht="16.350000000000001">
      <c r="A8" t="str">
        <f>Sheet!A8</f>
        <v>FM001</v>
      </c>
      <c r="GW8" s="27">
        <f>SUM(GY8,HC8,HG8,HK8,HO8,HS8,HW8,IA8,IE8,II8,IM8,IQ8,IU8,IY8,JC8,JG8,JK8,JO8,JS8,JW8,KA8,KE8,KI8,KM8,KQ8)/25</f>
        <v>1.1599999999999999</v>
      </c>
      <c r="GY8">
        <f>IF(Sheet!GY8="Совсем нет/Not at all",1,IF(Sheet!GZ8="Немного/A little",2,IF(Sheet!HA8="Довольно сильно/Quite a bit",3,IF(Sheet!HB8="Очень сильно/Extremely",4,""))))</f>
        <v>1</v>
      </c>
      <c r="GZ8" s="35" t="s">
        <v>570</v>
      </c>
      <c r="HC8">
        <f>IF(Sheet!HC8="Совсем нет/Not at all",1,IF(Sheet!HD8="Немного/A little",2,IF(Sheet!HE8="Довольно сильно/Quite a bit",3,IF(Sheet!HF8="Очень сильно/Extremely",4,""))))</f>
        <v>1</v>
      </c>
      <c r="HD8" s="35" t="s">
        <v>570</v>
      </c>
      <c r="HG8">
        <f>IF(Sheet!HG8="Совсем нет/Not at all",1,IF(Sheet!HH8="Немного/A little",2,IF(Sheet!HI8="Довольно сильно/Quite a bit",3,IF(Sheet!HJ8="Очень сильно/Extremely",4,""))))</f>
        <v>1</v>
      </c>
      <c r="HH8" s="35" t="s">
        <v>570</v>
      </c>
      <c r="HK8">
        <f>IF(Sheet!HK8="Совсем нет/Not at all",1,IF(Sheet!HL8="Немного/A little",2,IF(Sheet!HM8="Довольно сильно/Quite a bit",3,IF(Sheet!HN8="Очень сильно/Extremely",4,""))))</f>
        <v>2</v>
      </c>
      <c r="HL8" s="35" t="s">
        <v>570</v>
      </c>
      <c r="HO8">
        <f>IF(Sheet!HO8="Совсем нет/Not at all",1,IF(Sheet!HP8="Немного/A little",2,IF(Sheet!HQ8="Довольно сильно/Quite a bit",3,IF(Sheet!HR8="Очень сильно/Extremely",4,""))))</f>
        <v>1</v>
      </c>
      <c r="HP8" s="35" t="s">
        <v>570</v>
      </c>
      <c r="HS8">
        <f>IF(Sheet!HS8="Совсем нет/Not at all",1,IF(Sheet!HT8="Немного/A little",2,IF(Sheet!HU8="Довольно сильно/Quite a bit",3,IF(Sheet!HV8="Очень сильно/Extremely",4,""))))</f>
        <v>1</v>
      </c>
      <c r="HT8" s="35" t="s">
        <v>570</v>
      </c>
      <c r="HW8">
        <f>IF(Sheet!HW8="Совсем нет/Not at all",1,IF(Sheet!HX8="Немного/A little",2,IF(Sheet!HY8="Довольно сильно/Quite a bit",3,IF(Sheet!HZ8="Очень сильно/Extremely",4,""))))</f>
        <v>1</v>
      </c>
      <c r="HX8" s="35" t="s">
        <v>570</v>
      </c>
      <c r="IA8">
        <f>IF(Sheet!IA8="Совсем нет/Not at all",1,IF(Sheet!IB8="Немного/A little",2,IF(Sheet!IC8="Довольно сильно/Quite a bit",3,IF(Sheet!ID8="Очень сильно/Extremely",4,""))))</f>
        <v>1</v>
      </c>
      <c r="IB8" s="35" t="s">
        <v>570</v>
      </c>
      <c r="IE8">
        <f>IF(Sheet!IE8="Совсем нет/Not at all",1,IF(Sheet!IF8="Немного/A little",2,IF(Sheet!IG8="Довольно сильно/Quite a bit",3,IF(Sheet!IH8="Очень сильно/Extremely",4,""))))</f>
        <v>1</v>
      </c>
      <c r="IF8" s="35" t="s">
        <v>570</v>
      </c>
      <c r="II8">
        <f>IF(Sheet!II8="Совсем нет/Not at all",1,IF(Sheet!IJ8="Немного/A little",2,IF(Sheet!IK8="Довольно сильно/Quite a bit",3,IF(Sheet!IL8="Очень сильно/Extremely",4,""))))</f>
        <v>1</v>
      </c>
      <c r="IJ8" s="35" t="s">
        <v>570</v>
      </c>
      <c r="IM8">
        <f>IF(Sheet!IM8="Совсем нет/Not at all",1,IF(Sheet!IN8="Немного/A little",2,IF(Sheet!IO8="Довольно сильно/Quite a bit",3,IF(Sheet!IP8="Очень сильно/Extremely",4,""))))</f>
        <v>1</v>
      </c>
      <c r="IN8" s="35" t="s">
        <v>570</v>
      </c>
      <c r="IQ8">
        <f>IF(Sheet!IQ8="Совсем нет/Not at all",1,IF(Sheet!IR8="Немного/A little",2,IF(Sheet!IS8="Довольно сильно/Quite a bit ",3,IF(Sheet!IT8="Очень сильно/Extremely ",4,""))))</f>
        <v>1</v>
      </c>
      <c r="IR8" s="35" t="s">
        <v>570</v>
      </c>
      <c r="IU8">
        <f>IF(Sheet!IU8="Совсем нет/Not at all",1,IF(Sheet!IV8="Немного/A little",2,IF(Sheet!IW8="Довольно сильно/Quite a bit ",3,IF(Sheet!IX8="Очень сильно/Extremely ",4,""))))</f>
        <v>1</v>
      </c>
      <c r="IV8" s="35" t="s">
        <v>570</v>
      </c>
      <c r="IY8">
        <f>IF(Sheet!IY8="Совсем нет/Not at all",1,IF(Sheet!IZ8="Немного/A little",2,IF(Sheet!JA8="Довольно сильно/Quite a bit ",3,IF(Sheet!JB8="Очень сильно/Extremely ",4,""))))</f>
        <v>2</v>
      </c>
      <c r="IZ8" s="35" t="s">
        <v>570</v>
      </c>
      <c r="JC8">
        <f>IF(Sheet!JC8="Совсем нет/Not at all",1,IF(Sheet!JD8="Немного/A little",2,IF(Sheet!JE8="Довольно сильно/Quite a bit ",3,IF(Sheet!JF8="Очень сильно/Extremely ",4,""))))</f>
        <v>2</v>
      </c>
      <c r="JD8" s="35" t="s">
        <v>570</v>
      </c>
      <c r="JG8">
        <f>IF(Sheet!JG8="Совсем нет/Not at all",1,IF(Sheet!JH8="Немного/A little",2,IF(Sheet!JI8="Довольно сильно/Quite a bit ",3,IF(Sheet!JJ8="Очень сильно/Extremely ",4,""))))</f>
        <v>1</v>
      </c>
      <c r="JH8" s="35" t="s">
        <v>570</v>
      </c>
      <c r="JK8">
        <f>IF(Sheet!JK8="Совсем нет/Not at all",1,IF(Sheet!JL8="Немного/A little",2,IF(Sheet!JM8="Довольно сильно/Quite a bit ",3,IF(Sheet!JN8="Очень сильно/Extremely ",4,""))))</f>
        <v>1</v>
      </c>
      <c r="JL8" s="35" t="s">
        <v>570</v>
      </c>
      <c r="JO8">
        <f>IF(Sheet!JO8="Совсем нет/Not at all",1,IF(Sheet!JP8="Немного/A little",2,IF(Sheet!JQ8="Довольно сильно/Quite a bit",3,IF(Sheet!JR8="Очень сильно/Extremely",4,""))))</f>
        <v>1</v>
      </c>
      <c r="JP8" s="35" t="s">
        <v>570</v>
      </c>
      <c r="JS8">
        <f>IF(Sheet!JS8="Совсем нет/Not at all",1,IF(Sheet!JT8="Немного/A little",2,IF(Sheet!JU8="Довольно сильно/Quite a bit",3,IF(Sheet!JV8="Очень сильно/Extremely",4,""))))</f>
        <v>1</v>
      </c>
      <c r="JT8" s="35" t="s">
        <v>570</v>
      </c>
      <c r="JW8">
        <f>IF(Sheet!JW8="Совсем нет/Not at all",1,IF(Sheet!JX8="Немного/A little",2,IF(Sheet!JY8="Довольно сильно/Quite a bit",3,IF(Sheet!JZ8="Очень сильно/Extremely",4,""))))</f>
        <v>1</v>
      </c>
      <c r="JX8" s="35" t="s">
        <v>570</v>
      </c>
      <c r="KA8">
        <f>IF(Sheet!KA8="Совсем нет/Not at all",1,IF(Sheet!KB8="Немного/A little",2,IF(Sheet!KC8="Довольно сильно/Quite a bit",3,IF(Sheet!KD8="Очень сильно/Extremely",4,""))))</f>
        <v>1</v>
      </c>
      <c r="KB8" s="35" t="s">
        <v>570</v>
      </c>
      <c r="KE8">
        <f>IF(Sheet!KE8="Совсем нет/Not at all",1,IF(Sheet!KF8="Немного/A little",2,IF(Sheet!KG8="Довольно сильно/Quite a bit",3,IF(Sheet!KH8="Очень сильно/Extremely",4,""))))</f>
        <v>2</v>
      </c>
      <c r="KF8" s="35" t="s">
        <v>570</v>
      </c>
      <c r="KI8">
        <f>IF(Sheet!KI8="Совсем нет/Not at all",1,IF(Sheet!KJ8="Немного/A little",2,IF(Sheet!KK8="Довольно сильно/Quite a bit",3,IF(Sheet!KL8="Очень сильно/Extremely",4,""))))</f>
        <v>1</v>
      </c>
      <c r="KJ8" s="35" t="s">
        <v>570</v>
      </c>
      <c r="KM8">
        <f>IF(Sheet!KM8="Совсем нет/Not at all",1,IF(Sheet!KN8="Немного/A little",2,IF(Sheet!KO8="Довольно сильно/Quite a bit",3,IF(Sheet!KP8="Очень сильно/Extremely",4,""))))</f>
        <v>1</v>
      </c>
      <c r="KN8" s="35" t="s">
        <v>570</v>
      </c>
      <c r="KQ8">
        <f>IF(Sheet!KQ8="Совсем нет/Not at all",1,IF(Sheet!KR8="Немного/A little",2,IF(Sheet!KS8="Довольно сильно/Quite a bit",3,IF(Sheet!KT8="Очень сильно/Extremely",4,""))))</f>
        <v>1</v>
      </c>
      <c r="KR8" s="35" t="s">
        <v>570</v>
      </c>
    </row>
    <row r="9" spans="1:306" ht="16.350000000000001">
      <c r="A9" t="str">
        <f>Sheet!A9</f>
        <v>PM001</v>
      </c>
      <c r="GW9" s="27">
        <f>SUM(GY9,HC9,HG9,HK9,HO9,HS9,HW9,IA9,IE9,II9,IM9,IQ9,IU9,IY9,JC9,JG9,JK9,JO9,JS9,JW9,KA9,KE9,KI9,KM9,KQ9)/25</f>
        <v>1.28</v>
      </c>
      <c r="GY9">
        <f>IF(Sheet!GY9="Совсем нет/Not at all",1,IF(Sheet!GZ9="Немного/A little",2,IF(Sheet!HA9="Довольно сильно/Quite a bit",3,IF(Sheet!HB9="Очень сильно/Extremely",4,""))))</f>
        <v>1</v>
      </c>
      <c r="GZ9" s="36">
        <f>COUNTIF(GY$3:GY$69,"&gt;1")</f>
        <v>41</v>
      </c>
      <c r="HC9">
        <f>IF(Sheet!HC9="Совсем нет/Not at all",1,IF(Sheet!HD9="Немного/A little",2,IF(Sheet!HE9="Довольно сильно/Quite a bit",3,IF(Sheet!HF9="Очень сильно/Extremely",4,""))))</f>
        <v>1</v>
      </c>
      <c r="HD9" s="36">
        <f>COUNTIF(HC$3:HC$69,"&gt;1")</f>
        <v>27</v>
      </c>
      <c r="HG9">
        <f>IF(Sheet!HG9="Совсем нет/Not at all",1,IF(Sheet!HH9="Немного/A little",2,IF(Sheet!HI9="Довольно сильно/Quite a bit",3,IF(Sheet!HJ9="Очень сильно/Extremely",4,""))))</f>
        <v>2</v>
      </c>
      <c r="HH9" s="36">
        <f>COUNTIF(HG$3:HG$69,"&gt;1")</f>
        <v>22</v>
      </c>
      <c r="HK9">
        <f>IF(Sheet!HK9="Совсем нет/Not at all",1,IF(Sheet!HL9="Немного/A little",2,IF(Sheet!HM9="Довольно сильно/Quite a bit",3,IF(Sheet!HN9="Очень сильно/Extremely",4,""))))</f>
        <v>2</v>
      </c>
      <c r="HL9" s="36">
        <f>COUNTIF(HK$3:HK$69,"&gt;1")</f>
        <v>48</v>
      </c>
      <c r="HO9">
        <f>IF(Sheet!HO9="Совсем нет/Not at all",1,IF(Sheet!HP9="Немного/A little",2,IF(Sheet!HQ9="Довольно сильно/Quite a bit",3,IF(Sheet!HR9="Очень сильно/Extremely",4,""))))</f>
        <v>1</v>
      </c>
      <c r="HP9" s="36">
        <f>COUNTIF(HO$3:HO$69,"&gt;1")</f>
        <v>34</v>
      </c>
      <c r="HS9">
        <f>IF(Sheet!HS9="Совсем нет/Not at all",1,IF(Sheet!HT9="Немного/A little",2,IF(Sheet!HU9="Довольно сильно/Quite a bit",3,IF(Sheet!HV9="Очень сильно/Extremely",4,""))))</f>
        <v>1</v>
      </c>
      <c r="HT9" s="36">
        <f>COUNTIF(HS$3:HS$69,"&gt;1")</f>
        <v>43</v>
      </c>
      <c r="HW9">
        <f>IF(Sheet!HW9="Совсем нет/Not at all",1,IF(Sheet!HX9="Немного/A little",2,IF(Sheet!HY9="Довольно сильно/Quite a bit",3,IF(Sheet!HZ9="Очень сильно/Extremely",4,""))))</f>
        <v>2</v>
      </c>
      <c r="HX9" s="36">
        <f>COUNTIF(HW$3:HW$69,"&gt;1")</f>
        <v>53</v>
      </c>
      <c r="IA9">
        <f>IF(Sheet!IA9="Совсем нет/Not at all",1,IF(Sheet!IB9="Немного/A little",2,IF(Sheet!IC9="Довольно сильно/Quite a bit",3,IF(Sheet!ID9="Очень сильно/Extremely",4,""))))</f>
        <v>1</v>
      </c>
      <c r="IB9" s="36">
        <f>COUNTIF(IA$3:IA$69,"&gt;1")</f>
        <v>49</v>
      </c>
      <c r="IE9">
        <f>IF(Sheet!IE9="Совсем нет/Not at all",1,IF(Sheet!IF9="Немного/A little",2,IF(Sheet!IG9="Довольно сильно/Quite a bit",3,IF(Sheet!IH9="Очень сильно/Extremely",4,""))))</f>
        <v>1</v>
      </c>
      <c r="IF9" s="36">
        <f>COUNTIF(IE$3:IE$69,"&gt;1")</f>
        <v>45</v>
      </c>
      <c r="II9">
        <f>IF(Sheet!II9="Совсем нет/Not at all",1,IF(Sheet!IJ9="Немного/A little",2,IF(Sheet!IK9="Довольно сильно/Quite a bit",3,IF(Sheet!IL9="Очень сильно/Extremely",4,""))))</f>
        <v>1</v>
      </c>
      <c r="IJ9" s="36">
        <f>COUNTIF(II$3:II$69,"&gt;1")</f>
        <v>46</v>
      </c>
      <c r="IM9">
        <f>IF(Sheet!IM9="Совсем нет/Not at all",1,IF(Sheet!IN9="Немного/A little",2,IF(Sheet!IO9="Довольно сильно/Quite a bit",3,IF(Sheet!IP9="Очень сильно/Extremely",4,""))))</f>
        <v>1</v>
      </c>
      <c r="IN9" s="36">
        <f>COUNTIF(IM$3:IM$69,"&gt;1")</f>
        <v>30</v>
      </c>
      <c r="IQ9">
        <f>IF(Sheet!IQ9="Совсем нет/Not at all",1,IF(Sheet!IR9="Немного/A little",2,IF(Sheet!IS9="Довольно сильно/Quite a bit ",3,IF(Sheet!IT9="Очень сильно/Extremely ",4,""))))</f>
        <v>1</v>
      </c>
      <c r="IR9" s="36">
        <f>COUNTIF(IQ$3:IQ$69,"&gt;1")</f>
        <v>12</v>
      </c>
      <c r="IU9">
        <f>IF(Sheet!IU9="Совсем нет/Not at all",1,IF(Sheet!IV9="Немного/A little",2,IF(Sheet!IW9="Довольно сильно/Quite a bit ",3,IF(Sheet!IX9="Очень сильно/Extremely ",4,""))))</f>
        <v>1</v>
      </c>
      <c r="IV9" s="36">
        <f>COUNTIF(IU$3:IU$69,"&gt;1")</f>
        <v>48</v>
      </c>
      <c r="IY9">
        <f>IF(Sheet!IY9="Совсем нет/Not at all",1,IF(Sheet!IZ9="Немного/A little",2,IF(Sheet!JA9="Довольно сильно/Quite a bit ",3,IF(Sheet!JB9="Очень сильно/Extremely ",4,""))))</f>
        <v>2</v>
      </c>
      <c r="IZ9" s="36">
        <f>COUNTIF(IY$3:IY$69,"&gt;1")</f>
        <v>50</v>
      </c>
      <c r="JC9">
        <f>IF(Sheet!JC9="Совсем нет/Not at all",1,IF(Sheet!JD9="Немного/A little",2,IF(Sheet!JE9="Довольно сильно/Quite a bit ",3,IF(Sheet!JF9="Очень сильно/Extremely ",4,""))))</f>
        <v>2</v>
      </c>
      <c r="JD9" s="36">
        <f>COUNTIF(JC$3:JC$69,"&gt;1")</f>
        <v>34</v>
      </c>
      <c r="JG9">
        <f>IF(Sheet!JG9="Совсем нет/Not at all",1,IF(Sheet!JH9="Немного/A little",2,IF(Sheet!JI9="Довольно сильно/Quite a bit ",3,IF(Sheet!JJ9="Очень сильно/Extremely ",4,""))))</f>
        <v>1</v>
      </c>
      <c r="JH9" s="36">
        <f>COUNTIF(JG$3:JG$69,"&gt;1")</f>
        <v>27</v>
      </c>
      <c r="JK9">
        <f>IF(Sheet!JK9="Совсем нет/Not at all",1,IF(Sheet!JL9="Немного/A little",2,IF(Sheet!JM9="Довольно сильно/Quite a bit ",3,IF(Sheet!JN9="Очень сильно/Extremely ",4,""))))</f>
        <v>2</v>
      </c>
      <c r="JL9" s="36">
        <f>COUNTIF(JK$3:JK$69,"&gt;1")</f>
        <v>47</v>
      </c>
      <c r="JO9">
        <f>IF(Sheet!JO9="Совсем нет/Not at all",1,IF(Sheet!JP9="Немного/A little",2,IF(Sheet!JQ9="Довольно сильно/Quite a bit",3,IF(Sheet!JR9="Очень сильно/Extremely",4,""))))</f>
        <v>2</v>
      </c>
      <c r="JP9" s="36">
        <f>COUNTIF(JO$3:JO$69,"&gt;1")</f>
        <v>17</v>
      </c>
      <c r="JS9">
        <f>IF(Sheet!JS9="Совсем нет/Not at all",1,IF(Sheet!JT9="Немного/A little",2,IF(Sheet!JU9="Довольно сильно/Quite a bit",3,IF(Sheet!JV9="Очень сильно/Extremely",4,""))))</f>
        <v>1</v>
      </c>
      <c r="JT9" s="36">
        <f>COUNTIF(JS$3:JS$69,"&gt;1")</f>
        <v>32</v>
      </c>
      <c r="JW9">
        <f>IF(Sheet!JW9="Совсем нет/Not at all",1,IF(Sheet!JX9="Немного/A little",2,IF(Sheet!JY9="Довольно сильно/Quite a bit",3,IF(Sheet!JZ9="Очень сильно/Extremely",4,""))))</f>
        <v>1</v>
      </c>
      <c r="JX9" s="36">
        <f>COUNTIF(JW$3:JW$69,"&gt;1")</f>
        <v>34</v>
      </c>
      <c r="KA9">
        <f>IF(Sheet!KA9="Совсем нет/Not at all",1,IF(Sheet!KB9="Немного/A little",2,IF(Sheet!KC9="Довольно сильно/Quite a bit",3,IF(Sheet!KD9="Очень сильно/Extremely",4,""))))</f>
        <v>1</v>
      </c>
      <c r="KB9" s="36">
        <f>COUNTIF(KA$3:KA$69,"&gt;1")</f>
        <v>44</v>
      </c>
      <c r="KE9">
        <f>IF(Sheet!KE9="Совсем нет/Not at all",1,IF(Sheet!KF9="Немного/A little",2,IF(Sheet!KG9="Довольно сильно/Quite a bit",3,IF(Sheet!KH9="Очень сильно/Extremely",4,""))))</f>
        <v>1</v>
      </c>
      <c r="KF9" s="36">
        <f>COUNTIF(KE$3:KE$69,"&gt;1")</f>
        <v>16</v>
      </c>
      <c r="KI9">
        <f>IF(Sheet!KI9="Совсем нет/Not at all",1,IF(Sheet!KJ9="Немного/A little",2,IF(Sheet!KK9="Довольно сильно/Quite a bit",3,IF(Sheet!KL9="Очень сильно/Extremely",4,""))))</f>
        <v>1</v>
      </c>
      <c r="KJ9" s="36">
        <f>COUNTIF(KI$3:KI$69,"&gt;1")</f>
        <v>35</v>
      </c>
      <c r="KM9">
        <f>IF(Sheet!KM9="Совсем нет/Not at all",1,IF(Sheet!KN9="Немного/A little",2,IF(Sheet!KO9="Довольно сильно/Quite a bit",3,IF(Sheet!KP9="Очень сильно/Extremely",4,""))))</f>
        <v>1</v>
      </c>
      <c r="KN9" s="36">
        <f>COUNTIF(KM$3:KM$69,"&gt;1")</f>
        <v>15</v>
      </c>
      <c r="KQ9">
        <f>IF(Sheet!KQ9="Совсем нет/Not at all",1,IF(Sheet!KR9="Немного/A little",2,IF(Sheet!KS9="Довольно сильно/Quite a bit",3,IF(Sheet!KT9="Очень сильно/Extremely",4,""))))</f>
        <v>1</v>
      </c>
      <c r="KR9" s="36">
        <f>COUNTIF(KQ$3:KQ$69,"&gt;1")</f>
        <v>17</v>
      </c>
    </row>
    <row r="10" spans="1:306" s="39" customFormat="1" ht="16.350000000000001">
      <c r="A10" t="str">
        <f>Sheet!A10</f>
        <v>MF001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 s="27">
        <f>SUM(GY10,HC10,HG10,HK10,HO10,HS10,HW10,IA10,IE10,II10,IM10,IQ10,IU10,IY10,JC10,JG10,JK10,JO10,JS10,JW10,KA10,KE10,KI10,KM10,KQ10)/25</f>
        <v>2.04</v>
      </c>
      <c r="GX10"/>
      <c r="GY10">
        <f>IF(Sheet!GY10="Совсем нет/Not at all",1,IF(Sheet!GZ10="Немного/A little",2,IF(Sheet!HA10="Довольно сильно/Quite a bit",3,IF(Sheet!HB10="Очень сильно/Extremely",4,""))))</f>
        <v>2</v>
      </c>
      <c r="GZ10" s="37">
        <f>GZ9/65</f>
        <v>0.63076923076923075</v>
      </c>
      <c r="HA10"/>
      <c r="HB10"/>
      <c r="HC10">
        <f>IF(Sheet!HC10="Совсем нет/Not at all",1,IF(Sheet!HD10="Немного/A little",2,IF(Sheet!HE10="Довольно сильно/Quite a bit",3,IF(Sheet!HF10="Очень сильно/Extremely",4,""))))</f>
        <v>2</v>
      </c>
      <c r="HD10" s="37">
        <f>HD9/65</f>
        <v>0.41538461538461541</v>
      </c>
      <c r="HE10"/>
      <c r="HF10"/>
      <c r="HG10">
        <f>IF(Sheet!HG10="Совсем нет/Not at all",1,IF(Sheet!HH10="Немного/A little",2,IF(Sheet!HI10="Довольно сильно/Quite a bit",3,IF(Sheet!HJ10="Очень сильно/Extremely",4,""))))</f>
        <v>1</v>
      </c>
      <c r="HH10" s="37">
        <f>HH9/65</f>
        <v>0.33846153846153848</v>
      </c>
      <c r="HI10"/>
      <c r="HJ10"/>
      <c r="HK10">
        <f>IF(Sheet!HK10="Совсем нет/Not at all",1,IF(Sheet!HL10="Немного/A little",2,IF(Sheet!HM10="Довольно сильно/Quite a bit",3,IF(Sheet!HN10="Очень сильно/Extremely",4,""))))</f>
        <v>3</v>
      </c>
      <c r="HL10" s="38">
        <f>HL9/65</f>
        <v>0.7384615384615385</v>
      </c>
      <c r="HM10"/>
      <c r="HN10"/>
      <c r="HO10">
        <f>IF(Sheet!HO10="Совсем нет/Not at all",1,IF(Sheet!HP10="Немного/A little",2,IF(Sheet!HQ10="Довольно сильно/Quite a bit",3,IF(Sheet!HR10="Очень сильно/Extremely",4,""))))</f>
        <v>4</v>
      </c>
      <c r="HP10" s="37">
        <f>HP9/65</f>
        <v>0.52307692307692311</v>
      </c>
      <c r="HQ10"/>
      <c r="HR10"/>
      <c r="HS10">
        <f>IF(Sheet!HS10="Совсем нет/Not at all",1,IF(Sheet!HT10="Немного/A little",2,IF(Sheet!HU10="Довольно сильно/Quite a bit",3,IF(Sheet!HV10="Очень сильно/Extremely",4,""))))</f>
        <v>1</v>
      </c>
      <c r="HT10" s="37">
        <f>HT9/65</f>
        <v>0.66153846153846152</v>
      </c>
      <c r="HU10"/>
      <c r="HV10"/>
      <c r="HW10">
        <f>IF(Sheet!HW10="Совсем нет/Not at all",1,IF(Sheet!HX10="Немного/A little",2,IF(Sheet!HY10="Довольно сильно/Quite a bit",3,IF(Sheet!HZ10="Очень сильно/Extremely",4,""))))</f>
        <v>3</v>
      </c>
      <c r="HX10" s="38">
        <f>HX9/65</f>
        <v>0.81538461538461537</v>
      </c>
      <c r="HY10"/>
      <c r="HZ10"/>
      <c r="IA10">
        <f>IF(Sheet!IA10="Совсем нет/Not at all",1,IF(Sheet!IB10="Немного/A little",2,IF(Sheet!IC10="Довольно сильно/Quite a bit",3,IF(Sheet!ID10="Очень сильно/Extremely",4,""))))</f>
        <v>3</v>
      </c>
      <c r="IB10" s="38">
        <f>IB9/65</f>
        <v>0.75384615384615383</v>
      </c>
      <c r="IC10"/>
      <c r="ID10"/>
      <c r="IE10">
        <f>IF(Sheet!IE10="Совсем нет/Not at all",1,IF(Sheet!IF10="Немного/A little",2,IF(Sheet!IG10="Довольно сильно/Quite a bit",3,IF(Sheet!IH10="Очень сильно/Extremely",4,""))))</f>
        <v>1</v>
      </c>
      <c r="IF10" s="37">
        <f>IF9/65</f>
        <v>0.69230769230769229</v>
      </c>
      <c r="IG10"/>
      <c r="IH10"/>
      <c r="II10">
        <f>IF(Sheet!II10="Совсем нет/Not at all",1,IF(Sheet!IJ10="Немного/A little",2,IF(Sheet!IK10="Довольно сильно/Quite a bit",3,IF(Sheet!IL10="Очень сильно/Extremely",4,""))))</f>
        <v>2</v>
      </c>
      <c r="IJ10" s="37">
        <f>IJ9/65</f>
        <v>0.70769230769230773</v>
      </c>
      <c r="IK10"/>
      <c r="IL10"/>
      <c r="IM10">
        <f>IF(Sheet!IM10="Совсем нет/Not at all",1,IF(Sheet!IN10="Немного/A little",2,IF(Sheet!IO10="Довольно сильно/Quite a bit",3,IF(Sheet!IP10="Очень сильно/Extremely",4,""))))</f>
        <v>4</v>
      </c>
      <c r="IN10" s="37">
        <f>IN9/65</f>
        <v>0.46153846153846156</v>
      </c>
      <c r="IO10"/>
      <c r="IP10"/>
      <c r="IQ10">
        <f>IF(Sheet!IQ10="Совсем нет/Not at all",1,IF(Sheet!IR10="Немного/A little",2,IF(Sheet!IS10="Довольно сильно/Quite a bit ",3,IF(Sheet!IT10="Очень сильно/Extremely ",4,""))))</f>
        <v>1</v>
      </c>
      <c r="IR10" s="37">
        <f>IR9/65</f>
        <v>0.18461538461538463</v>
      </c>
      <c r="IS10"/>
      <c r="IT10"/>
      <c r="IU10">
        <f>IF(Sheet!IU10="Совсем нет/Not at all",1,IF(Sheet!IV10="Немного/A little",2,IF(Sheet!IW10="Довольно сильно/Quite a bit ",3,IF(Sheet!IX10="Очень сильно/Extremely ",4,""))))</f>
        <v>2</v>
      </c>
      <c r="IV10" s="38">
        <f>IV9/65</f>
        <v>0.7384615384615385</v>
      </c>
      <c r="IW10"/>
      <c r="IX10"/>
      <c r="IY10">
        <f>IF(Sheet!IY10="Совсем нет/Not at all",1,IF(Sheet!IZ10="Немного/A little",2,IF(Sheet!JA10="Довольно сильно/Quite a bit ",3,IF(Sheet!JB10="Очень сильно/Extremely ",4,""))))</f>
        <v>2</v>
      </c>
      <c r="IZ10" s="38">
        <f>IZ9/65</f>
        <v>0.76923076923076927</v>
      </c>
      <c r="JA10"/>
      <c r="JB10"/>
      <c r="JC10">
        <f>IF(Sheet!JC10="Совсем нет/Not at all",1,IF(Sheet!JD10="Немного/A little",2,IF(Sheet!JE10="Довольно сильно/Quite a bit ",3,IF(Sheet!JF10="Очень сильно/Extremely ",4,""))))</f>
        <v>2</v>
      </c>
      <c r="JD10" s="37">
        <f>JD9/65</f>
        <v>0.52307692307692311</v>
      </c>
      <c r="JE10"/>
      <c r="JF10"/>
      <c r="JG10">
        <f>IF(Sheet!JG10="Совсем нет/Not at all",1,IF(Sheet!JH10="Немного/A little",2,IF(Sheet!JI10="Довольно сильно/Quite a bit ",3,IF(Sheet!JJ10="Очень сильно/Extremely ",4,""))))</f>
        <v>1</v>
      </c>
      <c r="JH10" s="37">
        <f>JH9/65</f>
        <v>0.41538461538461541</v>
      </c>
      <c r="JI10"/>
      <c r="JJ10"/>
      <c r="JK10">
        <f>IF(Sheet!JK10="Совсем нет/Not at all",1,IF(Sheet!JL10="Немного/A little",2,IF(Sheet!JM10="Довольно сильно/Quite a bit ",3,IF(Sheet!JN10="Очень сильно/Extremely ",4,""))))</f>
        <v>1</v>
      </c>
      <c r="JL10" s="37">
        <f>JL9/65</f>
        <v>0.72307692307692306</v>
      </c>
      <c r="JM10"/>
      <c r="JN10"/>
      <c r="JO10">
        <f>IF(Sheet!JO10="Совсем нет/Not at all",1,IF(Sheet!JP10="Немного/A little",2,IF(Sheet!JQ10="Довольно сильно/Quite a bit",3,IF(Sheet!JR10="Очень сильно/Extremely",4,""))))</f>
        <v>2</v>
      </c>
      <c r="JP10" s="37">
        <f>JP9/65</f>
        <v>0.26153846153846155</v>
      </c>
      <c r="JQ10"/>
      <c r="JR10"/>
      <c r="JS10">
        <f>IF(Sheet!JS10="Совсем нет/Not at all",1,IF(Sheet!JT10="Немного/A little",2,IF(Sheet!JU10="Довольно сильно/Quite a bit",3,IF(Sheet!JV10="Очень сильно/Extremely",4,""))))</f>
        <v>2</v>
      </c>
      <c r="JT10" s="37">
        <f>JT9/65</f>
        <v>0.49230769230769234</v>
      </c>
      <c r="JU10"/>
      <c r="JV10"/>
      <c r="JW10">
        <f>IF(Sheet!JW10="Совсем нет/Not at all",1,IF(Sheet!JX10="Немного/A little",2,IF(Sheet!JY10="Довольно сильно/Quite a bit",3,IF(Sheet!JZ10="Очень сильно/Extremely",4,""))))</f>
        <v>3</v>
      </c>
      <c r="JX10" s="37">
        <f>JX9/65</f>
        <v>0.52307692307692311</v>
      </c>
      <c r="JY10"/>
      <c r="JZ10"/>
      <c r="KA10">
        <f>IF(Sheet!KA10="Совсем нет/Not at all",1,IF(Sheet!KB10="Немного/A little",2,IF(Sheet!KC10="Довольно сильно/Quite a bit",3,IF(Sheet!KD10="Очень сильно/Extremely",4,""))))</f>
        <v>2</v>
      </c>
      <c r="KB10" s="37">
        <f>KB9/65</f>
        <v>0.67692307692307696</v>
      </c>
      <c r="KC10"/>
      <c r="KD10"/>
      <c r="KE10">
        <f>IF(Sheet!KE10="Совсем нет/Not at all",1,IF(Sheet!KF10="Немного/A little",2,IF(Sheet!KG10="Довольно сильно/Quite a bit",3,IF(Sheet!KH10="Очень сильно/Extremely",4,""))))</f>
        <v>1</v>
      </c>
      <c r="KF10" s="37">
        <f>KF9/65</f>
        <v>0.24615384615384617</v>
      </c>
      <c r="KG10"/>
      <c r="KH10"/>
      <c r="KI10">
        <f>IF(Sheet!KI10="Совсем нет/Not at all",1,IF(Sheet!KJ10="Немного/A little",2,IF(Sheet!KK10="Довольно сильно/Quite a bit",3,IF(Sheet!KL10="Очень сильно/Extremely",4,""))))</f>
        <v>1</v>
      </c>
      <c r="KJ10" s="37">
        <f>KJ9/65</f>
        <v>0.53846153846153844</v>
      </c>
      <c r="KK10"/>
      <c r="KL10"/>
      <c r="KM10">
        <f>IF(Sheet!KM10="Совсем нет/Not at all",1,IF(Sheet!KN10="Немного/A little",2,IF(Sheet!KO10="Довольно сильно/Quite a bit",3,IF(Sheet!KP10="Очень сильно/Extremely",4,""))))</f>
        <v>3</v>
      </c>
      <c r="KN10" s="37">
        <f>KN9/65</f>
        <v>0.23076923076923078</v>
      </c>
      <c r="KO10"/>
      <c r="KP10"/>
      <c r="KQ10">
        <f>IF(Sheet!KQ10="Совсем нет/Not at all",1,IF(Sheet!KR10="Немного/A little",2,IF(Sheet!KS10="Довольно сильно/Quite a bit",3,IF(Sheet!KT10="Очень сильно/Extremely",4,""))))</f>
        <v>2</v>
      </c>
      <c r="KR10" s="37">
        <f>KR9/65</f>
        <v>0.26153846153846155</v>
      </c>
      <c r="KS10"/>
      <c r="KT10"/>
    </row>
    <row r="11" spans="1:306" ht="16.350000000000001">
      <c r="A11" t="str">
        <f>Sheet!A11</f>
        <v>MU001</v>
      </c>
      <c r="GW11" s="27">
        <f>SUM(GY11,HC11,HG11,HK11,HO11,HS11,HW11,IA11,IE11,II11,IM11,IQ11,IU11,IY11,JC11,JG11,JK11,JO11,JS11,JW11,KA11,KE11,KI11,KM11,KQ11)/25</f>
        <v>1.2</v>
      </c>
      <c r="GY11">
        <f>IF(Sheet!GY11="Совсем нет/Not at all",1,IF(Sheet!GZ11="Немного/A little",2,IF(Sheet!HA11="Довольно сильно/Quite a bit",3,IF(Sheet!HB11="Очень сильно/Extremely",4,""))))</f>
        <v>1</v>
      </c>
      <c r="HC11">
        <f>IF(Sheet!HC11="Совсем нет/Not at all",1,IF(Sheet!HD11="Немного/A little",2,IF(Sheet!HE11="Довольно сильно/Quite a bit",3,IF(Sheet!HF11="Очень сильно/Extremely",4,""))))</f>
        <v>1</v>
      </c>
      <c r="HG11">
        <f>IF(Sheet!HG11="Совсем нет/Not at all",1,IF(Sheet!HH11="Немного/A little",2,IF(Sheet!HI11="Довольно сильно/Quite a bit",3,IF(Sheet!HJ11="Очень сильно/Extremely",4,""))))</f>
        <v>1</v>
      </c>
      <c r="HK11">
        <f>IF(Sheet!HK11="Совсем нет/Not at all",1,IF(Sheet!HL11="Немного/A little",2,IF(Sheet!HM11="Довольно сильно/Quite a bit",3,IF(Sheet!HN11="Очень сильно/Extremely",4,""))))</f>
        <v>1</v>
      </c>
      <c r="HO11">
        <f>IF(Sheet!HO11="Совсем нет/Not at all",1,IF(Sheet!HP11="Немного/A little",2,IF(Sheet!HQ11="Довольно сильно/Quite a bit",3,IF(Sheet!HR11="Очень сильно/Extremely",4,""))))</f>
        <v>2</v>
      </c>
      <c r="HS11">
        <f>IF(Sheet!HS11="Совсем нет/Not at all",1,IF(Sheet!HT11="Немного/A little",2,IF(Sheet!HU11="Довольно сильно/Quite a bit",3,IF(Sheet!HV11="Очень сильно/Extremely",4,""))))</f>
        <v>2</v>
      </c>
      <c r="HW11">
        <f>IF(Sheet!HW11="Совсем нет/Not at all",1,IF(Sheet!HX11="Немного/A little",2,IF(Sheet!HY11="Довольно сильно/Quite a bit",3,IF(Sheet!HZ11="Очень сильно/Extremely",4,""))))</f>
        <v>2</v>
      </c>
      <c r="IA11">
        <f>IF(Sheet!IA11="Совсем нет/Not at all",1,IF(Sheet!IB11="Немного/A little",2,IF(Sheet!IC11="Довольно сильно/Quite a bit",3,IF(Sheet!ID11="Очень сильно/Extremely",4,""))))</f>
        <v>2</v>
      </c>
      <c r="IE11">
        <f>IF(Sheet!IE11="Совсем нет/Not at all",1,IF(Sheet!IF11="Немного/A little",2,IF(Sheet!IG11="Довольно сильно/Quite a bit",3,IF(Sheet!IH11="Очень сильно/Extremely",4,""))))</f>
        <v>1</v>
      </c>
      <c r="II11">
        <f>IF(Sheet!II11="Совсем нет/Not at all",1,IF(Sheet!IJ11="Немного/A little",2,IF(Sheet!IK11="Довольно сильно/Quite a bit",3,IF(Sheet!IL11="Очень сильно/Extremely",4,""))))</f>
        <v>1</v>
      </c>
      <c r="IM11">
        <f>IF(Sheet!IM11="Совсем нет/Not at all",1,IF(Sheet!IN11="Немного/A little",2,IF(Sheet!IO11="Довольно сильно/Quite a bit",3,IF(Sheet!IP11="Очень сильно/Extremely",4,""))))</f>
        <v>1</v>
      </c>
      <c r="IQ11">
        <f>IF(Sheet!IQ11="Совсем нет/Not at all",1,IF(Sheet!IR11="Немного/A little",2,IF(Sheet!IS11="Довольно сильно/Quite a bit ",3,IF(Sheet!IT11="Очень сильно/Extremely ",4,""))))</f>
        <v>1</v>
      </c>
      <c r="IU11">
        <f>IF(Sheet!IU11="Совсем нет/Not at all",1,IF(Sheet!IV11="Немного/A little",2,IF(Sheet!IW11="Довольно сильно/Quite a bit ",3,IF(Sheet!IX11="Очень сильно/Extremely ",4,""))))</f>
        <v>1</v>
      </c>
      <c r="IY11">
        <f>IF(Sheet!IY11="Совсем нет/Not at all",1,IF(Sheet!IZ11="Немного/A little",2,IF(Sheet!JA11="Довольно сильно/Quite a bit ",3,IF(Sheet!JB11="Очень сильно/Extremely ",4,""))))</f>
        <v>2</v>
      </c>
      <c r="JC11">
        <f>IF(Sheet!JC11="Совсем нет/Not at all",1,IF(Sheet!JD11="Немного/A little",2,IF(Sheet!JE11="Довольно сильно/Quite a bit ",3,IF(Sheet!JF11="Очень сильно/Extremely ",4,""))))</f>
        <v>1</v>
      </c>
      <c r="JG11">
        <f>IF(Sheet!JG11="Совсем нет/Not at all",1,IF(Sheet!JH11="Немного/A little",2,IF(Sheet!JI11="Довольно сильно/Quite a bit ",3,IF(Sheet!JJ11="Очень сильно/Extremely ",4,""))))</f>
        <v>1</v>
      </c>
      <c r="JK11">
        <f>IF(Sheet!JK11="Совсем нет/Not at all",1,IF(Sheet!JL11="Немного/A little",2,IF(Sheet!JM11="Довольно сильно/Quite a bit ",3,IF(Sheet!JN11="Очень сильно/Extremely ",4,""))))</f>
        <v>1</v>
      </c>
      <c r="JO11">
        <f>IF(Sheet!JO11="Совсем нет/Not at all",1,IF(Sheet!JP11="Немного/A little",2,IF(Sheet!JQ11="Довольно сильно/Quite a bit",3,IF(Sheet!JR11="Очень сильно/Extremely",4,""))))</f>
        <v>1</v>
      </c>
      <c r="JS11">
        <f>IF(Sheet!JS11="Совсем нет/Not at all",1,IF(Sheet!JT11="Немного/A little",2,IF(Sheet!JU11="Довольно сильно/Quite a bit",3,IF(Sheet!JV11="Очень сильно/Extremely",4,""))))</f>
        <v>1</v>
      </c>
      <c r="JW11">
        <f>IF(Sheet!JW11="Совсем нет/Not at all",1,IF(Sheet!JX11="Немного/A little",2,IF(Sheet!JY11="Довольно сильно/Quite a bit",3,IF(Sheet!JZ11="Очень сильно/Extremely",4,""))))</f>
        <v>1</v>
      </c>
      <c r="KA11">
        <f>IF(Sheet!KA11="Совсем нет/Not at all",1,IF(Sheet!KB11="Немного/A little",2,IF(Sheet!KC11="Довольно сильно/Quite a bit",3,IF(Sheet!KD11="Очень сильно/Extremely",4,""))))</f>
        <v>1</v>
      </c>
      <c r="KE11">
        <f>IF(Sheet!KE11="Совсем нет/Not at all",1,IF(Sheet!KF11="Немного/A little",2,IF(Sheet!KG11="Довольно сильно/Quite a bit",3,IF(Sheet!KH11="Очень сильно/Extremely",4,""))))</f>
        <v>1</v>
      </c>
      <c r="KI11">
        <f>IF(Sheet!KI11="Совсем нет/Not at all",1,IF(Sheet!KJ11="Немного/A little",2,IF(Sheet!KK11="Довольно сильно/Quite a bit",3,IF(Sheet!KL11="Очень сильно/Extremely",4,""))))</f>
        <v>1</v>
      </c>
      <c r="KM11">
        <f>IF(Sheet!KM11="Совсем нет/Not at all",1,IF(Sheet!KN11="Немного/A little",2,IF(Sheet!KO11="Довольно сильно/Quite a bit",3,IF(Sheet!KP11="Очень сильно/Extremely",4,""))))</f>
        <v>1</v>
      </c>
      <c r="KQ11">
        <f>IF(Sheet!KQ11="Совсем нет/Not at all",1,IF(Sheet!KR11="Немного/A little",2,IF(Sheet!KS11="Довольно сильно/Quite a bit",3,IF(Sheet!KT11="Очень сильно/Extremely",4,""))))</f>
        <v>1</v>
      </c>
    </row>
    <row r="12" spans="1:306" ht="16.350000000000001">
      <c r="A12" t="str">
        <f>Sheet!A12</f>
        <v>KU001</v>
      </c>
      <c r="GW12" s="27">
        <f>SUM(GY12,HC12,HG12,HK12,HO12,HS12,HW12,IA12,IE12,II12,IM12,IQ12,IU12,IY12,JC12,JG12,JK12,JO12,JS12,JW12,KA12,KE12,KI12,KM12,KQ12)/25</f>
        <v>1.84</v>
      </c>
      <c r="GY12">
        <f>IF(Sheet!GY12="Совсем нет/Not at all",1,IF(Sheet!GZ12="Немного/A little",2,IF(Sheet!HA12="Довольно сильно/Quite a bit",3,IF(Sheet!HB12="Очень сильно/Extremely",4,""))))</f>
        <v>1</v>
      </c>
      <c r="HC12">
        <f>IF(Sheet!HC12="Совсем нет/Not at all",1,IF(Sheet!HD12="Немного/A little",2,IF(Sheet!HE12="Довольно сильно/Quite a bit",3,IF(Sheet!HF12="Очень сильно/Extremely",4,""))))</f>
        <v>2</v>
      </c>
      <c r="HG12">
        <f>IF(Sheet!HG12="Совсем нет/Not at all",1,IF(Sheet!HH12="Немного/A little",2,IF(Sheet!HI12="Довольно сильно/Quite a bit",3,IF(Sheet!HJ12="Очень сильно/Extremely",4,""))))</f>
        <v>1</v>
      </c>
      <c r="HK12">
        <f>IF(Sheet!HK12="Совсем нет/Not at all",1,IF(Sheet!HL12="Немного/A little",2,IF(Sheet!HM12="Довольно сильно/Quite a bit",3,IF(Sheet!HN12="Очень сильно/Extremely",4,""))))</f>
        <v>1</v>
      </c>
      <c r="HO12">
        <f>IF(Sheet!HO12="Совсем нет/Not at all",1,IF(Sheet!HP12="Немного/A little",2,IF(Sheet!HQ12="Довольно сильно/Quite a bit",3,IF(Sheet!HR12="Очень сильно/Extremely",4,""))))</f>
        <v>1</v>
      </c>
      <c r="HS12">
        <f>IF(Sheet!HS12="Совсем нет/Not at all",1,IF(Sheet!HT12="Немного/A little",2,IF(Sheet!HU12="Довольно сильно/Quite a bit",3,IF(Sheet!HV12="Очень сильно/Extremely",4,""))))</f>
        <v>2</v>
      </c>
      <c r="HW12">
        <f>IF(Sheet!HW12="Совсем нет/Not at all",1,IF(Sheet!HX12="Немного/A little",2,IF(Sheet!HY12="Довольно сильно/Quite a bit",3,IF(Sheet!HZ12="Очень сильно/Extremely",4,""))))</f>
        <v>2</v>
      </c>
      <c r="IA12">
        <f>IF(Sheet!IA12="Совсем нет/Not at all",1,IF(Sheet!IB12="Немного/A little",2,IF(Sheet!IC12="Довольно сильно/Quite a bit",3,IF(Sheet!ID12="Очень сильно/Extremely",4,""))))</f>
        <v>2</v>
      </c>
      <c r="IE12">
        <f>IF(Sheet!IE12="Совсем нет/Not at all",1,IF(Sheet!IF12="Немного/A little",2,IF(Sheet!IG12="Довольно сильно/Quite a bit",3,IF(Sheet!IH12="Очень сильно/Extremely",4,""))))</f>
        <v>3</v>
      </c>
      <c r="II12">
        <f>IF(Sheet!II12="Совсем нет/Not at all",1,IF(Sheet!IJ12="Немного/A little",2,IF(Sheet!IK12="Довольно сильно/Quite a bit",3,IF(Sheet!IL12="Очень сильно/Extremely",4,""))))</f>
        <v>2</v>
      </c>
      <c r="IM12">
        <f>IF(Sheet!IM12="Совсем нет/Not at all",1,IF(Sheet!IN12="Немного/A little",2,IF(Sheet!IO12="Довольно сильно/Quite a bit",3,IF(Sheet!IP12="Очень сильно/Extremely",4,""))))</f>
        <v>3</v>
      </c>
      <c r="IQ12">
        <f>IF(Sheet!IQ12="Совсем нет/Not at all",1,IF(Sheet!IR12="Немного/A little",2,IF(Sheet!IS12="Довольно сильно/Quite a bit ",3,IF(Sheet!IT12="Очень сильно/Extremely ",4,""))))</f>
        <v>1</v>
      </c>
      <c r="IU12">
        <f>IF(Sheet!IU12="Совсем нет/Not at all",1,IF(Sheet!IV12="Немного/A little",2,IF(Sheet!IW12="Довольно сильно/Quite a bit ",3,IF(Sheet!IX12="Очень сильно/Extremely ",4,""))))</f>
        <v>3</v>
      </c>
      <c r="IY12">
        <f>IF(Sheet!IY12="Совсем нет/Not at all",1,IF(Sheet!IZ12="Немного/A little",2,IF(Sheet!JA12="Довольно сильно/Quite a bit ",3,IF(Sheet!JB12="Очень сильно/Extremely ",4,""))))</f>
        <v>3</v>
      </c>
      <c r="JC12">
        <f>IF(Sheet!JC12="Совсем нет/Not at all",1,IF(Sheet!JD12="Немного/A little",2,IF(Sheet!JE12="Довольно сильно/Quite a bit ",3,IF(Sheet!JF12="Очень сильно/Extremely ",4,""))))</f>
        <v>2</v>
      </c>
      <c r="JG12">
        <f>IF(Sheet!JG12="Совсем нет/Not at all",1,IF(Sheet!JH12="Немного/A little",2,IF(Sheet!JI12="Довольно сильно/Quite a bit ",3,IF(Sheet!JJ12="Очень сильно/Extremely ",4,""))))</f>
        <v>2</v>
      </c>
      <c r="JK12">
        <f>IF(Sheet!JK12="Совсем нет/Not at all",1,IF(Sheet!JL12="Немного/A little",2,IF(Sheet!JM12="Довольно сильно/Quite a bit ",3,IF(Sheet!JN12="Очень сильно/Extremely ",4,""))))</f>
        <v>2</v>
      </c>
      <c r="JO12">
        <f>IF(Sheet!JO12="Совсем нет/Not at all",1,IF(Sheet!JP12="Немного/A little",2,IF(Sheet!JQ12="Довольно сильно/Quite a bit",3,IF(Sheet!JR12="Очень сильно/Extremely",4,""))))</f>
        <v>1</v>
      </c>
      <c r="JS12">
        <f>IF(Sheet!JS12="Совсем нет/Not at all",1,IF(Sheet!JT12="Немного/A little",2,IF(Sheet!JU12="Довольно сильно/Quite a bit",3,IF(Sheet!JV12="Очень сильно/Extremely",4,""))))</f>
        <v>2</v>
      </c>
      <c r="JW12">
        <f>IF(Sheet!JW12="Совсем нет/Not at all",1,IF(Sheet!JX12="Немного/A little",2,IF(Sheet!JY12="Довольно сильно/Quite a bit",3,IF(Sheet!JZ12="Очень сильно/Extremely",4,""))))</f>
        <v>3</v>
      </c>
      <c r="KA12">
        <f>IF(Sheet!KA12="Совсем нет/Not at all",1,IF(Sheet!KB12="Немного/A little",2,IF(Sheet!KC12="Довольно сильно/Quite a bit",3,IF(Sheet!KD12="Очень сильно/Extremely",4,""))))</f>
        <v>2</v>
      </c>
      <c r="KE12">
        <f>IF(Sheet!KE12="Совсем нет/Not at all",1,IF(Sheet!KF12="Немного/A little",2,IF(Sheet!KG12="Довольно сильно/Quite a bit",3,IF(Sheet!KH12="Очень сильно/Extremely",4,""))))</f>
        <v>1</v>
      </c>
      <c r="KI12">
        <f>IF(Sheet!KI12="Совсем нет/Not at all",1,IF(Sheet!KJ12="Немного/A little",2,IF(Sheet!KK12="Довольно сильно/Quite a bit",3,IF(Sheet!KL12="Очень сильно/Extremely",4,""))))</f>
        <v>2</v>
      </c>
      <c r="KM12">
        <f>IF(Sheet!KM12="Совсем нет/Not at all",1,IF(Sheet!KN12="Немного/A little",2,IF(Sheet!KO12="Довольно сильно/Quite a bit",3,IF(Sheet!KP12="Очень сильно/Extremely",4,""))))</f>
        <v>1</v>
      </c>
      <c r="KQ12">
        <f>IF(Sheet!KQ12="Совсем нет/Not at all",1,IF(Sheet!KR12="Немного/A little",2,IF(Sheet!KS12="Довольно сильно/Quite a bit",3,IF(Sheet!KT12="Очень сильно/Extremely",4,""))))</f>
        <v>1</v>
      </c>
    </row>
    <row r="13" spans="1:306" ht="16.350000000000001">
      <c r="A13" t="str">
        <f>Sheet!A13</f>
        <v>OT001</v>
      </c>
      <c r="GW13" s="27">
        <f>SUM(GY13,HC13,HG13,HK13,HO13,HS13,HW13,IA13,IE13,II13,IM13,IQ13,IU13,IY13,JC13,JG13,JK13,JO13,JS13,JW13,KA13,KE13,KI13,KM13,KQ13)/25</f>
        <v>1.84</v>
      </c>
      <c r="GY13">
        <f>IF(Sheet!GY13="Совсем нет/Not at all",1,IF(Sheet!GZ13="Немного/A little",2,IF(Sheet!HA13="Довольно сильно/Quite a bit",3,IF(Sheet!HB13="Очень сильно/Extremely",4,""))))</f>
        <v>3</v>
      </c>
      <c r="GZ13" s="35" t="s">
        <v>571</v>
      </c>
      <c r="HC13">
        <f>IF(Sheet!HC13="Совсем нет/Not at all",1,IF(Sheet!HD13="Немного/A little",2,IF(Sheet!HE13="Довольно сильно/Quite a bit",3,IF(Sheet!HF13="Очень сильно/Extremely",4,""))))</f>
        <v>1</v>
      </c>
      <c r="HD13" s="35" t="s">
        <v>571</v>
      </c>
      <c r="HG13">
        <f>IF(Sheet!HG13="Совсем нет/Not at all",1,IF(Sheet!HH13="Немного/A little",2,IF(Sheet!HI13="Довольно сильно/Quite a bit",3,IF(Sheet!HJ13="Очень сильно/Extremely",4,""))))</f>
        <v>4</v>
      </c>
      <c r="HH13" s="35" t="s">
        <v>571</v>
      </c>
      <c r="HK13">
        <f>IF(Sheet!HK13="Совсем нет/Not at all",1,IF(Sheet!HL13="Немного/A little",2,IF(Sheet!HM13="Довольно сильно/Quite a bit",3,IF(Sheet!HN13="Очень сильно/Extremely",4,""))))</f>
        <v>2</v>
      </c>
      <c r="HL13" s="35" t="s">
        <v>571</v>
      </c>
      <c r="HO13">
        <f>IF(Sheet!HO13="Совсем нет/Not at all",1,IF(Sheet!HP13="Немного/A little",2,IF(Sheet!HQ13="Довольно сильно/Quite a bit",3,IF(Sheet!HR13="Очень сильно/Extremely",4,""))))</f>
        <v>1</v>
      </c>
      <c r="HP13" s="35" t="s">
        <v>571</v>
      </c>
      <c r="HS13">
        <f>IF(Sheet!HS13="Совсем нет/Not at all",1,IF(Sheet!HT13="Немного/A little",2,IF(Sheet!HU13="Довольно сильно/Quite a bit",3,IF(Sheet!HV13="Очень сильно/Extremely",4,""))))</f>
        <v>4</v>
      </c>
      <c r="HT13" s="35" t="s">
        <v>571</v>
      </c>
      <c r="HW13">
        <f>IF(Sheet!HW13="Совсем нет/Not at all",1,IF(Sheet!HX13="Немного/A little",2,IF(Sheet!HY13="Довольно сильно/Quite a bit",3,IF(Sheet!HZ13="Очень сильно/Extremely",4,""))))</f>
        <v>2</v>
      </c>
      <c r="HX13" s="35" t="s">
        <v>571</v>
      </c>
      <c r="IA13">
        <f>IF(Sheet!IA13="Совсем нет/Not at all",1,IF(Sheet!IB13="Немного/A little",2,IF(Sheet!IC13="Довольно сильно/Quite a bit",3,IF(Sheet!ID13="Очень сильно/Extremely",4,""))))</f>
        <v>3</v>
      </c>
      <c r="IB13" s="35" t="s">
        <v>571</v>
      </c>
      <c r="IE13">
        <f>IF(Sheet!IE13="Совсем нет/Not at all",1,IF(Sheet!IF13="Немного/A little",2,IF(Sheet!IG13="Довольно сильно/Quite a bit",3,IF(Sheet!IH13="Очень сильно/Extremely",4,""))))</f>
        <v>3</v>
      </c>
      <c r="IF13" s="35" t="s">
        <v>571</v>
      </c>
      <c r="II13">
        <f>IF(Sheet!II13="Совсем нет/Not at all",1,IF(Sheet!IJ13="Немного/A little",2,IF(Sheet!IK13="Довольно сильно/Quite a bit",3,IF(Sheet!IL13="Очень сильно/Extremely",4,""))))</f>
        <v>1</v>
      </c>
      <c r="IJ13" s="35" t="s">
        <v>571</v>
      </c>
      <c r="IM13">
        <f>IF(Sheet!IM13="Совсем нет/Not at all",1,IF(Sheet!IN13="Немного/A little",2,IF(Sheet!IO13="Довольно сильно/Quite a bit",3,IF(Sheet!IP13="Очень сильно/Extremely",4,""))))</f>
        <v>2</v>
      </c>
      <c r="IN13" s="35" t="s">
        <v>571</v>
      </c>
      <c r="IQ13">
        <f>IF(Sheet!IQ13="Совсем нет/Not at all",1,IF(Sheet!IR13="Немного/A little",2,IF(Sheet!IS13="Довольно сильно/Quite a bit ",3,IF(Sheet!IT13="Очень сильно/Extremely ",4,""))))</f>
        <v>1</v>
      </c>
      <c r="IR13" s="35" t="s">
        <v>571</v>
      </c>
      <c r="IU13">
        <f>IF(Sheet!IU13="Совсем нет/Not at all",1,IF(Sheet!IV13="Немного/A little",2,IF(Sheet!IW13="Довольно сильно/Quite a bit ",3,IF(Sheet!IX13="Очень сильно/Extremely ",4,""))))</f>
        <v>2</v>
      </c>
      <c r="IV13" s="35" t="s">
        <v>571</v>
      </c>
      <c r="IY13">
        <f>IF(Sheet!IY13="Совсем нет/Not at all",1,IF(Sheet!IZ13="Немного/A little",2,IF(Sheet!JA13="Довольно сильно/Quite a bit ",3,IF(Sheet!JB13="Очень сильно/Extremely ",4,""))))</f>
        <v>1</v>
      </c>
      <c r="IZ13" s="35" t="s">
        <v>571</v>
      </c>
      <c r="JC13">
        <f>IF(Sheet!JC13="Совсем нет/Not at all",1,IF(Sheet!JD13="Немного/A little",2,IF(Sheet!JE13="Довольно сильно/Quite a bit ",3,IF(Sheet!JF13="Очень сильно/Extremely ",4,""))))</f>
        <v>1</v>
      </c>
      <c r="JD13" s="35" t="s">
        <v>571</v>
      </c>
      <c r="JG13">
        <f>IF(Sheet!JG13="Совсем нет/Not at all",1,IF(Sheet!JH13="Немного/A little",2,IF(Sheet!JI13="Довольно сильно/Quite a bit ",3,IF(Sheet!JJ13="Очень сильно/Extremely ",4,""))))</f>
        <v>2</v>
      </c>
      <c r="JH13" s="35" t="s">
        <v>571</v>
      </c>
      <c r="JK13">
        <f>IF(Sheet!JK13="Совсем нет/Not at all",1,IF(Sheet!JL13="Немного/A little",2,IF(Sheet!JM13="Довольно сильно/Quite a bit ",3,IF(Sheet!JN13="Очень сильно/Extremely ",4,""))))</f>
        <v>1</v>
      </c>
      <c r="JL13" s="35" t="s">
        <v>571</v>
      </c>
      <c r="JO13">
        <f>IF(Sheet!JO13="Совсем нет/Not at all",1,IF(Sheet!JP13="Немного/A little",2,IF(Sheet!JQ13="Довольно сильно/Quite a bit",3,IF(Sheet!JR13="Очень сильно/Extremely",4,""))))</f>
        <v>1</v>
      </c>
      <c r="JP13" s="35" t="s">
        <v>571</v>
      </c>
      <c r="JS13">
        <f>IF(Sheet!JS13="Совсем нет/Not at all",1,IF(Sheet!JT13="Немного/A little",2,IF(Sheet!JU13="Довольно сильно/Quite a bit",3,IF(Sheet!JV13="Очень сильно/Extremely",4,""))))</f>
        <v>1</v>
      </c>
      <c r="JT13" s="35" t="s">
        <v>571</v>
      </c>
      <c r="JW13">
        <f>IF(Sheet!JW13="Совсем нет/Not at all",1,IF(Sheet!JX13="Немного/A little",2,IF(Sheet!JY13="Довольно сильно/Quite a bit",3,IF(Sheet!JZ13="Очень сильно/Extremely",4,""))))</f>
        <v>1</v>
      </c>
      <c r="JX13" s="35" t="s">
        <v>571</v>
      </c>
      <c r="KA13">
        <f>IF(Sheet!KA13="Совсем нет/Not at all",1,IF(Sheet!KB13="Немного/A little",2,IF(Sheet!KC13="Довольно сильно/Quite a bit",3,IF(Sheet!KD13="Очень сильно/Extremely",4,""))))</f>
        <v>3</v>
      </c>
      <c r="KB13" s="35" t="s">
        <v>571</v>
      </c>
      <c r="KE13">
        <f>IF(Sheet!KE13="Совсем нет/Not at all",1,IF(Sheet!KF13="Немного/A little",2,IF(Sheet!KG13="Довольно сильно/Quite a bit",3,IF(Sheet!KH13="Очень сильно/Extremely",4,""))))</f>
        <v>1</v>
      </c>
      <c r="KF13" s="35" t="s">
        <v>571</v>
      </c>
      <c r="KI13">
        <f>IF(Sheet!KI13="Совсем нет/Not at all",1,IF(Sheet!KJ13="Немного/A little",2,IF(Sheet!KK13="Довольно сильно/Quite a bit",3,IF(Sheet!KL13="Очень сильно/Extremely",4,""))))</f>
        <v>2</v>
      </c>
      <c r="KJ13" s="35" t="s">
        <v>571</v>
      </c>
      <c r="KM13">
        <f>IF(Sheet!KM13="Совсем нет/Not at all",1,IF(Sheet!KN13="Немного/A little",2,IF(Sheet!KO13="Довольно сильно/Quite a bit",3,IF(Sheet!KP13="Очень сильно/Extremely",4,""))))</f>
        <v>2</v>
      </c>
      <c r="KN13" s="35" t="s">
        <v>571</v>
      </c>
      <c r="KQ13">
        <f>IF(Sheet!KQ13="Совсем нет/Not at all",1,IF(Sheet!KR13="Немного/A little",2,IF(Sheet!KS13="Довольно сильно/Quite a bit",3,IF(Sheet!KT13="Очень сильно/Extremely",4,""))))</f>
        <v>1</v>
      </c>
      <c r="KR13" s="35" t="s">
        <v>571</v>
      </c>
    </row>
    <row r="14" spans="1:306" ht="16.350000000000001">
      <c r="A14" t="str">
        <f>Sheet!A14</f>
        <v>PD001</v>
      </c>
      <c r="GW14" s="27">
        <f>SUM(GY14,HC14,HG14,HK14,HO14,HS14,HW14,IA14,IE14,II14,IM14,IQ14,IU14,IY14,JC14,JG14,JK14,JO14,JS14,JW14,KA14,KE14,KI14,KM14,KQ14)/25</f>
        <v>1.24</v>
      </c>
      <c r="GY14">
        <f>IF(Sheet!GY14="Совсем нет/Not at all",1,IF(Sheet!GZ14="Немного/A little",2,IF(Sheet!HA14="Довольно сильно/Quite a bit",3,IF(Sheet!HB14="Очень сильно/Extremely",4,""))))</f>
        <v>1</v>
      </c>
      <c r="GZ14" s="36">
        <f>COUNTIF(GY$3:GY$69,"=4")</f>
        <v>2</v>
      </c>
      <c r="HC14">
        <f>IF(Sheet!HC14="Совсем нет/Not at all",1,IF(Sheet!HD14="Немного/A little",2,IF(Sheet!HE14="Довольно сильно/Quite a bit",3,IF(Sheet!HF14="Очень сильно/Extremely",4,""))))</f>
        <v>2</v>
      </c>
      <c r="HD14" s="36">
        <f>COUNTIF(HC$3:HC$69,"=4")</f>
        <v>2</v>
      </c>
      <c r="HG14">
        <f>IF(Sheet!HG14="Совсем нет/Not at all",1,IF(Sheet!HH14="Немного/A little",2,IF(Sheet!HI14="Довольно сильно/Quite a bit",3,IF(Sheet!HJ14="Очень сильно/Extremely",4,""))))</f>
        <v>1</v>
      </c>
      <c r="HH14" s="36">
        <f>COUNTIF(HG$3:HG$69,"=4")</f>
        <v>2</v>
      </c>
      <c r="HK14">
        <f>IF(Sheet!HK14="Совсем нет/Not at all",1,IF(Sheet!HL14="Немного/A little",2,IF(Sheet!HM14="Довольно сильно/Quite a bit",3,IF(Sheet!HN14="Очень сильно/Extremely",4,""))))</f>
        <v>2</v>
      </c>
      <c r="HL14" s="36">
        <f>COUNTIF(HK$3:HK$69,"=4")</f>
        <v>8</v>
      </c>
      <c r="HO14">
        <f>IF(Sheet!HO14="Совсем нет/Not at all",1,IF(Sheet!HP14="Немного/A little",2,IF(Sheet!HQ14="Довольно сильно/Quite a bit",3,IF(Sheet!HR14="Очень сильно/Extremely",4,""))))</f>
        <v>1</v>
      </c>
      <c r="HP14" s="36">
        <f>COUNTIF(HO$3:HO$69,"=4")</f>
        <v>9</v>
      </c>
      <c r="HS14">
        <f>IF(Sheet!HS14="Совсем нет/Not at all",1,IF(Sheet!HT14="Немного/A little",2,IF(Sheet!HU14="Довольно сильно/Quite a bit",3,IF(Sheet!HV14="Очень сильно/Extremely",4,""))))</f>
        <v>1</v>
      </c>
      <c r="HT14" s="36">
        <f>COUNTIF(HS$3:HS$69,"=4")</f>
        <v>10</v>
      </c>
      <c r="HW14">
        <f>IF(Sheet!HW14="Совсем нет/Not at all",1,IF(Sheet!HX14="Немного/A little",2,IF(Sheet!HY14="Довольно сильно/Quite a bit",3,IF(Sheet!HZ14="Очень сильно/Extremely",4,""))))</f>
        <v>1</v>
      </c>
      <c r="HX14" s="36">
        <f>COUNTIF(HW$3:HW$69,"=4")</f>
        <v>13</v>
      </c>
      <c r="IA14">
        <f>IF(Sheet!IA14="Совсем нет/Not at all",1,IF(Sheet!IB14="Немного/A little",2,IF(Sheet!IC14="Довольно сильно/Quite a bit",3,IF(Sheet!ID14="Очень сильно/Extremely",4,""))))</f>
        <v>3</v>
      </c>
      <c r="IB14" s="36">
        <f>COUNTIF(IA$3:IA$69,"=4")</f>
        <v>14</v>
      </c>
      <c r="IE14">
        <f>IF(Sheet!IE14="Совсем нет/Not at all",1,IF(Sheet!IF14="Немного/A little",2,IF(Sheet!IG14="Довольно сильно/Quite a bit",3,IF(Sheet!IH14="Очень сильно/Extremely",4,""))))</f>
        <v>2</v>
      </c>
      <c r="IF14" s="36">
        <f>COUNTIF(IE$3:IE$69,"=4")</f>
        <v>11</v>
      </c>
      <c r="II14">
        <f>IF(Sheet!II14="Совсем нет/Not at all",1,IF(Sheet!IJ14="Немного/A little",2,IF(Sheet!IK14="Довольно сильно/Quite a bit",3,IF(Sheet!IL14="Очень сильно/Extremely",4,""))))</f>
        <v>1</v>
      </c>
      <c r="IJ14" s="36">
        <f>COUNTIF(II$3:II$69,"=4")</f>
        <v>13</v>
      </c>
      <c r="IM14">
        <f>IF(Sheet!IM14="Совсем нет/Not at all",1,IF(Sheet!IN14="Немного/A little",2,IF(Sheet!IO14="Довольно сильно/Quite a bit",3,IF(Sheet!IP14="Очень сильно/Extremely",4,""))))</f>
        <v>1</v>
      </c>
      <c r="IN14" s="36">
        <f>COUNTIF(IM$3:IM$69,"=4")</f>
        <v>7</v>
      </c>
      <c r="IQ14">
        <f>IF(Sheet!IQ14="Совсем нет/Not at all",1,IF(Sheet!IR14="Немного/A little",2,IF(Sheet!IS14="Довольно сильно/Quite a bit ",3,IF(Sheet!IT14="Очень сильно/Extremely ",4,""))))</f>
        <v>1</v>
      </c>
      <c r="IR14" s="36">
        <f>COUNTIF(IQ$3:IQ$69,"=4")</f>
        <v>2</v>
      </c>
      <c r="IU14">
        <f>IF(Sheet!IU14="Совсем нет/Not at all",1,IF(Sheet!IV14="Немного/A little",2,IF(Sheet!IW14="Довольно сильно/Quite a bit ",3,IF(Sheet!IX14="Очень сильно/Extremely ",4,""))))</f>
        <v>1</v>
      </c>
      <c r="IV14" s="36">
        <f>COUNTIF(IU$3:IU$69,"=4")</f>
        <v>8</v>
      </c>
      <c r="IY14">
        <f>IF(Sheet!IY14="Совсем нет/Not at all",1,IF(Sheet!IZ14="Немного/A little",2,IF(Sheet!JA14="Довольно сильно/Quite a bit ",3,IF(Sheet!JB14="Очень сильно/Extremely ",4,""))))</f>
        <v>1</v>
      </c>
      <c r="IZ14" s="36">
        <f>COUNTIF(IY$3:IY$69,"=4")</f>
        <v>17</v>
      </c>
      <c r="JC14">
        <f>IF(Sheet!JC14="Совсем нет/Not at all",1,IF(Sheet!JD14="Немного/A little",2,IF(Sheet!JE14="Довольно сильно/Quite a bit ",3,IF(Sheet!JF14="Очень сильно/Extremely ",4,""))))</f>
        <v>1</v>
      </c>
      <c r="JD14" s="36">
        <f>COUNTIF(JC$3:JC$69,"=4")</f>
        <v>3</v>
      </c>
      <c r="JG14">
        <f>IF(Sheet!JG14="Совсем нет/Not at all",1,IF(Sheet!JH14="Немного/A little",2,IF(Sheet!JI14="Довольно сильно/Quite a bit ",3,IF(Sheet!JJ14="Очень сильно/Extremely ",4,""))))</f>
        <v>1</v>
      </c>
      <c r="JH14" s="36">
        <f>COUNTIF(JG$3:JG$69,"=4")</f>
        <v>5</v>
      </c>
      <c r="JK14">
        <f>IF(Sheet!JK14="Совсем нет/Not at all",1,IF(Sheet!JL14="Немного/A little",2,IF(Sheet!JM14="Довольно сильно/Quite a bit ",3,IF(Sheet!JN14="Очень сильно/Extremely ",4,""))))</f>
        <v>1</v>
      </c>
      <c r="JL14" s="36">
        <f>COUNTIF(JK$3:JK$69,"=4")</f>
        <v>7</v>
      </c>
      <c r="JO14">
        <f>IF(Sheet!JO14="Совсем нет/Not at all",1,IF(Sheet!JP14="Немного/A little",2,IF(Sheet!JQ14="Довольно сильно/Quite a bit",3,IF(Sheet!JR14="Очень сильно/Extremely",4,""))))</f>
        <v>1</v>
      </c>
      <c r="JP14" s="36">
        <f>COUNTIF(JO$3:JO$69,"=4")</f>
        <v>0</v>
      </c>
      <c r="JS14">
        <f>IF(Sheet!JS14="Совсем нет/Not at all",1,IF(Sheet!JT14="Немного/A little",2,IF(Sheet!JU14="Довольно сильно/Quite a bit",3,IF(Sheet!JV14="Очень сильно/Extremely",4,""))))</f>
        <v>2</v>
      </c>
      <c r="JT14" s="36">
        <f>COUNTIF(JS$3:JS$69,"=4")</f>
        <v>1</v>
      </c>
      <c r="JW14">
        <f>IF(Sheet!JW14="Совсем нет/Not at all",1,IF(Sheet!JX14="Немного/A little",2,IF(Sheet!JY14="Довольно сильно/Quite a bit",3,IF(Sheet!JZ14="Очень сильно/Extremely",4,""))))</f>
        <v>1</v>
      </c>
      <c r="JX14" s="36">
        <f>COUNTIF(JW$3:JW$69,"=4")</f>
        <v>5</v>
      </c>
      <c r="KA14">
        <f>IF(Sheet!KA14="Совсем нет/Not at all",1,IF(Sheet!KB14="Немного/A little",2,IF(Sheet!KC14="Довольно сильно/Quite a bit",3,IF(Sheet!KD14="Очень сильно/Extremely",4,""))))</f>
        <v>1</v>
      </c>
      <c r="KB14" s="36">
        <f>COUNTIF(KA$3:KA$69,"=4")</f>
        <v>13</v>
      </c>
      <c r="KE14">
        <f>IF(Sheet!KE14="Совсем нет/Not at all",1,IF(Sheet!KF14="Немного/A little",2,IF(Sheet!KG14="Довольно сильно/Quite a bit",3,IF(Sheet!KH14="Очень сильно/Extremely",4,""))))</f>
        <v>1</v>
      </c>
      <c r="KF14" s="36">
        <f>COUNTIF(KE$3:KE$69,"=4")</f>
        <v>5</v>
      </c>
      <c r="KI14">
        <f>IF(Sheet!KI14="Совсем нет/Not at all",1,IF(Sheet!KJ14="Немного/A little",2,IF(Sheet!KK14="Довольно сильно/Quite a bit",3,IF(Sheet!KL14="Очень сильно/Extremely",4,""))))</f>
        <v>1</v>
      </c>
      <c r="KJ14" s="36">
        <f>COUNTIF(KI$3:KI$69,"=4")</f>
        <v>8</v>
      </c>
      <c r="KM14">
        <f>IF(Sheet!KM14="Совсем нет/Not at all",1,IF(Sheet!KN14="Немного/A little",2,IF(Sheet!KO14="Довольно сильно/Quite a bit",3,IF(Sheet!KP14="Очень сильно/Extremely",4,""))))</f>
        <v>1</v>
      </c>
      <c r="KN14" s="36">
        <f>COUNTIF(KM$3:KM$69,"=4")</f>
        <v>4</v>
      </c>
      <c r="KQ14">
        <f>IF(Sheet!KQ14="Совсем нет/Not at all",1,IF(Sheet!KR14="Немного/A little",2,IF(Sheet!KS14="Довольно сильно/Quite a bit",3,IF(Sheet!KT14="Очень сильно/Extremely",4,""))))</f>
        <v>1</v>
      </c>
      <c r="KR14" s="36">
        <f>COUNTIF(KQ$3:KQ$69,"=4")</f>
        <v>2</v>
      </c>
    </row>
    <row r="15" spans="1:306" ht="16.350000000000001">
      <c r="A15" t="str">
        <f>Sheet!A15</f>
        <v>CI002</v>
      </c>
      <c r="GW15" s="27">
        <f>SUM(GY15,HC15,HG15,HK15,HO15,HS15,HW15,IA15,IE15,II15,IM15,IQ15,IU15,IY15,JC15,JG15,JK15,JO15,JS15,JW15,KA15,KE15,KI15,KM15,KQ15)/25</f>
        <v>1.1599999999999999</v>
      </c>
      <c r="GY15">
        <f>IF(Sheet!GY15="Совсем нет/Not at all",1,IF(Sheet!GZ15="Немного/A little",2,IF(Sheet!HA15="Довольно сильно/Quite a bit",3,IF(Sheet!HB15="Очень сильно/Extremely",4,""))))</f>
        <v>1</v>
      </c>
      <c r="GZ15" s="37">
        <f>GZ14/65</f>
        <v>3.0769230769230771E-2</v>
      </c>
      <c r="HC15">
        <f>IF(Sheet!HC15="Совсем нет/Not at all",1,IF(Sheet!HD15="Немного/A little",2,IF(Sheet!HE15="Довольно сильно/Quite a bit",3,IF(Sheet!HF15="Очень сильно/Extremely",4,""))))</f>
        <v>1</v>
      </c>
      <c r="HD15" s="37">
        <f>HD14/65</f>
        <v>3.0769230769230771E-2</v>
      </c>
      <c r="HG15">
        <f>IF(Sheet!HG15="Совсем нет/Not at all",1,IF(Sheet!HH15="Немного/A little",2,IF(Sheet!HI15="Довольно сильно/Quite a bit",3,IF(Sheet!HJ15="Очень сильно/Extremely",4,""))))</f>
        <v>1</v>
      </c>
      <c r="HH15" s="37">
        <f>HH14/65</f>
        <v>3.0769230769230771E-2</v>
      </c>
      <c r="HK15">
        <f>IF(Sheet!HK15="Совсем нет/Not at all",1,IF(Sheet!HL15="Немного/A little",2,IF(Sheet!HM15="Довольно сильно/Quite a bit",3,IF(Sheet!HN15="Очень сильно/Extremely",4,""))))</f>
        <v>1</v>
      </c>
      <c r="HL15" s="37">
        <f>HL14/65</f>
        <v>0.12307692307692308</v>
      </c>
      <c r="HO15">
        <f>IF(Sheet!HO15="Совсем нет/Not at all",1,IF(Sheet!HP15="Немного/A little",2,IF(Sheet!HQ15="Довольно сильно/Quite a bit",3,IF(Sheet!HR15="Очень сильно/Extremely",4,""))))</f>
        <v>1</v>
      </c>
      <c r="HP15" s="37">
        <f>HP14/65</f>
        <v>0.13846153846153847</v>
      </c>
      <c r="HS15">
        <f>IF(Sheet!HS15="Совсем нет/Not at all",1,IF(Sheet!HT15="Немного/A little",2,IF(Sheet!HU15="Довольно сильно/Quite a bit",3,IF(Sheet!HV15="Очень сильно/Extremely",4,""))))</f>
        <v>1</v>
      </c>
      <c r="HT15" s="37">
        <f>HT14/65</f>
        <v>0.15384615384615385</v>
      </c>
      <c r="HW15">
        <f>IF(Sheet!HW15="Совсем нет/Not at all",1,IF(Sheet!HX15="Немного/A little",2,IF(Sheet!HY15="Довольно сильно/Quite a bit",3,IF(Sheet!HZ15="Очень сильно/Extremely",4,""))))</f>
        <v>2</v>
      </c>
      <c r="HX15" s="38">
        <f>HX14/65</f>
        <v>0.2</v>
      </c>
      <c r="IA15">
        <f>IF(Sheet!IA15="Совсем нет/Not at all",1,IF(Sheet!IB15="Немного/A little",2,IF(Sheet!IC15="Довольно сильно/Quite a bit",3,IF(Sheet!ID15="Очень сильно/Extremely",4,""))))</f>
        <v>1</v>
      </c>
      <c r="IB15" s="38">
        <f>IB14/65</f>
        <v>0.2153846153846154</v>
      </c>
      <c r="IE15">
        <f>IF(Sheet!IE15="Совсем нет/Not at all",1,IF(Sheet!IF15="Немного/A little",2,IF(Sheet!IG15="Довольно сильно/Quite a bit",3,IF(Sheet!IH15="Очень сильно/Extremely",4,""))))</f>
        <v>2</v>
      </c>
      <c r="IF15" s="37">
        <f>IF14/65</f>
        <v>0.16923076923076924</v>
      </c>
      <c r="II15">
        <f>IF(Sheet!II15="Совсем нет/Not at all",1,IF(Sheet!IJ15="Немного/A little",2,IF(Sheet!IK15="Довольно сильно/Quite a bit",3,IF(Sheet!IL15="Очень сильно/Extremely",4,""))))</f>
        <v>2</v>
      </c>
      <c r="IJ15" s="38">
        <f>IJ14/65</f>
        <v>0.2</v>
      </c>
      <c r="IM15">
        <f>IF(Sheet!IM15="Совсем нет/Not at all",1,IF(Sheet!IN15="Немного/A little",2,IF(Sheet!IO15="Довольно сильно/Quite a bit",3,IF(Sheet!IP15="Очень сильно/Extremely",4,""))))</f>
        <v>1</v>
      </c>
      <c r="IN15" s="37">
        <f>IN14/65</f>
        <v>0.1076923076923077</v>
      </c>
      <c r="IQ15">
        <f>IF(Sheet!IQ15="Совсем нет/Not at all",1,IF(Sheet!IR15="Немного/A little",2,IF(Sheet!IS15="Довольно сильно/Quite a bit ",3,IF(Sheet!IT15="Очень сильно/Extremely ",4,""))))</f>
        <v>1</v>
      </c>
      <c r="IR15" s="37">
        <f>IR14/65</f>
        <v>3.0769230769230771E-2</v>
      </c>
      <c r="IU15">
        <f>IF(Sheet!IU15="Совсем нет/Not at all",1,IF(Sheet!IV15="Немного/A little",2,IF(Sheet!IW15="Довольно сильно/Quite a bit ",3,IF(Sheet!IX15="Очень сильно/Extremely ",4,""))))</f>
        <v>1</v>
      </c>
      <c r="IV15" s="37">
        <f>IV14/65</f>
        <v>0.12307692307692308</v>
      </c>
      <c r="IY15">
        <f>IF(Sheet!IY15="Совсем нет/Not at all",1,IF(Sheet!IZ15="Немного/A little",2,IF(Sheet!JA15="Довольно сильно/Quite a bit ",3,IF(Sheet!JB15="Очень сильно/Extremely ",4,""))))</f>
        <v>1</v>
      </c>
      <c r="IZ15" s="38">
        <f>IZ14/65</f>
        <v>0.26153846153846155</v>
      </c>
      <c r="JC15">
        <f>IF(Sheet!JC15="Совсем нет/Not at all",1,IF(Sheet!JD15="Немного/A little",2,IF(Sheet!JE15="Довольно сильно/Quite a bit ",3,IF(Sheet!JF15="Очень сильно/Extremely ",4,""))))</f>
        <v>1</v>
      </c>
      <c r="JD15" s="37">
        <f>JD14/65</f>
        <v>4.6153846153846156E-2</v>
      </c>
      <c r="JG15">
        <f>IF(Sheet!JG15="Совсем нет/Not at all",1,IF(Sheet!JH15="Немного/A little",2,IF(Sheet!JI15="Довольно сильно/Quite a bit ",3,IF(Sheet!JJ15="Очень сильно/Extremely ",4,""))))</f>
        <v>1</v>
      </c>
      <c r="JH15" s="37">
        <f>JH14/65</f>
        <v>7.6923076923076927E-2</v>
      </c>
      <c r="JK15">
        <f>IF(Sheet!JK15="Совсем нет/Not at all",1,IF(Sheet!JL15="Немного/A little",2,IF(Sheet!JM15="Довольно сильно/Quite a bit ",3,IF(Sheet!JN15="Очень сильно/Extremely ",4,""))))</f>
        <v>1</v>
      </c>
      <c r="JL15" s="37">
        <f>JL14/65</f>
        <v>0.1076923076923077</v>
      </c>
      <c r="JO15">
        <f>IF(Sheet!JO15="Совсем нет/Not at all",1,IF(Sheet!JP15="Немного/A little",2,IF(Sheet!JQ15="Довольно сильно/Quite a bit",3,IF(Sheet!JR15="Очень сильно/Extremely",4,""))))</f>
        <v>1</v>
      </c>
      <c r="JP15" s="37">
        <f>JP14/65</f>
        <v>0</v>
      </c>
      <c r="JS15">
        <f>IF(Sheet!JS15="Совсем нет/Not at all",1,IF(Sheet!JT15="Немного/A little",2,IF(Sheet!JU15="Довольно сильно/Quite a bit",3,IF(Sheet!JV15="Очень сильно/Extremely",4,""))))</f>
        <v>1</v>
      </c>
      <c r="JT15" s="37">
        <f>JT14/65</f>
        <v>1.5384615384615385E-2</v>
      </c>
      <c r="JW15">
        <f>IF(Sheet!JW15="Совсем нет/Not at all",1,IF(Sheet!JX15="Немного/A little",2,IF(Sheet!JY15="Довольно сильно/Quite a bit",3,IF(Sheet!JZ15="Очень сильно/Extremely",4,""))))</f>
        <v>1</v>
      </c>
      <c r="JX15" s="37">
        <f>JX14/65</f>
        <v>7.6923076923076927E-2</v>
      </c>
      <c r="KA15">
        <f>IF(Sheet!KA15="Совсем нет/Not at all",1,IF(Sheet!KB15="Немного/A little",2,IF(Sheet!KC15="Довольно сильно/Quite a bit",3,IF(Sheet!KD15="Очень сильно/Extremely",4,""))))</f>
        <v>1</v>
      </c>
      <c r="KB15" s="38">
        <f>KB14/65</f>
        <v>0.2</v>
      </c>
      <c r="KE15">
        <f>IF(Sheet!KE15="Совсем нет/Not at all",1,IF(Sheet!KF15="Немного/A little",2,IF(Sheet!KG15="Довольно сильно/Quite a bit",3,IF(Sheet!KH15="Очень сильно/Extremely",4,""))))</f>
        <v>2</v>
      </c>
      <c r="KF15" s="37">
        <f>KF14/65</f>
        <v>7.6923076923076927E-2</v>
      </c>
      <c r="KI15">
        <f>IF(Sheet!KI15="Совсем нет/Not at all",1,IF(Sheet!KJ15="Немного/A little",2,IF(Sheet!KK15="Довольно сильно/Quite a bit",3,IF(Sheet!KL15="Очень сильно/Extremely",4,""))))</f>
        <v>1</v>
      </c>
      <c r="KJ15" s="37">
        <f>KJ14/65</f>
        <v>0.12307692307692308</v>
      </c>
      <c r="KM15">
        <f>IF(Sheet!KM15="Совсем нет/Not at all",1,IF(Sheet!KN15="Немного/A little",2,IF(Sheet!KO15="Довольно сильно/Quite a bit",3,IF(Sheet!KP15="Очень сильно/Extremely",4,""))))</f>
        <v>1</v>
      </c>
      <c r="KN15" s="37">
        <f>KN14/65</f>
        <v>6.1538461538461542E-2</v>
      </c>
      <c r="KQ15">
        <f>IF(Sheet!KQ15="Совсем нет/Not at all",1,IF(Sheet!KR15="Немного/A little",2,IF(Sheet!KS15="Довольно сильно/Quite a bit",3,IF(Sheet!KT15="Очень сильно/Extremely",4,""))))</f>
        <v>1</v>
      </c>
      <c r="KR15" s="37">
        <f>KR14/65</f>
        <v>3.0769230769230771E-2</v>
      </c>
    </row>
    <row r="16" spans="1:306">
      <c r="A16" t="str">
        <f>Sheet!A16</f>
        <v>YC001</v>
      </c>
      <c r="GW16" s="27">
        <f>SUM(GY16,HC16,HG16,HK16,HO16,HS16,HW16,IA16,IE16,II16,IM16,IQ16,IU16,IY16,JC16,JG16,JK16,JO16,JS16,JW16,KA16,KE16,KI16,KM16,KQ16)/25</f>
        <v>1.68</v>
      </c>
      <c r="GY16">
        <f>IF(Sheet!GY16="Совсем нет/Not at all",1,IF(Sheet!GZ16="Немного/A little",2,IF(Sheet!HA16="Довольно сильно/Quite a bit",3,IF(Sheet!HB16="Очень сильно/Extremely",4,""))))</f>
        <v>2</v>
      </c>
      <c r="HC16">
        <f>IF(Sheet!HC16="Совсем нет/Not at all",1,IF(Sheet!HD16="Немного/A little",2,IF(Sheet!HE16="Довольно сильно/Quite a bit",3,IF(Sheet!HF16="Очень сильно/Extremely",4,""))))</f>
        <v>2</v>
      </c>
      <c r="HG16">
        <f>IF(Sheet!HG16="Совсем нет/Not at all",1,IF(Sheet!HH16="Немного/A little",2,IF(Sheet!HI16="Довольно сильно/Quite a bit",3,IF(Sheet!HJ16="Очень сильно/Extremely",4,""))))</f>
        <v>1</v>
      </c>
      <c r="HK16">
        <f>IF(Sheet!HK16="Совсем нет/Not at all",1,IF(Sheet!HL16="Немного/A little",2,IF(Sheet!HM16="Довольно сильно/Quite a bit",3,IF(Sheet!HN16="Очень сильно/Extremely",4,""))))</f>
        <v>2</v>
      </c>
      <c r="HO16">
        <f>IF(Sheet!HO16="Совсем нет/Not at all",1,IF(Sheet!HP16="Немного/A little",2,IF(Sheet!HQ16="Довольно сильно/Quite a bit",3,IF(Sheet!HR16="Очень сильно/Extremely",4,""))))</f>
        <v>1</v>
      </c>
      <c r="HS16">
        <f>IF(Sheet!HS16="Совсем нет/Not at all",1,IF(Sheet!HT16="Немного/A little",2,IF(Sheet!HU16="Довольно сильно/Quite a bit",3,IF(Sheet!HV16="Очень сильно/Extremely",4,""))))</f>
        <v>2</v>
      </c>
      <c r="HW16">
        <f>IF(Sheet!HW16="Совсем нет/Not at all",1,IF(Sheet!HX16="Немного/A little",2,IF(Sheet!HY16="Довольно сильно/Quite a bit",3,IF(Sheet!HZ16="Очень сильно/Extremely",4,""))))</f>
        <v>2</v>
      </c>
      <c r="IA16">
        <f>IF(Sheet!IA16="Совсем нет/Not at all",1,IF(Sheet!IB16="Немного/A little",2,IF(Sheet!IC16="Довольно сильно/Quite a bit",3,IF(Sheet!ID16="Очень сильно/Extremely",4,""))))</f>
        <v>4</v>
      </c>
      <c r="IE16">
        <f>IF(Sheet!IE16="Совсем нет/Not at all",1,IF(Sheet!IF16="Немного/A little",2,IF(Sheet!IG16="Довольно сильно/Quite a bit",3,IF(Sheet!IH16="Очень сильно/Extremely",4,""))))</f>
        <v>2</v>
      </c>
      <c r="II16">
        <f>IF(Sheet!II16="Совсем нет/Not at all",1,IF(Sheet!IJ16="Немного/A little",2,IF(Sheet!IK16="Довольно сильно/Quite a bit",3,IF(Sheet!IL16="Очень сильно/Extremely",4,""))))</f>
        <v>2</v>
      </c>
      <c r="IM16">
        <f>IF(Sheet!IM16="Совсем нет/Not at all",1,IF(Sheet!IN16="Немного/A little",2,IF(Sheet!IO16="Довольно сильно/Quite a bit",3,IF(Sheet!IP16="Очень сильно/Extremely",4,""))))</f>
        <v>1</v>
      </c>
      <c r="IQ16">
        <f>IF(Sheet!IQ16="Совсем нет/Not at all",1,IF(Sheet!IR16="Немного/A little",2,IF(Sheet!IS16="Довольно сильно/Quite a bit ",3,IF(Sheet!IT16="Очень сильно/Extremely ",4,""))))</f>
        <v>1</v>
      </c>
      <c r="IU16">
        <f>IF(Sheet!IU16="Совсем нет/Not at all",1,IF(Sheet!IV16="Немного/A little",2,IF(Sheet!IW16="Довольно сильно/Quite a bit ",3,IF(Sheet!IX16="Очень сильно/Extremely ",4,""))))</f>
        <v>2</v>
      </c>
      <c r="IY16">
        <f>IF(Sheet!IY16="Совсем нет/Not at all",1,IF(Sheet!IZ16="Немного/A little",2,IF(Sheet!JA16="Довольно сильно/Quite a bit ",3,IF(Sheet!JB16="Очень сильно/Extremely ",4,""))))</f>
        <v>1</v>
      </c>
      <c r="JC16">
        <f>IF(Sheet!JC16="Совсем нет/Not at all",1,IF(Sheet!JD16="Немного/A little",2,IF(Sheet!JE16="Довольно сильно/Quite a bit ",3,IF(Sheet!JF16="Очень сильно/Extremely ",4,""))))</f>
        <v>1</v>
      </c>
      <c r="JG16">
        <f>IF(Sheet!JG16="Совсем нет/Not at all",1,IF(Sheet!JH16="Немного/A little",2,IF(Sheet!JI16="Довольно сильно/Quite a bit ",3,IF(Sheet!JJ16="Очень сильно/Extremely ",4,""))))</f>
        <v>3</v>
      </c>
      <c r="JK16">
        <f>IF(Sheet!JK16="Совсем нет/Not at all",1,IF(Sheet!JL16="Немного/A little",2,IF(Sheet!JM16="Довольно сильно/Quite a bit ",3,IF(Sheet!JN16="Очень сильно/Extremely ",4,""))))</f>
        <v>2</v>
      </c>
      <c r="JO16">
        <f>IF(Sheet!JO16="Совсем нет/Not at all",1,IF(Sheet!JP16="Немного/A little",2,IF(Sheet!JQ16="Довольно сильно/Quite a bit",3,IF(Sheet!JR16="Очень сильно/Extremely",4,""))))</f>
        <v>1</v>
      </c>
      <c r="JS16">
        <f>IF(Sheet!JS16="Совсем нет/Not at all",1,IF(Sheet!JT16="Немного/A little",2,IF(Sheet!JU16="Довольно сильно/Quite a bit",3,IF(Sheet!JV16="Очень сильно/Extremely",4,""))))</f>
        <v>1</v>
      </c>
      <c r="JW16">
        <f>IF(Sheet!JW16="Совсем нет/Not at all",1,IF(Sheet!JX16="Немного/A little",2,IF(Sheet!JY16="Довольно сильно/Quite a bit",3,IF(Sheet!JZ16="Очень сильно/Extremely",4,""))))</f>
        <v>3</v>
      </c>
      <c r="KA16">
        <f>IF(Sheet!KA16="Совсем нет/Not at all",1,IF(Sheet!KB16="Немного/A little",2,IF(Sheet!KC16="Довольно сильно/Quite a bit",3,IF(Sheet!KD16="Очень сильно/Extremely",4,""))))</f>
        <v>2</v>
      </c>
      <c r="KE16">
        <f>IF(Sheet!KE16="Совсем нет/Not at all",1,IF(Sheet!KF16="Немного/A little",2,IF(Sheet!KG16="Довольно сильно/Quite a bit",3,IF(Sheet!KH16="Очень сильно/Extremely",4,""))))</f>
        <v>1</v>
      </c>
      <c r="KI16">
        <f>IF(Sheet!KI16="Совсем нет/Not at all",1,IF(Sheet!KJ16="Немного/A little",2,IF(Sheet!KK16="Довольно сильно/Quite a bit",3,IF(Sheet!KL16="Очень сильно/Extremely",4,""))))</f>
        <v>1</v>
      </c>
      <c r="KM16">
        <f>IF(Sheet!KM16="Совсем нет/Not at all",1,IF(Sheet!KN16="Немного/A little",2,IF(Sheet!KO16="Довольно сильно/Quite a bit",3,IF(Sheet!KP16="Очень сильно/Extremely",4,""))))</f>
        <v>1</v>
      </c>
      <c r="KQ16">
        <f>IF(Sheet!KQ16="Совсем нет/Not at all",1,IF(Sheet!KR16="Немного/A little",2,IF(Sheet!KS16="Довольно сильно/Quite a bit",3,IF(Sheet!KT16="Очень сильно/Extremely",4,""))))</f>
        <v>1</v>
      </c>
    </row>
    <row r="17" spans="1:303">
      <c r="A17" t="str">
        <f>Sheet!A17</f>
        <v>FG001</v>
      </c>
      <c r="GW17" s="27">
        <f>SUM(GY17,HC17,HG17,HK17,HO17,HS17,HW17,IA17,IE17,II17,IM17,IQ17,IU17,IY17,JC17,JG17,JK17,JO17,JS17,JW17,KA17,KE17,KI17,KM17,KQ17)/25</f>
        <v>2.52</v>
      </c>
      <c r="GY17">
        <f>IF(Sheet!GY17="Совсем нет/Not at all",1,IF(Sheet!GZ17="Немного/A little",2,IF(Sheet!HA17="Довольно сильно/Quite a bit",3,IF(Sheet!HB17="Очень сильно/Extremely",4,""))))</f>
        <v>2</v>
      </c>
      <c r="HC17">
        <f>IF(Sheet!HC17="Совсем нет/Not at all",1,IF(Sheet!HD17="Немного/A little",2,IF(Sheet!HE17="Довольно сильно/Quite a bit",3,IF(Sheet!HF17="Очень сильно/Extremely",4,""))))</f>
        <v>2</v>
      </c>
      <c r="HG17">
        <f>IF(Sheet!HG17="Совсем нет/Not at all",1,IF(Sheet!HH17="Немного/A little",2,IF(Sheet!HI17="Довольно сильно/Quite a bit",3,IF(Sheet!HJ17="Очень сильно/Extremely",4,""))))</f>
        <v>1</v>
      </c>
      <c r="HK17">
        <f>IF(Sheet!HK17="Совсем нет/Not at all",1,IF(Sheet!HL17="Немного/A little",2,IF(Sheet!HM17="Довольно сильно/Quite a bit",3,IF(Sheet!HN17="Очень сильно/Extremely",4,""))))</f>
        <v>3</v>
      </c>
      <c r="HO17">
        <f>IF(Sheet!HO17="Совсем нет/Not at all",1,IF(Sheet!HP17="Немного/A little",2,IF(Sheet!HQ17="Довольно сильно/Quite a bit",3,IF(Sheet!HR17="Очень сильно/Extremely",4,""))))</f>
        <v>3</v>
      </c>
      <c r="HS17">
        <f>IF(Sheet!HS17="Совсем нет/Not at all",1,IF(Sheet!HT17="Немного/A little",2,IF(Sheet!HU17="Довольно сильно/Quite a bit",3,IF(Sheet!HV17="Очень сильно/Extremely",4,""))))</f>
        <v>3</v>
      </c>
      <c r="HW17">
        <f>IF(Sheet!HW17="Совсем нет/Not at all",1,IF(Sheet!HX17="Немного/A little",2,IF(Sheet!HY17="Довольно сильно/Quite a bit",3,IF(Sheet!HZ17="Очень сильно/Extremely",4,""))))</f>
        <v>4</v>
      </c>
      <c r="IA17">
        <f>IF(Sheet!IA17="Совсем нет/Not at all",1,IF(Sheet!IB17="Немного/A little",2,IF(Sheet!IC17="Довольно сильно/Quite a bit",3,IF(Sheet!ID17="Очень сильно/Extremely",4,""))))</f>
        <v>4</v>
      </c>
      <c r="IE17">
        <f>IF(Sheet!IE17="Совсем нет/Not at all",1,IF(Sheet!IF17="Немного/A little",2,IF(Sheet!IG17="Довольно сильно/Quite a bit",3,IF(Sheet!IH17="Очень сильно/Extremely",4,""))))</f>
        <v>3</v>
      </c>
      <c r="II17">
        <f>IF(Sheet!II17="Совсем нет/Not at all",1,IF(Sheet!IJ17="Немного/A little",2,IF(Sheet!IK17="Довольно сильно/Quite a bit",3,IF(Sheet!IL17="Очень сильно/Extremely",4,""))))</f>
        <v>4</v>
      </c>
      <c r="IM17">
        <f>IF(Sheet!IM17="Совсем нет/Not at all",1,IF(Sheet!IN17="Немного/A little",2,IF(Sheet!IO17="Довольно сильно/Quite a bit",3,IF(Sheet!IP17="Очень сильно/Extremely",4,""))))</f>
        <v>3</v>
      </c>
      <c r="IQ17">
        <f>IF(Sheet!IQ17="Совсем нет/Not at all",1,IF(Sheet!IR17="Немного/A little",2,IF(Sheet!IS17="Довольно сильно/Quite a bit ",3,IF(Sheet!IT17="Очень сильно/Extremely ",4,""))))</f>
        <v>1</v>
      </c>
      <c r="IU17">
        <f>IF(Sheet!IU17="Совсем нет/Not at all",1,IF(Sheet!IV17="Немного/A little",2,IF(Sheet!IW17="Довольно сильно/Quite a bit ",3,IF(Sheet!IX17="Очень сильно/Extremely ",4,""))))</f>
        <v>2</v>
      </c>
      <c r="IY17">
        <f>IF(Sheet!IY17="Совсем нет/Not at all",1,IF(Sheet!IZ17="Немного/A little",2,IF(Sheet!JA17="Довольно сильно/Quite a bit ",3,IF(Sheet!JB17="Очень сильно/Extremely ",4,""))))</f>
        <v>4</v>
      </c>
      <c r="JC17">
        <f>IF(Sheet!JC17="Совсем нет/Not at all",1,IF(Sheet!JD17="Немного/A little",2,IF(Sheet!JE17="Довольно сильно/Quite a bit ",3,IF(Sheet!JF17="Очень сильно/Extremely ",4,""))))</f>
        <v>1</v>
      </c>
      <c r="JG17">
        <f>IF(Sheet!JG17="Совсем нет/Not at all",1,IF(Sheet!JH17="Немного/A little",2,IF(Sheet!JI17="Довольно сильно/Quite a bit ",3,IF(Sheet!JJ17="Очень сильно/Extremely ",4,""))))</f>
        <v>1</v>
      </c>
      <c r="JK17">
        <f>IF(Sheet!JK17="Совсем нет/Not at all",1,IF(Sheet!JL17="Немного/A little",2,IF(Sheet!JM17="Довольно сильно/Quite a bit ",3,IF(Sheet!JN17="Очень сильно/Extremely ",4,""))))</f>
        <v>2</v>
      </c>
      <c r="JO17" t="str">
        <f>IF(Sheet!JO17="Совсем нет/Not at all",1,IF(Sheet!JP17="Немного/A little",2,IF(Sheet!JQ17="Довольно сильно/Quite a bit",3,IF(Sheet!JR17="Очень сильно/Extremely",4,""))))</f>
        <v/>
      </c>
      <c r="JS17">
        <f>IF(Sheet!JS17="Совсем нет/Not at all",1,IF(Sheet!JT17="Немного/A little",2,IF(Sheet!JU17="Довольно сильно/Quite a bit",3,IF(Sheet!JV17="Очень сильно/Extremely",4,""))))</f>
        <v>3</v>
      </c>
      <c r="JW17">
        <f>IF(Sheet!JW17="Совсем нет/Not at all",1,IF(Sheet!JX17="Немного/A little",2,IF(Sheet!JY17="Довольно сильно/Quite a bit",3,IF(Sheet!JZ17="Очень сильно/Extremely",4,""))))</f>
        <v>3</v>
      </c>
      <c r="KA17">
        <f>IF(Sheet!KA17="Совсем нет/Not at all",1,IF(Sheet!KB17="Немного/A little",2,IF(Sheet!KC17="Довольно сильно/Quite a bit",3,IF(Sheet!KD17="Очень сильно/Extremely",4,""))))</f>
        <v>4</v>
      </c>
      <c r="KE17">
        <f>IF(Sheet!KE17="Совсем нет/Not at all",1,IF(Sheet!KF17="Немного/A little",2,IF(Sheet!KG17="Довольно сильно/Quite a bit",3,IF(Sheet!KH17="Очень сильно/Extremely",4,""))))</f>
        <v>4</v>
      </c>
      <c r="KI17">
        <f>IF(Sheet!KI17="Совсем нет/Not at all",1,IF(Sheet!KJ17="Немного/A little",2,IF(Sheet!KK17="Довольно сильно/Quite a bit",3,IF(Sheet!KL17="Очень сильно/Extremely",4,""))))</f>
        <v>4</v>
      </c>
      <c r="KM17">
        <f>IF(Sheet!KM17="Совсем нет/Not at all",1,IF(Sheet!KN17="Немного/A little",2,IF(Sheet!KO17="Довольно сильно/Quite a bit",3,IF(Sheet!KP17="Очень сильно/Extremely",4,""))))</f>
        <v>1</v>
      </c>
      <c r="KQ17">
        <f>IF(Sheet!KQ17="Совсем нет/Not at all",1,IF(Sheet!KR17="Немного/A little",2,IF(Sheet!KS17="Довольно сильно/Quite a bit",3,IF(Sheet!KT17="Очень сильно/Extremely",4,""))))</f>
        <v>1</v>
      </c>
    </row>
    <row r="18" spans="1:303">
      <c r="A18" t="str">
        <f>Sheet!A18</f>
        <v>GR001</v>
      </c>
      <c r="GW18" s="27">
        <f>SUM(GY18,HC18,HG18,HK18,HO18,HS18,HW18,IA18,IE18,II18,IM18,IQ18,IU18,IY18,JC18,JG18,JK18,JO18,JS18,JW18,KA18,KE18,KI18,KM18,KQ18)/25</f>
        <v>1.6</v>
      </c>
      <c r="GY18">
        <f>IF(Sheet!GY18="Совсем нет/Not at all",1,IF(Sheet!GZ18="Немного/A little",2,IF(Sheet!HA18="Довольно сильно/Quite a bit",3,IF(Sheet!HB18="Очень сильно/Extremely",4,""))))</f>
        <v>2</v>
      </c>
      <c r="HC18">
        <f>IF(Sheet!HC18="Совсем нет/Not at all",1,IF(Sheet!HD18="Немного/A little",2,IF(Sheet!HE18="Довольно сильно/Quite a bit",3,IF(Sheet!HF18="Очень сильно/Extremely",4,""))))</f>
        <v>2</v>
      </c>
      <c r="HG18">
        <f>IF(Sheet!HG18="Совсем нет/Not at all",1,IF(Sheet!HH18="Немного/A little",2,IF(Sheet!HI18="Довольно сильно/Quite a bit",3,IF(Sheet!HJ18="Очень сильно/Extremely",4,""))))</f>
        <v>1</v>
      </c>
      <c r="HK18">
        <f>IF(Sheet!HK18="Совсем нет/Not at all",1,IF(Sheet!HL18="Немного/A little",2,IF(Sheet!HM18="Довольно сильно/Quite a bit",3,IF(Sheet!HN18="Очень сильно/Extremely",4,""))))</f>
        <v>2</v>
      </c>
      <c r="HO18">
        <f>IF(Sheet!HO18="Совсем нет/Not at all",1,IF(Sheet!HP18="Немного/A little",2,IF(Sheet!HQ18="Довольно сильно/Quite a bit",3,IF(Sheet!HR18="Очень сильно/Extremely",4,""))))</f>
        <v>1</v>
      </c>
      <c r="HS18">
        <f>IF(Sheet!HS18="Совсем нет/Not at all",1,IF(Sheet!HT18="Немного/A little",2,IF(Sheet!HU18="Довольно сильно/Quite a bit",3,IF(Sheet!HV18="Очень сильно/Extremely",4,""))))</f>
        <v>2</v>
      </c>
      <c r="HW18">
        <f>IF(Sheet!HW18="Совсем нет/Not at all",1,IF(Sheet!HX18="Немного/A little",2,IF(Sheet!HY18="Довольно сильно/Quite a bit",3,IF(Sheet!HZ18="Очень сильно/Extremely",4,""))))</f>
        <v>2</v>
      </c>
      <c r="IA18">
        <f>IF(Sheet!IA18="Совсем нет/Not at all",1,IF(Sheet!IB18="Немного/A little",2,IF(Sheet!IC18="Довольно сильно/Quite a bit",3,IF(Sheet!ID18="Очень сильно/Extremely",4,""))))</f>
        <v>1</v>
      </c>
      <c r="IE18">
        <f>IF(Sheet!IE18="Совсем нет/Not at all",1,IF(Sheet!IF18="Немного/A little",2,IF(Sheet!IG18="Довольно сильно/Quite a bit",3,IF(Sheet!IH18="Очень сильно/Extremely",4,""))))</f>
        <v>2</v>
      </c>
      <c r="II18">
        <f>IF(Sheet!II18="Совсем нет/Not at all",1,IF(Sheet!IJ18="Немного/A little",2,IF(Sheet!IK18="Довольно сильно/Quite a bit",3,IF(Sheet!IL18="Очень сильно/Extremely",4,""))))</f>
        <v>1</v>
      </c>
      <c r="IM18">
        <f>IF(Sheet!IM18="Совсем нет/Not at all",1,IF(Sheet!IN18="Немного/A little",2,IF(Sheet!IO18="Довольно сильно/Quite a bit",3,IF(Sheet!IP18="Очень сильно/Extremely",4,""))))</f>
        <v>1</v>
      </c>
      <c r="IQ18">
        <f>IF(Sheet!IQ18="Совсем нет/Not at all",1,IF(Sheet!IR18="Немного/A little",2,IF(Sheet!IS18="Довольно сильно/Quite a bit ",3,IF(Sheet!IT18="Очень сильно/Extremely ",4,""))))</f>
        <v>1</v>
      </c>
      <c r="IU18">
        <f>IF(Sheet!IU18="Совсем нет/Not at all",1,IF(Sheet!IV18="Немного/A little",2,IF(Sheet!IW18="Довольно сильно/Quite a bit ",3,IF(Sheet!IX18="Очень сильно/Extremely ",4,""))))</f>
        <v>2</v>
      </c>
      <c r="IY18">
        <f>IF(Sheet!IY18="Совсем нет/Not at all",1,IF(Sheet!IZ18="Немного/A little",2,IF(Sheet!JA18="Довольно сильно/Quite a bit ",3,IF(Sheet!JB18="Очень сильно/Extremely ",4,""))))</f>
        <v>3</v>
      </c>
      <c r="JC18">
        <f>IF(Sheet!JC18="Совсем нет/Not at all",1,IF(Sheet!JD18="Немного/A little",2,IF(Sheet!JE18="Довольно сильно/Quite a bit ",3,IF(Sheet!JF18="Очень сильно/Extremely ",4,""))))</f>
        <v>1</v>
      </c>
      <c r="JG18">
        <f>IF(Sheet!JG18="Совсем нет/Not at all",1,IF(Sheet!JH18="Немного/A little",2,IF(Sheet!JI18="Довольно сильно/Quite a bit ",3,IF(Sheet!JJ18="Очень сильно/Extremely ",4,""))))</f>
        <v>1</v>
      </c>
      <c r="JK18">
        <f>IF(Sheet!JK18="Совсем нет/Not at all",1,IF(Sheet!JL18="Немного/A little",2,IF(Sheet!JM18="Довольно сильно/Quite a bit ",3,IF(Sheet!JN18="Очень сильно/Extremely ",4,""))))</f>
        <v>3</v>
      </c>
      <c r="JO18" t="str">
        <f>IF(Sheet!JO18="Совсем нет/Not at all",1,IF(Sheet!JP18="Немного/A little",2,IF(Sheet!JQ18="Довольно сильно/Quite a bit",3,IF(Sheet!JR18="Очень сильно/Extremely",4,""))))</f>
        <v/>
      </c>
      <c r="JS18">
        <f>IF(Sheet!JS18="Совсем нет/Not at all",1,IF(Sheet!JT18="Немного/A little",2,IF(Sheet!JU18="Довольно сильно/Quite a bit",3,IF(Sheet!JV18="Очень сильно/Extremely",4,""))))</f>
        <v>1</v>
      </c>
      <c r="JW18">
        <f>IF(Sheet!JW18="Совсем нет/Not at all",1,IF(Sheet!JX18="Немного/A little",2,IF(Sheet!JY18="Довольно сильно/Quite a bit",3,IF(Sheet!JZ18="Очень сильно/Extremely",4,""))))</f>
        <v>1</v>
      </c>
      <c r="KA18">
        <f>IF(Sheet!KA18="Совсем нет/Not at all",1,IF(Sheet!KB18="Немного/A little",2,IF(Sheet!KC18="Довольно сильно/Quite a bit",3,IF(Sheet!KD18="Очень сильно/Extremely",4,""))))</f>
        <v>2</v>
      </c>
      <c r="KE18">
        <f>IF(Sheet!KE18="Совсем нет/Not at all",1,IF(Sheet!KF18="Немного/A little",2,IF(Sheet!KG18="Довольно сильно/Quite a bit",3,IF(Sheet!KH18="Очень сильно/Extremely",4,""))))</f>
        <v>1</v>
      </c>
      <c r="KI18">
        <f>IF(Sheet!KI18="Совсем нет/Not at all",1,IF(Sheet!KJ18="Немного/A little",2,IF(Sheet!KK18="Довольно сильно/Quite a bit",3,IF(Sheet!KL18="Очень сильно/Extremely",4,""))))</f>
        <v>4</v>
      </c>
      <c r="KM18">
        <f>IF(Sheet!KM18="Совсем нет/Not at all",1,IF(Sheet!KN18="Немного/A little",2,IF(Sheet!KO18="Довольно сильно/Quite a bit",3,IF(Sheet!KP18="Очень сильно/Extremely",4,""))))</f>
        <v>1</v>
      </c>
      <c r="KQ18">
        <f>IF(Sheet!KQ18="Совсем нет/Not at all",1,IF(Sheet!KR18="Немного/A little",2,IF(Sheet!KS18="Довольно сильно/Quite a bit",3,IF(Sheet!KT18="Очень сильно/Extremely",4,""))))</f>
        <v>2</v>
      </c>
    </row>
    <row r="19" spans="1:303">
      <c r="A19" t="str">
        <f>Sheet!A19</f>
        <v>TB001</v>
      </c>
      <c r="GW19" s="27">
        <f>SUM(GY19,HC19,HG19,HK19,HO19,HS19,HW19,IA19,IE19,II19,IM19,IQ19,IU19,IY19,JC19,JG19,JK19,JO19,JS19,JW19,KA19,KE19,KI19,KM19,KQ19)/25</f>
        <v>1.4</v>
      </c>
      <c r="GY19">
        <f>IF(Sheet!GY19="Совсем нет/Not at all",1,IF(Sheet!GZ19="Немного/A little",2,IF(Sheet!HA19="Довольно сильно/Quite a bit",3,IF(Sheet!HB19="Очень сильно/Extremely",4,""))))</f>
        <v>1</v>
      </c>
      <c r="HC19">
        <f>IF(Sheet!HC19="Совсем нет/Not at all",1,IF(Sheet!HD19="Немного/A little",2,IF(Sheet!HE19="Довольно сильно/Quite a bit",3,IF(Sheet!HF19="Очень сильно/Extremely",4,""))))</f>
        <v>1</v>
      </c>
      <c r="HG19">
        <f>IF(Sheet!HG19="Совсем нет/Not at all",1,IF(Sheet!HH19="Немного/A little",2,IF(Sheet!HI19="Довольно сильно/Quite a bit",3,IF(Sheet!HJ19="Очень сильно/Extremely",4,""))))</f>
        <v>1</v>
      </c>
      <c r="HK19">
        <f>IF(Sheet!HK19="Совсем нет/Not at all",1,IF(Sheet!HL19="Немного/A little",2,IF(Sheet!HM19="Довольно сильно/Quite a bit",3,IF(Sheet!HN19="Очень сильно/Extremely",4,""))))</f>
        <v>2</v>
      </c>
      <c r="HO19">
        <f>IF(Sheet!HO19="Совсем нет/Not at all",1,IF(Sheet!HP19="Немного/A little",2,IF(Sheet!HQ19="Довольно сильно/Quite a bit",3,IF(Sheet!HR19="Очень сильно/Extremely",4,""))))</f>
        <v>2</v>
      </c>
      <c r="HS19">
        <f>IF(Sheet!HS19="Совсем нет/Not at all",1,IF(Sheet!HT19="Немного/A little",2,IF(Sheet!HU19="Довольно сильно/Quite a bit",3,IF(Sheet!HV19="Очень сильно/Extremely",4,""))))</f>
        <v>1</v>
      </c>
      <c r="HW19">
        <f>IF(Sheet!HW19="Совсем нет/Not at all",1,IF(Sheet!HX19="Немного/A little",2,IF(Sheet!HY19="Довольно сильно/Quite a bit",3,IF(Sheet!HZ19="Очень сильно/Extremely",4,""))))</f>
        <v>1</v>
      </c>
      <c r="IA19">
        <f>IF(Sheet!IA19="Совсем нет/Not at all",1,IF(Sheet!IB19="Немного/A little",2,IF(Sheet!IC19="Довольно сильно/Quite a bit",3,IF(Sheet!ID19="Очень сильно/Extremely",4,""))))</f>
        <v>2</v>
      </c>
      <c r="IE19">
        <f>IF(Sheet!IE19="Совсем нет/Not at all",1,IF(Sheet!IF19="Немного/A little",2,IF(Sheet!IG19="Довольно сильно/Quite a bit",3,IF(Sheet!IH19="Очень сильно/Extremely",4,""))))</f>
        <v>2</v>
      </c>
      <c r="II19">
        <f>IF(Sheet!II19="Совсем нет/Not at all",1,IF(Sheet!IJ19="Немного/A little",2,IF(Sheet!IK19="Довольно сильно/Quite a bit",3,IF(Sheet!IL19="Очень сильно/Extremely",4,""))))</f>
        <v>2</v>
      </c>
      <c r="IM19">
        <f>IF(Sheet!IM19="Совсем нет/Not at all",1,IF(Sheet!IN19="Немного/A little",2,IF(Sheet!IO19="Довольно сильно/Quite a bit",3,IF(Sheet!IP19="Очень сильно/Extremely",4,""))))</f>
        <v>1</v>
      </c>
      <c r="IQ19">
        <f>IF(Sheet!IQ19="Совсем нет/Not at all",1,IF(Sheet!IR19="Немного/A little",2,IF(Sheet!IS19="Довольно сильно/Quite a bit ",3,IF(Sheet!IT19="Очень сильно/Extremely ",4,""))))</f>
        <v>1</v>
      </c>
      <c r="IU19">
        <f>IF(Sheet!IU19="Совсем нет/Not at all",1,IF(Sheet!IV19="Немного/A little",2,IF(Sheet!IW19="Довольно сильно/Quite a bit ",3,IF(Sheet!IX19="Очень сильно/Extremely ",4,""))))</f>
        <v>2</v>
      </c>
      <c r="IY19">
        <f>IF(Sheet!IY19="Совсем нет/Not at all",1,IF(Sheet!IZ19="Немного/A little",2,IF(Sheet!JA19="Довольно сильно/Quite a bit ",3,IF(Sheet!JB19="Очень сильно/Extremely ",4,""))))</f>
        <v>2</v>
      </c>
      <c r="JC19">
        <f>IF(Sheet!JC19="Совсем нет/Not at all",1,IF(Sheet!JD19="Немного/A little",2,IF(Sheet!JE19="Довольно сильно/Quite a bit ",3,IF(Sheet!JF19="Очень сильно/Extremely ",4,""))))</f>
        <v>1</v>
      </c>
      <c r="JG19">
        <f>IF(Sheet!JG19="Совсем нет/Not at all",1,IF(Sheet!JH19="Немного/A little",2,IF(Sheet!JI19="Довольно сильно/Quite a bit ",3,IF(Sheet!JJ19="Очень сильно/Extremely ",4,""))))</f>
        <v>1</v>
      </c>
      <c r="JK19">
        <f>IF(Sheet!JK19="Совсем нет/Not at all",1,IF(Sheet!JL19="Немного/A little",2,IF(Sheet!JM19="Довольно сильно/Quite a bit ",3,IF(Sheet!JN19="Очень сильно/Extremely ",4,""))))</f>
        <v>2</v>
      </c>
      <c r="JO19">
        <f>IF(Sheet!JO19="Совсем нет/Not at all",1,IF(Sheet!JP19="Немного/A little",2,IF(Sheet!JQ19="Довольно сильно/Quite a bit",3,IF(Sheet!JR19="Очень сильно/Extremely",4,""))))</f>
        <v>1</v>
      </c>
      <c r="JS19">
        <f>IF(Sheet!JS19="Совсем нет/Not at all",1,IF(Sheet!JT19="Немного/A little",2,IF(Sheet!JU19="Довольно сильно/Quite a bit",3,IF(Sheet!JV19="Очень сильно/Extremely",4,""))))</f>
        <v>2</v>
      </c>
      <c r="JW19">
        <f>IF(Sheet!JW19="Совсем нет/Not at all",1,IF(Sheet!JX19="Немного/A little",2,IF(Sheet!JY19="Довольно сильно/Quite a bit",3,IF(Sheet!JZ19="Очень сильно/Extremely",4,""))))</f>
        <v>1</v>
      </c>
      <c r="KA19">
        <f>IF(Sheet!KA19="Совсем нет/Not at all",1,IF(Sheet!KB19="Немного/A little",2,IF(Sheet!KC19="Довольно сильно/Quite a bit",3,IF(Sheet!KD19="Очень сильно/Extremely",4,""))))</f>
        <v>2</v>
      </c>
      <c r="KE19">
        <f>IF(Sheet!KE19="Совсем нет/Not at all",1,IF(Sheet!KF19="Немного/A little",2,IF(Sheet!KG19="Довольно сильно/Quite a bit",3,IF(Sheet!KH19="Очень сильно/Extremely",4,""))))</f>
        <v>1</v>
      </c>
      <c r="KI19">
        <f>IF(Sheet!KI19="Совсем нет/Not at all",1,IF(Sheet!KJ19="Немного/A little",2,IF(Sheet!KK19="Довольно сильно/Quite a bit",3,IF(Sheet!KL19="Очень сильно/Extremely",4,""))))</f>
        <v>1</v>
      </c>
      <c r="KM19">
        <f>IF(Sheet!KM19="Совсем нет/Not at all",1,IF(Sheet!KN19="Немного/A little",2,IF(Sheet!KO19="Довольно сильно/Quite a bit",3,IF(Sheet!KP19="Очень сильно/Extremely",4,""))))</f>
        <v>1</v>
      </c>
      <c r="KQ19">
        <f>IF(Sheet!KQ19="Совсем нет/Not at all",1,IF(Sheet!KR19="Немного/A little",2,IF(Sheet!KS19="Довольно сильно/Quite a bit",3,IF(Sheet!KT19="Очень сильно/Extremely",4,""))))</f>
        <v>1</v>
      </c>
    </row>
    <row r="20" spans="1:303">
      <c r="A20" t="str">
        <f>Sheet!A20</f>
        <v>VI001</v>
      </c>
      <c r="GW20" s="27">
        <f>SUM(GY20,HC20,HG20,HK20,HO20,HS20,HW20,IA20,IE20,II20,IM20,IQ20,IU20,IY20,JC20,JG20,JK20,JO20,JS20,JW20,KA20,KE20,KI20,KM20,KQ20)/25</f>
        <v>1.76</v>
      </c>
      <c r="GY20">
        <f>IF(Sheet!GY20="Совсем нет/Not at all",1,IF(Sheet!GZ20="Немного/A little",2,IF(Sheet!HA20="Довольно сильно/Quite a bit",3,IF(Sheet!HB20="Очень сильно/Extremely",4,""))))</f>
        <v>1</v>
      </c>
      <c r="HC20">
        <f>IF(Sheet!HC20="Совсем нет/Not at all",1,IF(Sheet!HD20="Немного/A little",2,IF(Sheet!HE20="Довольно сильно/Quite a bit",3,IF(Sheet!HF20="Очень сильно/Extremely",4,""))))</f>
        <v>1</v>
      </c>
      <c r="HG20">
        <f>IF(Sheet!HG20="Совсем нет/Not at all",1,IF(Sheet!HH20="Немного/A little",2,IF(Sheet!HI20="Довольно сильно/Quite a bit",3,IF(Sheet!HJ20="Очень сильно/Extremely",4,""))))</f>
        <v>1</v>
      </c>
      <c r="HK20">
        <f>IF(Sheet!HK20="Совсем нет/Not at all",1,IF(Sheet!HL20="Немного/A little",2,IF(Sheet!HM20="Довольно сильно/Quite a bit",3,IF(Sheet!HN20="Очень сильно/Extremely",4,""))))</f>
        <v>1</v>
      </c>
      <c r="HO20">
        <f>IF(Sheet!HO20="Совсем нет/Not at all",1,IF(Sheet!HP20="Немного/A little",2,IF(Sheet!HQ20="Довольно сильно/Quite a bit",3,IF(Sheet!HR20="Очень сильно/Extremely",4,""))))</f>
        <v>3</v>
      </c>
      <c r="HS20">
        <f>IF(Sheet!HS20="Совсем нет/Not at all",1,IF(Sheet!HT20="Немного/A little",2,IF(Sheet!HU20="Довольно сильно/Quite a bit",3,IF(Sheet!HV20="Очень сильно/Extremely",4,""))))</f>
        <v>2</v>
      </c>
      <c r="HW20">
        <f>IF(Sheet!HW20="Совсем нет/Not at all",1,IF(Sheet!HX20="Немного/A little",2,IF(Sheet!HY20="Довольно сильно/Quite a bit",3,IF(Sheet!HZ20="Очень сильно/Extremely",4,""))))</f>
        <v>3</v>
      </c>
      <c r="IA20">
        <f>IF(Sheet!IA20="Совсем нет/Not at all",1,IF(Sheet!IB20="Немного/A little",2,IF(Sheet!IC20="Довольно сильно/Quite a bit",3,IF(Sheet!ID20="Очень сильно/Extremely",4,""))))</f>
        <v>2</v>
      </c>
      <c r="IE20">
        <f>IF(Sheet!IE20="Совсем нет/Not at all",1,IF(Sheet!IF20="Немного/A little",2,IF(Sheet!IG20="Довольно сильно/Quite a bit",3,IF(Sheet!IH20="Очень сильно/Extremely",4,""))))</f>
        <v>2</v>
      </c>
      <c r="II20">
        <f>IF(Sheet!II20="Совсем нет/Not at all",1,IF(Sheet!IJ20="Немного/A little",2,IF(Sheet!IK20="Довольно сильно/Quite a bit",3,IF(Sheet!IL20="Очень сильно/Extremely",4,""))))</f>
        <v>3</v>
      </c>
      <c r="IM20">
        <f>IF(Sheet!IM20="Совсем нет/Not at all",1,IF(Sheet!IN20="Немного/A little",2,IF(Sheet!IO20="Довольно сильно/Quite a bit",3,IF(Sheet!IP20="Очень сильно/Extremely",4,""))))</f>
        <v>1</v>
      </c>
      <c r="IQ20">
        <f>IF(Sheet!IQ20="Совсем нет/Not at all",1,IF(Sheet!IR20="Немного/A little",2,IF(Sheet!IS20="Довольно сильно/Quite a bit ",3,IF(Sheet!IT20="Очень сильно/Extremely ",4,""))))</f>
        <v>1</v>
      </c>
      <c r="IU20">
        <f>IF(Sheet!IU20="Совсем нет/Not at all",1,IF(Sheet!IV20="Немного/A little",2,IF(Sheet!IW20="Довольно сильно/Quite a bit ",3,IF(Sheet!IX20="Очень сильно/Extremely ",4,""))))</f>
        <v>4</v>
      </c>
      <c r="IY20">
        <f>IF(Sheet!IY20="Совсем нет/Not at all",1,IF(Sheet!IZ20="Немного/A little",2,IF(Sheet!JA20="Довольно сильно/Quite a bit ",3,IF(Sheet!JB20="Очень сильно/Extremely ",4,""))))</f>
        <v>4</v>
      </c>
      <c r="JC20">
        <f>IF(Sheet!JC20="Совсем нет/Not at all",1,IF(Sheet!JD20="Немного/A little",2,IF(Sheet!JE20="Довольно сильно/Quite a bit ",3,IF(Sheet!JF20="Очень сильно/Extremely ",4,""))))</f>
        <v>2</v>
      </c>
      <c r="JG20">
        <f>IF(Sheet!JG20="Совсем нет/Not at all",1,IF(Sheet!JH20="Немного/A little",2,IF(Sheet!JI20="Довольно сильно/Quite a bit ",3,IF(Sheet!JJ20="Очень сильно/Extremely ",4,""))))</f>
        <v>1</v>
      </c>
      <c r="JK20">
        <f>IF(Sheet!JK20="Совсем нет/Not at all",1,IF(Sheet!JL20="Немного/A little",2,IF(Sheet!JM20="Довольно сильно/Quite a bit ",3,IF(Sheet!JN20="Очень сильно/Extremely ",4,""))))</f>
        <v>2</v>
      </c>
      <c r="JO20">
        <f>IF(Sheet!JO20="Совсем нет/Not at all",1,IF(Sheet!JP20="Немного/A little",2,IF(Sheet!JQ20="Довольно сильно/Quite a bit",3,IF(Sheet!JR20="Очень сильно/Extremely",4,""))))</f>
        <v>2</v>
      </c>
      <c r="JS20">
        <f>IF(Sheet!JS20="Совсем нет/Not at all",1,IF(Sheet!JT20="Немного/A little",2,IF(Sheet!JU20="Довольно сильно/Quite a bit",3,IF(Sheet!JV20="Очень сильно/Extremely",4,""))))</f>
        <v>1</v>
      </c>
      <c r="JW20">
        <f>IF(Sheet!JW20="Совсем нет/Not at all",1,IF(Sheet!JX20="Немного/A little",2,IF(Sheet!JY20="Довольно сильно/Quite a bit",3,IF(Sheet!JZ20="Очень сильно/Extremely",4,""))))</f>
        <v>1</v>
      </c>
      <c r="KA20">
        <f>IF(Sheet!KA20="Совсем нет/Not at all",1,IF(Sheet!KB20="Немного/A little",2,IF(Sheet!KC20="Довольно сильно/Quite a bit",3,IF(Sheet!KD20="Очень сильно/Extremely",4,""))))</f>
        <v>2</v>
      </c>
      <c r="KE20">
        <f>IF(Sheet!KE20="Совсем нет/Not at all",1,IF(Sheet!KF20="Немного/A little",2,IF(Sheet!KG20="Довольно сильно/Quite a bit",3,IF(Sheet!KH20="Очень сильно/Extremely",4,""))))</f>
        <v>1</v>
      </c>
      <c r="KI20">
        <f>IF(Sheet!KI20="Совсем нет/Not at all",1,IF(Sheet!KJ20="Немного/A little",2,IF(Sheet!KK20="Довольно сильно/Quite a bit",3,IF(Sheet!KL20="Очень сильно/Extremely",4,""))))</f>
        <v>1</v>
      </c>
      <c r="KM20">
        <f>IF(Sheet!KM20="Совсем нет/Not at all",1,IF(Sheet!KN20="Немного/A little",2,IF(Sheet!KO20="Довольно сильно/Quite a bit",3,IF(Sheet!KP20="Очень сильно/Extremely",4,""))))</f>
        <v>1</v>
      </c>
      <c r="KQ20">
        <f>IF(Sheet!KQ20="Совсем нет/Not at all",1,IF(Sheet!KR20="Немного/A little",2,IF(Sheet!KS20="Довольно сильно/Quite a bit",3,IF(Sheet!KT20="Очень сильно/Extremely",4,""))))</f>
        <v>1</v>
      </c>
    </row>
    <row r="21" spans="1:303">
      <c r="A21" t="str">
        <f>Sheet!A21</f>
        <v>ID MT002</v>
      </c>
      <c r="GW21" s="27">
        <f>SUM(GY21,HC21,HG21,HK21,HO21,HS21,HW21,IA21,IE21,II21,IM21,IQ21,IU21,IY21,JC21,JG21,JK21,JO21,JS21,JW21,KA21,KE21,KI21,KM21,KQ21)/25</f>
        <v>1.6</v>
      </c>
      <c r="GY21">
        <f>IF(Sheet!GY21="Совсем нет/Not at all",1,IF(Sheet!GZ21="Немного/A little",2,IF(Sheet!HA21="Довольно сильно/Quite a bit",3,IF(Sheet!HB21="Очень сильно/Extremely",4,""))))</f>
        <v>1</v>
      </c>
      <c r="HC21">
        <f>IF(Sheet!HC21="Совсем нет/Not at all",1,IF(Sheet!HD21="Немного/A little",2,IF(Sheet!HE21="Довольно сильно/Quite a bit",3,IF(Sheet!HF21="Очень сильно/Extremely",4,""))))</f>
        <v>2</v>
      </c>
      <c r="HG21">
        <f>IF(Sheet!HG21="Совсем нет/Not at all",1,IF(Sheet!HH21="Немного/A little",2,IF(Sheet!HI21="Довольно сильно/Quite a bit",3,IF(Sheet!HJ21="Очень сильно/Extremely",4,""))))</f>
        <v>1</v>
      </c>
      <c r="HK21">
        <f>IF(Sheet!HK21="Совсем нет/Not at all",1,IF(Sheet!HL21="Немного/A little",2,IF(Sheet!HM21="Довольно сильно/Quite a bit",3,IF(Sheet!HN21="Очень сильно/Extremely",4,""))))</f>
        <v>3</v>
      </c>
      <c r="HO21">
        <f>IF(Sheet!HO21="Совсем нет/Not at all",1,IF(Sheet!HP21="Немного/A little",2,IF(Sheet!HQ21="Довольно сильно/Quite a bit",3,IF(Sheet!HR21="Очень сильно/Extremely",4,""))))</f>
        <v>3</v>
      </c>
      <c r="HS21">
        <f>IF(Sheet!HS21="Совсем нет/Not at all",1,IF(Sheet!HT21="Немного/A little",2,IF(Sheet!HU21="Довольно сильно/Quite a bit",3,IF(Sheet!HV21="Очень сильно/Extremely",4,""))))</f>
        <v>1</v>
      </c>
      <c r="HW21">
        <f>IF(Sheet!HW21="Совсем нет/Not at all",1,IF(Sheet!HX21="Немного/A little",2,IF(Sheet!HY21="Довольно сильно/Quite a bit",3,IF(Sheet!HZ21="Очень сильно/Extremely",4,""))))</f>
        <v>3</v>
      </c>
      <c r="IA21">
        <f>IF(Sheet!IA21="Совсем нет/Not at all",1,IF(Sheet!IB21="Немного/A little",2,IF(Sheet!IC21="Довольно сильно/Quite a bit",3,IF(Sheet!ID21="Очень сильно/Extremely",4,""))))</f>
        <v>2</v>
      </c>
      <c r="IE21">
        <f>IF(Sheet!IE21="Совсем нет/Not at all",1,IF(Sheet!IF21="Немного/A little",2,IF(Sheet!IG21="Довольно сильно/Quite a bit",3,IF(Sheet!IH21="Очень сильно/Extremely",4,""))))</f>
        <v>2</v>
      </c>
      <c r="II21">
        <f>IF(Sheet!II21="Совсем нет/Not at all",1,IF(Sheet!IJ21="Немного/A little",2,IF(Sheet!IK21="Довольно сильно/Quite a bit",3,IF(Sheet!IL21="Очень сильно/Extremely",4,""))))</f>
        <v>2</v>
      </c>
      <c r="IM21">
        <f>IF(Sheet!IM21="Совсем нет/Not at all",1,IF(Sheet!IN21="Немного/A little",2,IF(Sheet!IO21="Довольно сильно/Quite a bit",3,IF(Sheet!IP21="Очень сильно/Extremely",4,""))))</f>
        <v>1</v>
      </c>
      <c r="IQ21">
        <f>IF(Sheet!IQ21="Совсем нет/Not at all",1,IF(Sheet!IR21="Немного/A little",2,IF(Sheet!IS21="Довольно сильно/Quite a bit ",3,IF(Sheet!IT21="Очень сильно/Extremely ",4,""))))</f>
        <v>1</v>
      </c>
      <c r="IU21">
        <f>IF(Sheet!IU21="Совсем нет/Not at all",1,IF(Sheet!IV21="Немного/A little",2,IF(Sheet!IW21="Довольно сильно/Quite a bit ",3,IF(Sheet!IX21="Очень сильно/Extremely ",4,""))))</f>
        <v>2</v>
      </c>
      <c r="IY21">
        <f>IF(Sheet!IY21="Совсем нет/Not at all",1,IF(Sheet!IZ21="Немного/A little",2,IF(Sheet!JA21="Довольно сильно/Quite a bit ",3,IF(Sheet!JB21="Очень сильно/Extremely ",4,""))))</f>
        <v>2</v>
      </c>
      <c r="JC21">
        <f>IF(Sheet!JC21="Совсем нет/Not at all",1,IF(Sheet!JD21="Немного/A little",2,IF(Sheet!JE21="Довольно сильно/Quite a bit ",3,IF(Sheet!JF21="Очень сильно/Extremely ",4,""))))</f>
        <v>1</v>
      </c>
      <c r="JG21">
        <f>IF(Sheet!JG21="Совсем нет/Not at all",1,IF(Sheet!JH21="Немного/A little",2,IF(Sheet!JI21="Довольно сильно/Quite a bit ",3,IF(Sheet!JJ21="Очень сильно/Extremely ",4,""))))</f>
        <v>1</v>
      </c>
      <c r="JK21">
        <f>IF(Sheet!JK21="Совсем нет/Not at all",1,IF(Sheet!JL21="Немного/A little",2,IF(Sheet!JM21="Довольно сильно/Quite a bit ",3,IF(Sheet!JN21="Очень сильно/Extremely ",4,""))))</f>
        <v>3</v>
      </c>
      <c r="JO21" t="str">
        <f>IF(Sheet!JO21="Совсем нет/Not at all",1,IF(Sheet!JP21="Немного/A little",2,IF(Sheet!JQ21="Довольно сильно/Quite a bit",3,IF(Sheet!JR21="Очень сильно/Extremely",4,""))))</f>
        <v/>
      </c>
      <c r="JS21">
        <f>IF(Sheet!JS21="Совсем нет/Not at all",1,IF(Sheet!JT21="Немного/A little",2,IF(Sheet!JU21="Довольно сильно/Quite a bit",3,IF(Sheet!JV21="Очень сильно/Extremely",4,""))))</f>
        <v>1</v>
      </c>
      <c r="JW21">
        <f>IF(Sheet!JW21="Совсем нет/Not at all",1,IF(Sheet!JX21="Немного/A little",2,IF(Sheet!JY21="Довольно сильно/Quite a bit",3,IF(Sheet!JZ21="Очень сильно/Extremely",4,""))))</f>
        <v>1</v>
      </c>
      <c r="KA21">
        <f>IF(Sheet!KA21="Совсем нет/Not at all",1,IF(Sheet!KB21="Немного/A little",2,IF(Sheet!KC21="Довольно сильно/Quite a bit",3,IF(Sheet!KD21="Очень сильно/Extremely",4,""))))</f>
        <v>3</v>
      </c>
      <c r="KE21">
        <f>IF(Sheet!KE21="Совсем нет/Not at all",1,IF(Sheet!KF21="Немного/A little",2,IF(Sheet!KG21="Довольно сильно/Quite a bit",3,IF(Sheet!KH21="Очень сильно/Extremely",4,""))))</f>
        <v>1</v>
      </c>
      <c r="KI21">
        <f>IF(Sheet!KI21="Совсем нет/Not at all",1,IF(Sheet!KJ21="Немного/A little",2,IF(Sheet!KK21="Довольно сильно/Quite a bit",3,IF(Sheet!KL21="Очень сильно/Extremely",4,""))))</f>
        <v>1</v>
      </c>
      <c r="KM21">
        <f>IF(Sheet!KM21="Совсем нет/Not at all",1,IF(Sheet!KN21="Немного/A little",2,IF(Sheet!KO21="Довольно сильно/Quite a bit",3,IF(Sheet!KP21="Очень сильно/Extremely",4,""))))</f>
        <v>1</v>
      </c>
      <c r="KQ21">
        <f>IF(Sheet!KQ21="Совсем нет/Not at all",1,IF(Sheet!KR21="Немного/A little",2,IF(Sheet!KS21="Довольно сильно/Quite a bit",3,IF(Sheet!KT21="Очень сильно/Extremely",4,""))))</f>
        <v>1</v>
      </c>
    </row>
    <row r="22" spans="1:303">
      <c r="A22" t="str">
        <f>Sheet!A22</f>
        <v>TI001</v>
      </c>
      <c r="GW22" s="27">
        <f>SUM(GY22,HC22,HG22,HK22,HO22,HS22,HW22,IA22,IE22,II22,IM22,IQ22,IU22,IY22,JC22,JG22,JK22,JO22,JS22,JW22,KA22,KE22,KI22,KM22,KQ22)/25</f>
        <v>2.44</v>
      </c>
      <c r="GY22">
        <f>IF(Sheet!GY22="Совсем нет/Not at all",1,IF(Sheet!GZ22="Немного/A little",2,IF(Sheet!HA22="Довольно сильно/Quite a bit",3,IF(Sheet!HB22="Очень сильно/Extremely",4,""))))</f>
        <v>2</v>
      </c>
      <c r="HC22">
        <f>IF(Sheet!HC22="Совсем нет/Not at all",1,IF(Sheet!HD22="Немного/A little",2,IF(Sheet!HE22="Довольно сильно/Quite a bit",3,IF(Sheet!HF22="Очень сильно/Extremely",4,""))))</f>
        <v>1</v>
      </c>
      <c r="HG22">
        <f>IF(Sheet!HG22="Совсем нет/Not at all",1,IF(Sheet!HH22="Немного/A little",2,IF(Sheet!HI22="Довольно сильно/Quite a bit",3,IF(Sheet!HJ22="Очень сильно/Extremely",4,""))))</f>
        <v>1</v>
      </c>
      <c r="HK22">
        <f>IF(Sheet!HK22="Совсем нет/Not at all",1,IF(Sheet!HL22="Немного/A little",2,IF(Sheet!HM22="Довольно сильно/Quite a bit",3,IF(Sheet!HN22="Очень сильно/Extremely",4,""))))</f>
        <v>4</v>
      </c>
      <c r="HO22">
        <f>IF(Sheet!HO22="Совсем нет/Not at all",1,IF(Sheet!HP22="Немного/A little",2,IF(Sheet!HQ22="Довольно сильно/Quite a bit",3,IF(Sheet!HR22="Очень сильно/Extremely",4,""))))</f>
        <v>1</v>
      </c>
      <c r="HS22">
        <f>IF(Sheet!HS22="Совсем нет/Not at all",1,IF(Sheet!HT22="Немного/A little",2,IF(Sheet!HU22="Довольно сильно/Quite a bit",3,IF(Sheet!HV22="Очень сильно/Extremely",4,""))))</f>
        <v>3</v>
      </c>
      <c r="HW22">
        <f>IF(Sheet!HW22="Совсем нет/Not at all",1,IF(Sheet!HX22="Немного/A little",2,IF(Sheet!HY22="Довольно сильно/Quite a bit",3,IF(Sheet!HZ22="Очень сильно/Extremely",4,""))))</f>
        <v>4</v>
      </c>
      <c r="IA22">
        <f>IF(Sheet!IA22="Совсем нет/Not at all",1,IF(Sheet!IB22="Немного/A little",2,IF(Sheet!IC22="Довольно сильно/Quite a bit",3,IF(Sheet!ID22="Очень сильно/Extremely",4,""))))</f>
        <v>4</v>
      </c>
      <c r="IE22">
        <f>IF(Sheet!IE22="Совсем нет/Not at all",1,IF(Sheet!IF22="Немного/A little",2,IF(Sheet!IG22="Довольно сильно/Quite a bit",3,IF(Sheet!IH22="Очень сильно/Extremely",4,""))))</f>
        <v>4</v>
      </c>
      <c r="II22">
        <f>IF(Sheet!II22="Совсем нет/Not at all",1,IF(Sheet!IJ22="Немного/A little",2,IF(Sheet!IK22="Довольно сильно/Quite a bit",3,IF(Sheet!IL22="Очень сильно/Extremely",4,""))))</f>
        <v>4</v>
      </c>
      <c r="IM22" s="39" t="str">
        <f>IF(Sheet!IM22="Совсем нет/Not at all",1,IF(Sheet!IN22="Немного/A little",2,IF(Sheet!IO22="Довольно сильно/Quite a bit",3,IF(Sheet!IP22="Очень сильно/Extremely",4,""))))</f>
        <v/>
      </c>
      <c r="IQ22">
        <f>IF(Sheet!IQ22="Совсем нет/Not at all",1,IF(Sheet!IR22="Немного/A little",2,IF(Sheet!IS22="Довольно сильно/Quite a bit ",3,IF(Sheet!IT22="Очень сильно/Extremely ",4,""))))</f>
        <v>1</v>
      </c>
      <c r="IU22">
        <f>IF(Sheet!IU22="Совсем нет/Not at all",1,IF(Sheet!IV22="Немного/A little",2,IF(Sheet!IW22="Довольно сильно/Quite a bit ",3,IF(Sheet!IX22="Очень сильно/Extremely ",4,""))))</f>
        <v>2</v>
      </c>
      <c r="IY22">
        <f>IF(Sheet!IY22="Совсем нет/Not at all",1,IF(Sheet!IZ22="Немного/A little",2,IF(Sheet!JA22="Довольно сильно/Quite a bit ",3,IF(Sheet!JB22="Очень сильно/Extremely ",4,""))))</f>
        <v>3</v>
      </c>
      <c r="JC22">
        <f>IF(Sheet!JC22="Совсем нет/Not at all",1,IF(Sheet!JD22="Немного/A little",2,IF(Sheet!JE22="Довольно сильно/Quite a bit ",3,IF(Sheet!JF22="Очень сильно/Extremely ",4,""))))</f>
        <v>2</v>
      </c>
      <c r="JG22">
        <f>IF(Sheet!JG22="Совсем нет/Not at all",1,IF(Sheet!JH22="Немного/A little",2,IF(Sheet!JI22="Довольно сильно/Quite a bit ",3,IF(Sheet!JJ22="Очень сильно/Extremely ",4,""))))</f>
        <v>2</v>
      </c>
      <c r="JK22">
        <f>IF(Sheet!JK22="Совсем нет/Not at all",1,IF(Sheet!JL22="Немного/A little",2,IF(Sheet!JM22="Довольно сильно/Quite a bit ",3,IF(Sheet!JN22="Очень сильно/Extremely ",4,""))))</f>
        <v>3</v>
      </c>
      <c r="JO22">
        <f>IF(Sheet!JO22="Совсем нет/Not at all",1,IF(Sheet!JP22="Немного/A little",2,IF(Sheet!JQ22="Довольно сильно/Quite a bit",3,IF(Sheet!JR22="Очень сильно/Extremely",4,""))))</f>
        <v>2</v>
      </c>
      <c r="JS22">
        <f>IF(Sheet!JS22="Совсем нет/Not at all",1,IF(Sheet!JT22="Немного/A little",2,IF(Sheet!JU22="Довольно сильно/Quite a bit",3,IF(Sheet!JV22="Очень сильно/Extremely",4,""))))</f>
        <v>3</v>
      </c>
      <c r="JW22">
        <f>IF(Sheet!JW22="Совсем нет/Not at all",1,IF(Sheet!JX22="Немного/A little",2,IF(Sheet!JY22="Довольно сильно/Quite a bit",3,IF(Sheet!JZ22="Очень сильно/Extremely",4,""))))</f>
        <v>4</v>
      </c>
      <c r="KA22">
        <f>IF(Sheet!KA22="Совсем нет/Not at all",1,IF(Sheet!KB22="Немного/A little",2,IF(Sheet!KC22="Довольно сильно/Quite a bit",3,IF(Sheet!KD22="Очень сильно/Extremely",4,""))))</f>
        <v>4</v>
      </c>
      <c r="KE22">
        <f>IF(Sheet!KE22="Совсем нет/Not at all",1,IF(Sheet!KF22="Немного/A little",2,IF(Sheet!KG22="Довольно сильно/Quite a bit",3,IF(Sheet!KH22="Очень сильно/Extremely",4,""))))</f>
        <v>1</v>
      </c>
      <c r="KI22">
        <f>IF(Sheet!KI22="Совсем нет/Not at all",1,IF(Sheet!KJ22="Немного/A little",2,IF(Sheet!KK22="Довольно сильно/Quite a bit",3,IF(Sheet!KL22="Очень сильно/Extremely",4,""))))</f>
        <v>3</v>
      </c>
      <c r="KM22">
        <f>IF(Sheet!KM22="Совсем нет/Not at all",1,IF(Sheet!KN22="Немного/A little",2,IF(Sheet!KO22="Довольно сильно/Quite a bit",3,IF(Sheet!KP22="Очень сильно/Extremely",4,""))))</f>
        <v>1</v>
      </c>
      <c r="KQ22">
        <f>IF(Sheet!KQ22="Совсем нет/Not at all",1,IF(Sheet!KR22="Немного/A little",2,IF(Sheet!KS22="Довольно сильно/Quite a bit",3,IF(Sheet!KT22="Очень сильно/Extremely",4,""))))</f>
        <v>2</v>
      </c>
    </row>
    <row r="23" spans="1:303">
      <c r="A23" t="str">
        <f>Sheet!A23</f>
        <v>TK001</v>
      </c>
      <c r="GW23" s="27">
        <f>SUM(GY23,HC23,HG23,HK23,HO23,HS23,HW23,IA23,IE23,II23,IM23,IQ23,IU23,IY23,JC23,JG23,JK23,JO23,JS23,JW23,KA23,KE23,KI23,KM23,KQ23)/25</f>
        <v>2.16</v>
      </c>
      <c r="GY23">
        <f>IF(Sheet!GY23="Совсем нет/Not at all",1,IF(Sheet!GZ23="Немного/A little",2,IF(Sheet!HA23="Довольно сильно/Quite a bit",3,IF(Sheet!HB23="Очень сильно/Extremely",4,""))))</f>
        <v>2</v>
      </c>
      <c r="HC23">
        <f>IF(Sheet!HC23="Совсем нет/Not at all",1,IF(Sheet!HD23="Немного/A little",2,IF(Sheet!HE23="Довольно сильно/Quite a bit",3,IF(Sheet!HF23="Очень сильно/Extremely",4,""))))</f>
        <v>2</v>
      </c>
      <c r="HG23">
        <f>IF(Sheet!HG23="Совсем нет/Not at all",1,IF(Sheet!HH23="Немного/A little",2,IF(Sheet!HI23="Довольно сильно/Quite a bit",3,IF(Sheet!HJ23="Очень сильно/Extremely",4,""))))</f>
        <v>1</v>
      </c>
      <c r="HK23">
        <f>IF(Sheet!HK23="Совсем нет/Not at all",1,IF(Sheet!HL23="Немного/A little",2,IF(Sheet!HM23="Довольно сильно/Quite a bit",3,IF(Sheet!HN23="Очень сильно/Extremely",4,""))))</f>
        <v>3</v>
      </c>
      <c r="HO23">
        <f>IF(Sheet!HO23="Совсем нет/Not at all",1,IF(Sheet!HP23="Немного/A little",2,IF(Sheet!HQ23="Довольно сильно/Quite a bit",3,IF(Sheet!HR23="Очень сильно/Extremely",4,""))))</f>
        <v>4</v>
      </c>
      <c r="HS23">
        <f>IF(Sheet!HS23="Совсем нет/Not at all",1,IF(Sheet!HT23="Немного/A little",2,IF(Sheet!HU23="Довольно сильно/Quite a bit",3,IF(Sheet!HV23="Очень сильно/Extremely",4,""))))</f>
        <v>3</v>
      </c>
      <c r="HW23">
        <f>IF(Sheet!HW23="Совсем нет/Not at all",1,IF(Sheet!HX23="Немного/A little",2,IF(Sheet!HY23="Довольно сильно/Quite a bit",3,IF(Sheet!HZ23="Очень сильно/Extremely",4,""))))</f>
        <v>2</v>
      </c>
      <c r="IA23">
        <f>IF(Sheet!IA23="Совсем нет/Not at all",1,IF(Sheet!IB23="Немного/A little",2,IF(Sheet!IC23="Довольно сильно/Quite a bit",3,IF(Sheet!ID23="Очень сильно/Extremely",4,""))))</f>
        <v>4</v>
      </c>
      <c r="IE23">
        <f>IF(Sheet!IE23="Совсем нет/Not at all",1,IF(Sheet!IF23="Немного/A little",2,IF(Sheet!IG23="Довольно сильно/Quite a bit",3,IF(Sheet!IH23="Очень сильно/Extremely",4,""))))</f>
        <v>4</v>
      </c>
      <c r="II23">
        <f>IF(Sheet!II23="Совсем нет/Not at all",1,IF(Sheet!IJ23="Немного/A little",2,IF(Sheet!IK23="Довольно сильно/Quite a bit",3,IF(Sheet!IL23="Очень сильно/Extremely",4,""))))</f>
        <v>4</v>
      </c>
      <c r="IM23">
        <f>IF(Sheet!IM23="Совсем нет/Not at all",1,IF(Sheet!IN23="Немного/A little",2,IF(Sheet!IO23="Довольно сильно/Quite a bit",3,IF(Sheet!IP23="Очень сильно/Extremely",4,""))))</f>
        <v>1</v>
      </c>
      <c r="IQ23">
        <f>IF(Sheet!IQ23="Совсем нет/Not at all",1,IF(Sheet!IR23="Немного/A little",2,IF(Sheet!IS23="Довольно сильно/Quite a bit ",3,IF(Sheet!IT23="Очень сильно/Extremely ",4,""))))</f>
        <v>1</v>
      </c>
      <c r="IU23">
        <f>IF(Sheet!IU23="Совсем нет/Not at all",1,IF(Sheet!IV23="Немного/A little",2,IF(Sheet!IW23="Довольно сильно/Quite a bit ",3,IF(Sheet!IX23="Очень сильно/Extremely ",4,""))))</f>
        <v>2</v>
      </c>
      <c r="IY23">
        <f>IF(Sheet!IY23="Совсем нет/Not at all",1,IF(Sheet!IZ23="Немного/A little",2,IF(Sheet!JA23="Довольно сильно/Quite a bit ",3,IF(Sheet!JB23="Очень сильно/Extremely ",4,""))))</f>
        <v>3</v>
      </c>
      <c r="JC23">
        <f>IF(Sheet!JC23="Совсем нет/Not at all",1,IF(Sheet!JD23="Немного/A little",2,IF(Sheet!JE23="Довольно сильно/Quite a bit ",3,IF(Sheet!JF23="Очень сильно/Extremely ",4,""))))</f>
        <v>1</v>
      </c>
      <c r="JG23">
        <f>IF(Sheet!JG23="Совсем нет/Not at all",1,IF(Sheet!JH23="Немного/A little",2,IF(Sheet!JI23="Довольно сильно/Quite a bit ",3,IF(Sheet!JJ23="Очень сильно/Extremely ",4,""))))</f>
        <v>1</v>
      </c>
      <c r="JK23">
        <f>IF(Sheet!JK23="Совсем нет/Not at all",1,IF(Sheet!JL23="Немного/A little",2,IF(Sheet!JM23="Довольно сильно/Quite a bit ",3,IF(Sheet!JN23="Очень сильно/Extremely ",4,""))))</f>
        <v>3</v>
      </c>
      <c r="JO23">
        <f>IF(Sheet!JO23="Совсем нет/Not at all",1,IF(Sheet!JP23="Немного/A little",2,IF(Sheet!JQ23="Довольно сильно/Quite a bit",3,IF(Sheet!JR23="Очень сильно/Extremely",4,""))))</f>
        <v>1</v>
      </c>
      <c r="JS23">
        <f>IF(Sheet!JS23="Совсем нет/Not at all",1,IF(Sheet!JT23="Немного/A little",2,IF(Sheet!JU23="Довольно сильно/Quite a bit",3,IF(Sheet!JV23="Очень сильно/Extremely",4,""))))</f>
        <v>1</v>
      </c>
      <c r="JW23">
        <f>IF(Sheet!JW23="Совсем нет/Not at all",1,IF(Sheet!JX23="Немного/A little",2,IF(Sheet!JY23="Довольно сильно/Quite a bit",3,IF(Sheet!JZ23="Очень сильно/Extremely",4,""))))</f>
        <v>2</v>
      </c>
      <c r="KA23">
        <f>IF(Sheet!KA23="Совсем нет/Not at all",1,IF(Sheet!KB23="Немного/A little",2,IF(Sheet!KC23="Довольно сильно/Quite a bit",3,IF(Sheet!KD23="Очень сильно/Extremely",4,""))))</f>
        <v>3</v>
      </c>
      <c r="KE23">
        <f>IF(Sheet!KE23="Совсем нет/Not at all",1,IF(Sheet!KF23="Немного/A little",2,IF(Sheet!KG23="Довольно сильно/Quite a bit",3,IF(Sheet!KH23="Очень сильно/Extremely",4,""))))</f>
        <v>2</v>
      </c>
      <c r="KI23">
        <f>IF(Sheet!KI23="Совсем нет/Not at all",1,IF(Sheet!KJ23="Немного/A little",2,IF(Sheet!KK23="Довольно сильно/Quite a bit",3,IF(Sheet!KL23="Очень сильно/Extremely",4,""))))</f>
        <v>2</v>
      </c>
      <c r="KM23">
        <f>IF(Sheet!KM23="Совсем нет/Not at all",1,IF(Sheet!KN23="Немного/A little",2,IF(Sheet!KO23="Довольно сильно/Quite a bit",3,IF(Sheet!KP23="Очень сильно/Extremely",4,""))))</f>
        <v>1</v>
      </c>
      <c r="KQ23">
        <f>IF(Sheet!KQ23="Совсем нет/Not at all",1,IF(Sheet!KR23="Немного/A little",2,IF(Sheet!KS23="Довольно сильно/Quite a bit",3,IF(Sheet!KT23="Очень сильно/Extremely",4,""))))</f>
        <v>1</v>
      </c>
    </row>
    <row r="24" spans="1:303">
      <c r="A24" t="str">
        <f>Sheet!A24</f>
        <v>PG001</v>
      </c>
      <c r="GW24" s="27">
        <f>SUM(GY24,HC24,HG24,HK24,HO24,HS24,HW24,IA24,IE24,II24,IM24,IQ24,IU24,IY24,JC24,JG24,JK24,JO24,JS24,JW24,KA24,KE24,KI24,KM24,KQ24)/25</f>
        <v>1.92</v>
      </c>
      <c r="GY24">
        <f>IF(Sheet!GY24="Совсем нет/Not at all",1,IF(Sheet!GZ24="Немного/A little",2,IF(Sheet!HA24="Довольно сильно/Quite a bit",3,IF(Sheet!HB24="Очень сильно/Extremely",4,""))))</f>
        <v>3</v>
      </c>
      <c r="HC24">
        <f>IF(Sheet!HC24="Совсем нет/Not at all",1,IF(Sheet!HD24="Немного/A little",2,IF(Sheet!HE24="Довольно сильно/Quite a bit",3,IF(Sheet!HF24="Очень сильно/Extremely",4,""))))</f>
        <v>1</v>
      </c>
      <c r="HG24">
        <f>IF(Sheet!HG24="Совсем нет/Not at all",1,IF(Sheet!HH24="Немного/A little",2,IF(Sheet!HI24="Довольно сильно/Quite a bit",3,IF(Sheet!HJ24="Очень сильно/Extremely",4,""))))</f>
        <v>3</v>
      </c>
      <c r="HK24">
        <f>IF(Sheet!HK24="Совсем нет/Not at all",1,IF(Sheet!HL24="Немного/A little",2,IF(Sheet!HM24="Довольно сильно/Quite a bit",3,IF(Sheet!HN24="Очень сильно/Extremely",4,""))))</f>
        <v>1</v>
      </c>
      <c r="HO24">
        <f>IF(Sheet!HO24="Совсем нет/Not at all",1,IF(Sheet!HP24="Немного/A little",2,IF(Sheet!HQ24="Довольно сильно/Quite a bit",3,IF(Sheet!HR24="Очень сильно/Extremely",4,""))))</f>
        <v>1</v>
      </c>
      <c r="HS24">
        <f>IF(Sheet!HS24="Совсем нет/Not at all",1,IF(Sheet!HT24="Немного/A little",2,IF(Sheet!HU24="Довольно сильно/Quite a bit",3,IF(Sheet!HV24="Очень сильно/Extremely",4,""))))</f>
        <v>3</v>
      </c>
      <c r="HW24">
        <f>IF(Sheet!HW24="Совсем нет/Not at all",1,IF(Sheet!HX24="Немного/A little",2,IF(Sheet!HY24="Довольно сильно/Quite a bit",3,IF(Sheet!HZ24="Очень сильно/Extremely",4,""))))</f>
        <v>3</v>
      </c>
      <c r="IA24">
        <f>IF(Sheet!IA24="Совсем нет/Not at all",1,IF(Sheet!IB24="Немного/A little",2,IF(Sheet!IC24="Довольно сильно/Quite a bit",3,IF(Sheet!ID24="Очень сильно/Extremely",4,""))))</f>
        <v>3</v>
      </c>
      <c r="IE24">
        <f>IF(Sheet!IE24="Совсем нет/Not at all",1,IF(Sheet!IF24="Немного/A little",2,IF(Sheet!IG24="Довольно сильно/Quite a bit",3,IF(Sheet!IH24="Очень сильно/Extremely",4,""))))</f>
        <v>3</v>
      </c>
      <c r="II24">
        <f>IF(Sheet!II24="Совсем нет/Not at all",1,IF(Sheet!IJ24="Немного/A little",2,IF(Sheet!IK24="Довольно сильно/Quite a bit",3,IF(Sheet!IL24="Очень сильно/Extremely",4,""))))</f>
        <v>3</v>
      </c>
      <c r="IM24">
        <f>IF(Sheet!IM24="Совсем нет/Not at all",1,IF(Sheet!IN24="Немного/A little",2,IF(Sheet!IO24="Довольно сильно/Quite a bit",3,IF(Sheet!IP24="Очень сильно/Extremely",4,""))))</f>
        <v>3</v>
      </c>
      <c r="IQ24">
        <f>IF(Sheet!IQ24="Совсем нет/Not at all",1,IF(Sheet!IR24="Немного/A little",2,IF(Sheet!IS24="Довольно сильно/Quite a bit ",3,IF(Sheet!IT24="Очень сильно/Extremely ",4,""))))</f>
        <v>1</v>
      </c>
      <c r="IU24">
        <f>IF(Sheet!IU24="Совсем нет/Not at all",1,IF(Sheet!IV24="Немного/A little",2,IF(Sheet!IW24="Довольно сильно/Quite a bit ",3,IF(Sheet!IX24="Очень сильно/Extremely ",4,""))))</f>
        <v>1</v>
      </c>
      <c r="IY24">
        <f>IF(Sheet!IY24="Совсем нет/Not at all",1,IF(Sheet!IZ24="Немного/A little",2,IF(Sheet!JA24="Довольно сильно/Quite a bit ",3,IF(Sheet!JB24="Очень сильно/Extremely ",4,""))))</f>
        <v>1</v>
      </c>
      <c r="JC24">
        <f>IF(Sheet!JC24="Совсем нет/Not at all",1,IF(Sheet!JD24="Немного/A little",2,IF(Sheet!JE24="Довольно сильно/Quite a bit ",3,IF(Sheet!JF24="Очень сильно/Extremely ",4,""))))</f>
        <v>2</v>
      </c>
      <c r="JG24">
        <f>IF(Sheet!JG24="Совсем нет/Not at all",1,IF(Sheet!JH24="Немного/A little",2,IF(Sheet!JI24="Довольно сильно/Quite a bit ",3,IF(Sheet!JJ24="Очень сильно/Extremely ",4,""))))</f>
        <v>3</v>
      </c>
      <c r="JK24">
        <f>IF(Sheet!JK24="Совсем нет/Not at all",1,IF(Sheet!JL24="Немного/A little",2,IF(Sheet!JM24="Довольно сильно/Quite a bit ",3,IF(Sheet!JN24="Очень сильно/Extremely ",4,""))))</f>
        <v>2</v>
      </c>
      <c r="JO24">
        <f>IF(Sheet!JO24="Совсем нет/Not at all",1,IF(Sheet!JP24="Немного/A little",2,IF(Sheet!JQ24="Довольно сильно/Quite a bit",3,IF(Sheet!JR24="Очень сильно/Extremely",4,""))))</f>
        <v>1</v>
      </c>
      <c r="JS24">
        <f>IF(Sheet!JS24="Совсем нет/Not at all",1,IF(Sheet!JT24="Немного/A little",2,IF(Sheet!JU24="Довольно сильно/Quite a bit",3,IF(Sheet!JV24="Очень сильно/Extremely",4,""))))</f>
        <v>1</v>
      </c>
      <c r="JW24">
        <f>IF(Sheet!JW24="Совсем нет/Not at all",1,IF(Sheet!JX24="Немного/A little",2,IF(Sheet!JY24="Довольно сильно/Quite a bit",3,IF(Sheet!JZ24="Очень сильно/Extremely",4,""))))</f>
        <v>3</v>
      </c>
      <c r="KA24">
        <f>IF(Sheet!KA24="Совсем нет/Not at all",1,IF(Sheet!KB24="Немного/A little",2,IF(Sheet!KC24="Довольно сильно/Quite a bit",3,IF(Sheet!KD24="Очень сильно/Extremely",4,""))))</f>
        <v>1</v>
      </c>
      <c r="KE24">
        <f>IF(Sheet!KE24="Совсем нет/Not at all",1,IF(Sheet!KF24="Немного/A little",2,IF(Sheet!KG24="Довольно сильно/Quite a bit",3,IF(Sheet!KH24="Очень сильно/Extremely",4,""))))</f>
        <v>1</v>
      </c>
      <c r="KI24">
        <f>IF(Sheet!KI24="Совсем нет/Not at all",1,IF(Sheet!KJ24="Немного/A little",2,IF(Sheet!KK24="Довольно сильно/Quite a bit",3,IF(Sheet!KL24="Очень сильно/Extremely",4,""))))</f>
        <v>2</v>
      </c>
      <c r="KM24">
        <f>IF(Sheet!KM24="Совсем нет/Not at all",1,IF(Sheet!KN24="Немного/A little",2,IF(Sheet!KO24="Довольно сильно/Quite a bit",3,IF(Sheet!KP24="Очень сильно/Extremely",4,""))))</f>
        <v>1</v>
      </c>
      <c r="KQ24">
        <f>IF(Sheet!KQ24="Совсем нет/Not at all",1,IF(Sheet!KR24="Немного/A little",2,IF(Sheet!KS24="Довольно сильно/Quite a bit",3,IF(Sheet!KT24="Очень сильно/Extremely",4,""))))</f>
        <v>1</v>
      </c>
    </row>
    <row r="25" spans="1:303">
      <c r="A25" t="str">
        <f>Sheet!A25</f>
        <v>CV001</v>
      </c>
      <c r="GW25" s="27">
        <f>SUM(GY25,HC25,HG25,HK25,HO25,HS25,HW25,IA25,IE25,II25,IM25,IQ25,IU25,IY25,JC25,JG25,JK25,JO25,JS25,JW25,KA25,KE25,KI25,KM25,KQ25)/25</f>
        <v>1.68</v>
      </c>
      <c r="GY25">
        <f>IF(Sheet!GY25="Совсем нет/Not at all",1,IF(Sheet!GZ25="Немного/A little",2,IF(Sheet!HA25="Довольно сильно/Quite a bit",3,IF(Sheet!HB25="Очень сильно/Extremely",4,""))))</f>
        <v>1</v>
      </c>
      <c r="HC25">
        <f>IF(Sheet!HC25="Совсем нет/Not at all",1,IF(Sheet!HD25="Немного/A little",2,IF(Sheet!HE25="Довольно сильно/Quite a bit",3,IF(Sheet!HF25="Очень сильно/Extremely",4,""))))</f>
        <v>1</v>
      </c>
      <c r="HG25">
        <f>IF(Sheet!HG25="Совсем нет/Not at all",1,IF(Sheet!HH25="Немного/A little",2,IF(Sheet!HI25="Довольно сильно/Quite a bit",3,IF(Sheet!HJ25="Очень сильно/Extremely",4,""))))</f>
        <v>1</v>
      </c>
      <c r="HK25">
        <f>IF(Sheet!HK25="Совсем нет/Not at all",1,IF(Sheet!HL25="Немного/A little",2,IF(Sheet!HM25="Довольно сильно/Quite a bit",3,IF(Sheet!HN25="Очень сильно/Extremely",4,""))))</f>
        <v>2</v>
      </c>
      <c r="HO25">
        <f>IF(Sheet!HO25="Совсем нет/Not at all",1,IF(Sheet!HP25="Немного/A little",2,IF(Sheet!HQ25="Довольно сильно/Quite a bit",3,IF(Sheet!HR25="Очень сильно/Extremely",4,""))))</f>
        <v>1</v>
      </c>
      <c r="HS25">
        <f>IF(Sheet!HS25="Совсем нет/Not at all",1,IF(Sheet!HT25="Немного/A little",2,IF(Sheet!HU25="Довольно сильно/Quite a bit",3,IF(Sheet!HV25="Очень сильно/Extremely",4,""))))</f>
        <v>2</v>
      </c>
      <c r="HW25">
        <f>IF(Sheet!HW25="Совсем нет/Not at all",1,IF(Sheet!HX25="Немного/A little",2,IF(Sheet!HY25="Довольно сильно/Quite a bit",3,IF(Sheet!HZ25="Очень сильно/Extremely",4,""))))</f>
        <v>3</v>
      </c>
      <c r="IA25">
        <f>IF(Sheet!IA25="Совсем нет/Not at all",1,IF(Sheet!IB25="Немного/A little",2,IF(Sheet!IC25="Довольно сильно/Quite a bit",3,IF(Sheet!ID25="Очень сильно/Extremely",4,""))))</f>
        <v>1</v>
      </c>
      <c r="IE25">
        <f>IF(Sheet!IE25="Совсем нет/Not at all",1,IF(Sheet!IF25="Немного/A little",2,IF(Sheet!IG25="Довольно сильно/Quite a bit",3,IF(Sheet!IH25="Очень сильно/Extremely",4,""))))</f>
        <v>1</v>
      </c>
      <c r="II25">
        <f>IF(Sheet!II25="Совсем нет/Not at all",1,IF(Sheet!IJ25="Немного/A little",2,IF(Sheet!IK25="Довольно сильно/Quite a bit",3,IF(Sheet!IL25="Очень сильно/Extremely",4,""))))</f>
        <v>2</v>
      </c>
      <c r="IM25">
        <f>IF(Sheet!IM25="Совсем нет/Not at all",1,IF(Sheet!IN25="Немного/A little",2,IF(Sheet!IO25="Довольно сильно/Quite a bit",3,IF(Sheet!IP25="Очень сильно/Extremely",4,""))))</f>
        <v>3</v>
      </c>
      <c r="IQ25">
        <f>IF(Sheet!IQ25="Совсем нет/Not at all",1,IF(Sheet!IR25="Немного/A little",2,IF(Sheet!IS25="Довольно сильно/Quite a bit ",3,IF(Sheet!IT25="Очень сильно/Extremely ",4,""))))</f>
        <v>1</v>
      </c>
      <c r="IU25">
        <f>IF(Sheet!IU25="Совсем нет/Not at all",1,IF(Sheet!IV25="Немного/A little",2,IF(Sheet!IW25="Довольно сильно/Quite a bit ",3,IF(Sheet!IX25="Очень сильно/Extremely ",4,""))))</f>
        <v>2</v>
      </c>
      <c r="IY25">
        <f>IF(Sheet!IY25="Совсем нет/Not at all",1,IF(Sheet!IZ25="Немного/A little",2,IF(Sheet!JA25="Довольно сильно/Quite a bit ",3,IF(Sheet!JB25="Очень сильно/Extremely ",4,""))))</f>
        <v>1</v>
      </c>
      <c r="JC25">
        <f>IF(Sheet!JC25="Совсем нет/Not at all",1,IF(Sheet!JD25="Немного/A little",2,IF(Sheet!JE25="Довольно сильно/Quite a bit ",3,IF(Sheet!JF25="Очень сильно/Extremely ",4,""))))</f>
        <v>2</v>
      </c>
      <c r="JG25">
        <f>IF(Sheet!JG25="Совсем нет/Not at all",1,IF(Sheet!JH25="Немного/A little",2,IF(Sheet!JI25="Довольно сильно/Quite a bit ",3,IF(Sheet!JJ25="Очень сильно/Extremely ",4,""))))</f>
        <v>4</v>
      </c>
      <c r="JK25">
        <f>IF(Sheet!JK25="Совсем нет/Not at all",1,IF(Sheet!JL25="Немного/A little",2,IF(Sheet!JM25="Довольно сильно/Quite a bit ",3,IF(Sheet!JN25="Очень сильно/Extremely ",4,""))))</f>
        <v>1</v>
      </c>
      <c r="JO25">
        <f>IF(Sheet!JO25="Совсем нет/Not at all",1,IF(Sheet!JP25="Немного/A little",2,IF(Sheet!JQ25="Довольно сильно/Quite a bit",3,IF(Sheet!JR25="Очень сильно/Extremely",4,""))))</f>
        <v>1</v>
      </c>
      <c r="JS25">
        <f>IF(Sheet!JS25="Совсем нет/Not at all",1,IF(Sheet!JT25="Немного/A little",2,IF(Sheet!JU25="Довольно сильно/Quite a bit",3,IF(Sheet!JV25="Очень сильно/Extremely",4,""))))</f>
        <v>1</v>
      </c>
      <c r="JW25">
        <f>IF(Sheet!JW25="Совсем нет/Not at all",1,IF(Sheet!JX25="Немного/A little",2,IF(Sheet!JY25="Довольно сильно/Quite a bit",3,IF(Sheet!JZ25="Очень сильно/Extremely",4,""))))</f>
        <v>2</v>
      </c>
      <c r="KA25">
        <f>IF(Sheet!KA25="Совсем нет/Not at all",1,IF(Sheet!KB25="Немного/A little",2,IF(Sheet!KC25="Довольно сильно/Quite a bit",3,IF(Sheet!KD25="Очень сильно/Extremely",4,""))))</f>
        <v>1</v>
      </c>
      <c r="KE25">
        <f>IF(Sheet!KE25="Совсем нет/Not at all",1,IF(Sheet!KF25="Немного/A little",2,IF(Sheet!KG25="Довольно сильно/Quite a bit",3,IF(Sheet!KH25="Очень сильно/Extremely",4,""))))</f>
        <v>2</v>
      </c>
      <c r="KI25">
        <f>IF(Sheet!KI25="Совсем нет/Not at all",1,IF(Sheet!KJ25="Немного/A little",2,IF(Sheet!KK25="Довольно сильно/Quite a bit",3,IF(Sheet!KL25="Очень сильно/Extremely",4,""))))</f>
        <v>3</v>
      </c>
      <c r="KM25">
        <f>IF(Sheet!KM25="Совсем нет/Not at all",1,IF(Sheet!KN25="Немного/A little",2,IF(Sheet!KO25="Довольно сильно/Quite a bit",3,IF(Sheet!KP25="Очень сильно/Extremely",4,""))))</f>
        <v>1</v>
      </c>
      <c r="KQ25">
        <f>IF(Sheet!KQ25="Совсем нет/Not at all",1,IF(Sheet!KR25="Немного/A little",2,IF(Sheet!KS25="Довольно сильно/Quite a bit",3,IF(Sheet!KT25="Очень сильно/Extremely",4,""))))</f>
        <v>2</v>
      </c>
    </row>
    <row r="26" spans="1:303">
      <c r="A26" t="str">
        <f>Sheet!A26</f>
        <v>CG001</v>
      </c>
      <c r="GW26" s="27">
        <f>SUM(GY26,HC26,HG26,HK26,HO26,HS26,HW26,IA26,IE26,II26,IM26,IQ26,IU26,IY26,JC26,JG26,JK26,JO26,JS26,JW26,KA26,KE26,KI26,KM26,KQ26)/25</f>
        <v>1.56</v>
      </c>
      <c r="GY26">
        <f>IF(Sheet!GY26="Совсем нет/Not at all",1,IF(Sheet!GZ26="Немного/A little",2,IF(Sheet!HA26="Довольно сильно/Quite a bit",3,IF(Sheet!HB26="Очень сильно/Extremely",4,""))))</f>
        <v>2</v>
      </c>
      <c r="HC26">
        <f>IF(Sheet!HC26="Совсем нет/Not at all",1,IF(Sheet!HD26="Немного/A little",2,IF(Sheet!HE26="Довольно сильно/Quite a bit",3,IF(Sheet!HF26="Очень сильно/Extremely",4,""))))</f>
        <v>1</v>
      </c>
      <c r="HG26">
        <f>IF(Sheet!HG26="Совсем нет/Not at all",1,IF(Sheet!HH26="Немного/A little",2,IF(Sheet!HI26="Довольно сильно/Quite a bit",3,IF(Sheet!HJ26="Очень сильно/Extremely",4,""))))</f>
        <v>1</v>
      </c>
      <c r="HK26">
        <f>IF(Sheet!HK26="Совсем нет/Not at all",1,IF(Sheet!HL26="Немного/A little",2,IF(Sheet!HM26="Довольно сильно/Quite a bit",3,IF(Sheet!HN26="Очень сильно/Extremely",4,""))))</f>
        <v>2</v>
      </c>
      <c r="HO26">
        <f>IF(Sheet!HO26="Совсем нет/Not at all",1,IF(Sheet!HP26="Немного/A little",2,IF(Sheet!HQ26="Довольно сильно/Quite a bit",3,IF(Sheet!HR26="Очень сильно/Extremely",4,""))))</f>
        <v>2</v>
      </c>
      <c r="HS26">
        <f>IF(Sheet!HS26="Совсем нет/Not at all",1,IF(Sheet!HT26="Немного/A little",2,IF(Sheet!HU26="Довольно сильно/Quite a bit",3,IF(Sheet!HV26="Очень сильно/Extremely",4,""))))</f>
        <v>1</v>
      </c>
      <c r="HW26">
        <f>IF(Sheet!HW26="Совсем нет/Not at all",1,IF(Sheet!HX26="Немного/A little",2,IF(Sheet!HY26="Довольно сильно/Quite a bit",3,IF(Sheet!HZ26="Очень сильно/Extremely",4,""))))</f>
        <v>2</v>
      </c>
      <c r="IA26">
        <f>IF(Sheet!IA26="Совсем нет/Not at all",1,IF(Sheet!IB26="Немного/A little",2,IF(Sheet!IC26="Довольно сильно/Quite a bit",3,IF(Sheet!ID26="Очень сильно/Extremely",4,""))))</f>
        <v>1</v>
      </c>
      <c r="IE26">
        <f>IF(Sheet!IE26="Совсем нет/Not at all",1,IF(Sheet!IF26="Немного/A little",2,IF(Sheet!IG26="Довольно сильно/Quite a bit",3,IF(Sheet!IH26="Очень сильно/Extremely",4,""))))</f>
        <v>1</v>
      </c>
      <c r="II26">
        <f>IF(Sheet!II26="Совсем нет/Not at all",1,IF(Sheet!IJ26="Немного/A little",2,IF(Sheet!IK26="Довольно сильно/Quite a bit",3,IF(Sheet!IL26="Очень сильно/Extremely",4,""))))</f>
        <v>1</v>
      </c>
      <c r="IM26">
        <f>IF(Sheet!IM26="Совсем нет/Not at all",1,IF(Sheet!IN26="Немного/A little",2,IF(Sheet!IO26="Довольно сильно/Quite a bit",3,IF(Sheet!IP26="Очень сильно/Extremely",4,""))))</f>
        <v>1</v>
      </c>
      <c r="IQ26">
        <f>IF(Sheet!IQ26="Совсем нет/Not at all",1,IF(Sheet!IR26="Немного/A little",2,IF(Sheet!IS26="Довольно сильно/Quite a bit ",3,IF(Sheet!IT26="Очень сильно/Extremely ",4,""))))</f>
        <v>1</v>
      </c>
      <c r="IU26">
        <f>IF(Sheet!IU26="Совсем нет/Not at all",1,IF(Sheet!IV26="Немного/A little",2,IF(Sheet!IW26="Довольно сильно/Quite a bit ",3,IF(Sheet!IX26="Очень сильно/Extremely ",4,""))))</f>
        <v>1</v>
      </c>
      <c r="IY26">
        <f>IF(Sheet!IY26="Совсем нет/Not at all",1,IF(Sheet!IZ26="Немного/A little",2,IF(Sheet!JA26="Довольно сильно/Quite a bit ",3,IF(Sheet!JB26="Очень сильно/Extremely ",4,""))))</f>
        <v>4</v>
      </c>
      <c r="JC26">
        <f>IF(Sheet!JC26="Совсем нет/Not at all",1,IF(Sheet!JD26="Немного/A little",2,IF(Sheet!JE26="Довольно сильно/Quite a bit ",3,IF(Sheet!JF26="Очень сильно/Extremely ",4,""))))</f>
        <v>1</v>
      </c>
      <c r="JG26">
        <f>IF(Sheet!JG26="Совсем нет/Not at all",1,IF(Sheet!JH26="Немного/A little",2,IF(Sheet!JI26="Довольно сильно/Quite a bit ",3,IF(Sheet!JJ26="Очень сильно/Extremely ",4,""))))</f>
        <v>2</v>
      </c>
      <c r="JK26">
        <f>IF(Sheet!JK26="Совсем нет/Not at all",1,IF(Sheet!JL26="Немного/A little",2,IF(Sheet!JM26="Довольно сильно/Quite a bit ",3,IF(Sheet!JN26="Очень сильно/Extremely ",4,""))))</f>
        <v>2</v>
      </c>
      <c r="JO26">
        <f>IF(Sheet!JO26="Совсем нет/Not at all",1,IF(Sheet!JP26="Немного/A little",2,IF(Sheet!JQ26="Довольно сильно/Quite a bit",3,IF(Sheet!JR26="Очень сильно/Extremely",4,""))))</f>
        <v>2</v>
      </c>
      <c r="JS26">
        <f>IF(Sheet!JS26="Совсем нет/Not at all",1,IF(Sheet!JT26="Немного/A little",2,IF(Sheet!JU26="Довольно сильно/Quite a bit",3,IF(Sheet!JV26="Очень сильно/Extremely",4,""))))</f>
        <v>2</v>
      </c>
      <c r="JW26">
        <f>IF(Sheet!JW26="Совсем нет/Not at all",1,IF(Sheet!JX26="Немного/A little",2,IF(Sheet!JY26="Довольно сильно/Quite a bit",3,IF(Sheet!JZ26="Очень сильно/Extremely",4,""))))</f>
        <v>2</v>
      </c>
      <c r="KA26">
        <f>IF(Sheet!KA26="Совсем нет/Not at all",1,IF(Sheet!KB26="Немного/A little",2,IF(Sheet!KC26="Довольно сильно/Quite a bit",3,IF(Sheet!KD26="Очень сильно/Extremely",4,""))))</f>
        <v>2</v>
      </c>
      <c r="KE26">
        <f>IF(Sheet!KE26="Совсем нет/Not at all",1,IF(Sheet!KF26="Немного/A little",2,IF(Sheet!KG26="Довольно сильно/Quite a bit",3,IF(Sheet!KH26="Очень сильно/Extremely",4,""))))</f>
        <v>1</v>
      </c>
      <c r="KI26">
        <f>IF(Sheet!KI26="Совсем нет/Not at all",1,IF(Sheet!KJ26="Немного/A little",2,IF(Sheet!KK26="Довольно сильно/Quite a bit",3,IF(Sheet!KL26="Очень сильно/Extremely",4,""))))</f>
        <v>1</v>
      </c>
      <c r="KM26">
        <f>IF(Sheet!KM26="Совсем нет/Not at all",1,IF(Sheet!KN26="Немного/A little",2,IF(Sheet!KO26="Довольно сильно/Quite a bit",3,IF(Sheet!KP26="Очень сильно/Extremely",4,""))))</f>
        <v>1</v>
      </c>
      <c r="KQ26">
        <f>IF(Sheet!KQ26="Совсем нет/Not at all",1,IF(Sheet!KR26="Немного/A little",2,IF(Sheet!KS26="Довольно сильно/Quite a bit",3,IF(Sheet!KT26="Очень сильно/Extremely",4,""))))</f>
        <v>2</v>
      </c>
    </row>
    <row r="27" spans="1:303">
      <c r="A27" t="str">
        <f>Sheet!A27</f>
        <v>RG001</v>
      </c>
      <c r="GW27" s="27">
        <f>SUM(GY27,HC27,HG27,HK27,HO27,HS27,HW27,IA27,IE27,II27,IM27,IQ27,IU27,IY27,JC27,JG27,JK27,JO27,JS27,JW27,KA27,KE27,KI27,KM27,KQ27)/25</f>
        <v>2.72</v>
      </c>
      <c r="GY27">
        <f>IF(Sheet!GY27="Совсем нет/Not at all",1,IF(Sheet!GZ27="Немного/A little",2,IF(Sheet!HA27="Довольно сильно/Quite a bit",3,IF(Sheet!HB27="Очень сильно/Extremely",4,""))))</f>
        <v>2</v>
      </c>
      <c r="HC27">
        <f>IF(Sheet!HC27="Совсем нет/Not at all",1,IF(Sheet!HD27="Немного/A little",2,IF(Sheet!HE27="Довольно сильно/Quite a bit",3,IF(Sheet!HF27="Очень сильно/Extremely",4,""))))</f>
        <v>1</v>
      </c>
      <c r="HG27">
        <f>IF(Sheet!HG27="Совсем нет/Not at all",1,IF(Sheet!HH27="Немного/A little",2,IF(Sheet!HI27="Довольно сильно/Quite a bit",3,IF(Sheet!HJ27="Очень сильно/Extremely",4,""))))</f>
        <v>1</v>
      </c>
      <c r="HK27">
        <f>IF(Sheet!HK27="Совсем нет/Not at all",1,IF(Sheet!HL27="Немного/A little",2,IF(Sheet!HM27="Довольно сильно/Quite a bit",3,IF(Sheet!HN27="Очень сильно/Extremely",4,""))))</f>
        <v>2</v>
      </c>
      <c r="HO27">
        <f>IF(Sheet!HO27="Совсем нет/Not at all",1,IF(Sheet!HP27="Немного/A little",2,IF(Sheet!HQ27="Довольно сильно/Quite a bit",3,IF(Sheet!HR27="Очень сильно/Extremely",4,""))))</f>
        <v>3</v>
      </c>
      <c r="HS27">
        <f>IF(Sheet!HS27="Совсем нет/Not at all",1,IF(Sheet!HT27="Немного/A little",2,IF(Sheet!HU27="Довольно сильно/Quite a bit",3,IF(Sheet!HV27="Очень сильно/Extremely",4,""))))</f>
        <v>3</v>
      </c>
      <c r="HW27">
        <f>IF(Sheet!HW27="Совсем нет/Not at all",1,IF(Sheet!HX27="Немного/A little",2,IF(Sheet!HY27="Довольно сильно/Quite a bit",3,IF(Sheet!HZ27="Очень сильно/Extremely",4,""))))</f>
        <v>4</v>
      </c>
      <c r="IA27">
        <f>IF(Sheet!IA27="Совсем нет/Not at all",1,IF(Sheet!IB27="Немного/A little",2,IF(Sheet!IC27="Довольно сильно/Quite a bit",3,IF(Sheet!ID27="Очень сильно/Extremely",4,""))))</f>
        <v>4</v>
      </c>
      <c r="IE27">
        <f>IF(Sheet!IE27="Совсем нет/Not at all",1,IF(Sheet!IF27="Немного/A little",2,IF(Sheet!IG27="Довольно сильно/Quite a bit",3,IF(Sheet!IH27="Очень сильно/Extremely",4,""))))</f>
        <v>4</v>
      </c>
      <c r="II27">
        <f>IF(Sheet!II27="Совсем нет/Not at all",1,IF(Sheet!IJ27="Немного/A little",2,IF(Sheet!IK27="Довольно сильно/Quite a bit",3,IF(Sheet!IL27="Очень сильно/Extremely",4,""))))</f>
        <v>4</v>
      </c>
      <c r="IM27">
        <f>IF(Sheet!IM27="Совсем нет/Not at all",1,IF(Sheet!IN27="Немного/A little",2,IF(Sheet!IO27="Довольно сильно/Quite a bit",3,IF(Sheet!IP27="Очень сильно/Extremely",4,""))))</f>
        <v>2</v>
      </c>
      <c r="IQ27">
        <f>IF(Sheet!IQ27="Совсем нет/Not at all",1,IF(Sheet!IR27="Немного/A little",2,IF(Sheet!IS27="Довольно сильно/Quite a bit ",3,IF(Sheet!IT27="Очень сильно/Extremely ",4,""))))</f>
        <v>1</v>
      </c>
      <c r="IU27">
        <f>IF(Sheet!IU27="Совсем нет/Not at all",1,IF(Sheet!IV27="Немного/A little",2,IF(Sheet!IW27="Довольно сильно/Quite a bit ",3,IF(Sheet!IX27="Очень сильно/Extremely ",4,""))))</f>
        <v>4</v>
      </c>
      <c r="IY27">
        <f>IF(Sheet!IY27="Совсем нет/Not at all",1,IF(Sheet!IZ27="Немного/A little",2,IF(Sheet!JA27="Довольно сильно/Quite a bit ",3,IF(Sheet!JB27="Очень сильно/Extremely ",4,""))))</f>
        <v>4</v>
      </c>
      <c r="JC27">
        <f>IF(Sheet!JC27="Совсем нет/Not at all",1,IF(Sheet!JD27="Немного/A little",2,IF(Sheet!JE27="Довольно сильно/Quite a bit ",3,IF(Sheet!JF27="Очень сильно/Extremely ",4,""))))</f>
        <v>4</v>
      </c>
      <c r="JG27">
        <f>IF(Sheet!JG27="Совсем нет/Not at all",1,IF(Sheet!JH27="Немного/A little",2,IF(Sheet!JI27="Довольно сильно/Quite a bit ",3,IF(Sheet!JJ27="Очень сильно/Extremely ",4,""))))</f>
        <v>1</v>
      </c>
      <c r="JK27">
        <f>IF(Sheet!JK27="Совсем нет/Not at all",1,IF(Sheet!JL27="Немного/A little",2,IF(Sheet!JM27="Довольно сильно/Quite a bit ",3,IF(Sheet!JN27="Очень сильно/Extremely ",4,""))))</f>
        <v>4</v>
      </c>
      <c r="JO27">
        <f>IF(Sheet!JO27="Совсем нет/Not at all",1,IF(Sheet!JP27="Немного/A little",2,IF(Sheet!JQ27="Довольно сильно/Quite a bit",3,IF(Sheet!JR27="Очень сильно/Extremely",4,""))))</f>
        <v>2</v>
      </c>
      <c r="JS27">
        <f>IF(Sheet!JS27="Совсем нет/Not at all",1,IF(Sheet!JT27="Немного/A little",2,IF(Sheet!JU27="Довольно сильно/Quite a bit",3,IF(Sheet!JV27="Очень сильно/Extremely",4,""))))</f>
        <v>2</v>
      </c>
      <c r="JW27">
        <f>IF(Sheet!JW27="Совсем нет/Not at all",1,IF(Sheet!JX27="Немного/A little",2,IF(Sheet!JY27="Довольно сильно/Quite a bit",3,IF(Sheet!JZ27="Очень сильно/Extremely",4,""))))</f>
        <v>3</v>
      </c>
      <c r="KA27">
        <f>IF(Sheet!KA27="Совсем нет/Not at all",1,IF(Sheet!KB27="Немного/A little",2,IF(Sheet!KC27="Довольно сильно/Quite a bit",3,IF(Sheet!KD27="Очень сильно/Extremely",4,""))))</f>
        <v>4</v>
      </c>
      <c r="KE27">
        <f>IF(Sheet!KE27="Совсем нет/Not at all",1,IF(Sheet!KF27="Немного/A little",2,IF(Sheet!KG27="Довольно сильно/Quite a bit",3,IF(Sheet!KH27="Очень сильно/Extremely",4,""))))</f>
        <v>1</v>
      </c>
      <c r="KI27">
        <f>IF(Sheet!KI27="Совсем нет/Not at all",1,IF(Sheet!KJ27="Немного/A little",2,IF(Sheet!KK27="Довольно сильно/Quite a bit",3,IF(Sheet!KL27="Очень сильно/Extremely",4,""))))</f>
        <v>4</v>
      </c>
      <c r="KM27">
        <f>IF(Sheet!KM27="Совсем нет/Not at all",1,IF(Sheet!KN27="Немного/A little",2,IF(Sheet!KO27="Довольно сильно/Quite a bit",3,IF(Sheet!KP27="Очень сильно/Extremely",4,""))))</f>
        <v>2</v>
      </c>
      <c r="KQ27">
        <f>IF(Sheet!KQ27="Совсем нет/Not at all",1,IF(Sheet!KR27="Немного/A little",2,IF(Sheet!KS27="Довольно сильно/Quite a bit",3,IF(Sheet!KT27="Очень сильно/Extremely",4,""))))</f>
        <v>2</v>
      </c>
    </row>
    <row r="28" spans="1:303">
      <c r="A28" t="str">
        <f>Sheet!A28</f>
        <v>AO001</v>
      </c>
      <c r="GW28" s="27">
        <f>SUM(GY28,HC28,HG28,HK28,HO28,HS28,HW28,IA28,IE28,II28,IM28,IQ28,IU28,IY28,JC28,JG28,JK28,JO28,JS28,JW28,KA28,KE28,KI28,KM28,KQ28)/25</f>
        <v>1.64</v>
      </c>
      <c r="GY28">
        <f>IF(Sheet!GY28="Совсем нет/Not at all",1,IF(Sheet!GZ28="Немного/A little",2,IF(Sheet!HA28="Довольно сильно/Quite a bit",3,IF(Sheet!HB28="Очень сильно/Extremely",4,""))))</f>
        <v>1</v>
      </c>
      <c r="HC28">
        <f>IF(Sheet!HC28="Совсем нет/Not at all",1,IF(Sheet!HD28="Немного/A little",2,IF(Sheet!HE28="Довольно сильно/Quite a bit",3,IF(Sheet!HF28="Очень сильно/Extremely",4,""))))</f>
        <v>1</v>
      </c>
      <c r="HG28">
        <f>IF(Sheet!HG28="Совсем нет/Not at all",1,IF(Sheet!HH28="Немного/A little",2,IF(Sheet!HI28="Довольно сильно/Quite a bit",3,IF(Sheet!HJ28="Очень сильно/Extremely",4,""))))</f>
        <v>1</v>
      </c>
      <c r="HK28">
        <f>IF(Sheet!HK28="Совсем нет/Not at all",1,IF(Sheet!HL28="Немного/A little",2,IF(Sheet!HM28="Довольно сильно/Quite a bit",3,IF(Sheet!HN28="Очень сильно/Extremely",4,""))))</f>
        <v>2</v>
      </c>
      <c r="HO28">
        <f>IF(Sheet!HO28="Совсем нет/Not at all",1,IF(Sheet!HP28="Немного/A little",2,IF(Sheet!HQ28="Довольно сильно/Quite a bit",3,IF(Sheet!HR28="Очень сильно/Extremely",4,""))))</f>
        <v>1</v>
      </c>
      <c r="HS28">
        <f>IF(Sheet!HS28="Совсем нет/Not at all",1,IF(Sheet!HT28="Немного/A little",2,IF(Sheet!HU28="Довольно сильно/Quite a bit",3,IF(Sheet!HV28="Очень сильно/Extremely",4,""))))</f>
        <v>2</v>
      </c>
      <c r="HW28">
        <f>IF(Sheet!HW28="Совсем нет/Not at all",1,IF(Sheet!HX28="Немного/A little",2,IF(Sheet!HY28="Довольно сильно/Quite a bit",3,IF(Sheet!HZ28="Очень сильно/Extremely",4,""))))</f>
        <v>3</v>
      </c>
      <c r="IA28">
        <f>IF(Sheet!IA28="Совсем нет/Not at all",1,IF(Sheet!IB28="Немного/A little",2,IF(Sheet!IC28="Довольно сильно/Quite a bit",3,IF(Sheet!ID28="Очень сильно/Extremely",4,""))))</f>
        <v>3</v>
      </c>
      <c r="IE28">
        <f>IF(Sheet!IE28="Совсем нет/Not at all",1,IF(Sheet!IF28="Немного/A little",2,IF(Sheet!IG28="Довольно сильно/Quite a bit",3,IF(Sheet!IH28="Очень сильно/Extremely",4,""))))</f>
        <v>1</v>
      </c>
      <c r="II28">
        <f>IF(Sheet!II28="Совсем нет/Not at all",1,IF(Sheet!IJ28="Немного/A little",2,IF(Sheet!IK28="Довольно сильно/Quite a bit",3,IF(Sheet!IL28="Очень сильно/Extremely",4,""))))</f>
        <v>4</v>
      </c>
      <c r="IM28">
        <f>IF(Sheet!IM28="Совсем нет/Not at all",1,IF(Sheet!IN28="Немного/A little",2,IF(Sheet!IO28="Довольно сильно/Quite a bit",3,IF(Sheet!IP28="Очень сильно/Extremely",4,""))))</f>
        <v>1</v>
      </c>
      <c r="IQ28">
        <f>IF(Sheet!IQ28="Совсем нет/Not at all",1,IF(Sheet!IR28="Немного/A little",2,IF(Sheet!IS28="Довольно сильно/Quite a bit ",3,IF(Sheet!IT28="Очень сильно/Extremely ",4,""))))</f>
        <v>1</v>
      </c>
      <c r="IU28">
        <f>IF(Sheet!IU28="Совсем нет/Not at all",1,IF(Sheet!IV28="Немного/A little",2,IF(Sheet!IW28="Довольно сильно/Quite a bit ",3,IF(Sheet!IX28="Очень сильно/Extremely ",4,""))))</f>
        <v>1</v>
      </c>
      <c r="IY28">
        <f>IF(Sheet!IY28="Совсем нет/Not at all",1,IF(Sheet!IZ28="Немного/A little",2,IF(Sheet!JA28="Довольно сильно/Quite a bit ",3,IF(Sheet!JB28="Очень сильно/Extremely ",4,""))))</f>
        <v>2</v>
      </c>
      <c r="JC28">
        <f>IF(Sheet!JC28="Совсем нет/Not at all",1,IF(Sheet!JD28="Немного/A little",2,IF(Sheet!JE28="Довольно сильно/Quite a bit ",3,IF(Sheet!JF28="Очень сильно/Extremely ",4,""))))</f>
        <v>1</v>
      </c>
      <c r="JG28">
        <f>IF(Sheet!JG28="Совсем нет/Not at all",1,IF(Sheet!JH28="Немного/A little",2,IF(Sheet!JI28="Довольно сильно/Quite a bit ",3,IF(Sheet!JJ28="Очень сильно/Extremely ",4,""))))</f>
        <v>1</v>
      </c>
      <c r="JK28">
        <f>IF(Sheet!JK28="Совсем нет/Not at all",1,IF(Sheet!JL28="Немного/A little",2,IF(Sheet!JM28="Довольно сильно/Quite a bit ",3,IF(Sheet!JN28="Очень сильно/Extremely ",4,""))))</f>
        <v>3</v>
      </c>
      <c r="JO28">
        <f>IF(Sheet!JO28="Совсем нет/Not at all",1,IF(Sheet!JP28="Немного/A little",2,IF(Sheet!JQ28="Довольно сильно/Quite a bit",3,IF(Sheet!JR28="Очень сильно/Extremely",4,""))))</f>
        <v>2</v>
      </c>
      <c r="JS28">
        <f>IF(Sheet!JS28="Совсем нет/Not at all",1,IF(Sheet!JT28="Немного/A little",2,IF(Sheet!JU28="Довольно сильно/Quite a bit",3,IF(Sheet!JV28="Очень сильно/Extremely",4,""))))</f>
        <v>2</v>
      </c>
      <c r="JW28">
        <f>IF(Sheet!JW28="Совсем нет/Not at all",1,IF(Sheet!JX28="Немного/A little",2,IF(Sheet!JY28="Довольно сильно/Quite a bit",3,IF(Sheet!JZ28="Очень сильно/Extremely",4,""))))</f>
        <v>1</v>
      </c>
      <c r="KA28">
        <f>IF(Sheet!KA28="Совсем нет/Not at all",1,IF(Sheet!KB28="Немного/A little",2,IF(Sheet!KC28="Довольно сильно/Quite a bit",3,IF(Sheet!KD28="Очень сильно/Extremely",4,""))))</f>
        <v>3</v>
      </c>
      <c r="KE28">
        <f>IF(Sheet!KE28="Совсем нет/Not at all",1,IF(Sheet!KF28="Немного/A little",2,IF(Sheet!KG28="Довольно сильно/Quite a bit",3,IF(Sheet!KH28="Очень сильно/Extremely",4,""))))</f>
        <v>1</v>
      </c>
      <c r="KI28">
        <f>IF(Sheet!KI28="Совсем нет/Not at all",1,IF(Sheet!KJ28="Немного/A little",2,IF(Sheet!KK28="Довольно сильно/Quite a bit",3,IF(Sheet!KL28="Очень сильно/Extremely",4,""))))</f>
        <v>1</v>
      </c>
      <c r="KM28">
        <f>IF(Sheet!KM28="Совсем нет/Not at all",1,IF(Sheet!KN28="Немного/A little",2,IF(Sheet!KO28="Довольно сильно/Quite a bit",3,IF(Sheet!KP28="Очень сильно/Extremely",4,""))))</f>
        <v>1</v>
      </c>
      <c r="KQ28">
        <f>IF(Sheet!KQ28="Совсем нет/Not at all",1,IF(Sheet!KR28="Немного/A little",2,IF(Sheet!KS28="Довольно сильно/Quite a bit",3,IF(Sheet!KT28="Очень сильно/Extremely",4,""))))</f>
        <v>1</v>
      </c>
    </row>
    <row r="29" spans="1:303">
      <c r="A29" t="str">
        <f>Sheet!A29</f>
        <v>FO001</v>
      </c>
      <c r="GW29" s="27">
        <f>SUM(GY29,HC29,HG29,HK29,HO29,HS29,HW29,IA29,IE29,II29,IM29,IQ29,IU29,IY29,JC29,JG29,JK29,JO29,JS29,JW29,KA29,KE29,KI29,KM29,KQ29)/25</f>
        <v>3</v>
      </c>
      <c r="GY29">
        <f>IF(Sheet!GY29="Совсем нет/Not at all",1,IF(Sheet!GZ29="Немного/A little",2,IF(Sheet!HA29="Довольно сильно/Quite a bit",3,IF(Sheet!HB29="Очень сильно/Extremely",4,""))))</f>
        <v>2</v>
      </c>
      <c r="HC29">
        <f>IF(Sheet!HC29="Совсем нет/Not at all",1,IF(Sheet!HD29="Немного/A little",2,IF(Sheet!HE29="Довольно сильно/Quite a bit",3,IF(Sheet!HF29="Очень сильно/Extremely",4,""))))</f>
        <v>2</v>
      </c>
      <c r="HG29">
        <f>IF(Sheet!HG29="Совсем нет/Not at all",1,IF(Sheet!HH29="Немного/A little",2,IF(Sheet!HI29="Довольно сильно/Quite a bit",3,IF(Sheet!HJ29="Очень сильно/Extremely",4,""))))</f>
        <v>3</v>
      </c>
      <c r="HK29">
        <f>IF(Sheet!HK29="Совсем нет/Not at all",1,IF(Sheet!HL29="Немного/A little",2,IF(Sheet!HM29="Довольно сильно/Quite a bit",3,IF(Sheet!HN29="Очень сильно/Extremely",4,""))))</f>
        <v>4</v>
      </c>
      <c r="HO29">
        <f>IF(Sheet!HO29="Совсем нет/Not at all",1,IF(Sheet!HP29="Немного/A little",2,IF(Sheet!HQ29="Довольно сильно/Quite a bit",3,IF(Sheet!HR29="Очень сильно/Extremely",4,""))))</f>
        <v>3</v>
      </c>
      <c r="HS29">
        <f>IF(Sheet!HS29="Совсем нет/Not at all",1,IF(Sheet!HT29="Немного/A little",2,IF(Sheet!HU29="Довольно сильно/Quite a bit",3,IF(Sheet!HV29="Очень сильно/Extremely",4,""))))</f>
        <v>4</v>
      </c>
      <c r="HW29">
        <f>IF(Sheet!HW29="Совсем нет/Not at all",1,IF(Sheet!HX29="Немного/A little",2,IF(Sheet!HY29="Довольно сильно/Quite a bit",3,IF(Sheet!HZ29="Очень сильно/Extremely",4,""))))</f>
        <v>3</v>
      </c>
      <c r="IA29">
        <f>IF(Sheet!IA29="Совсем нет/Not at all",1,IF(Sheet!IB29="Немного/A little",2,IF(Sheet!IC29="Довольно сильно/Quite a bit",3,IF(Sheet!ID29="Очень сильно/Extremely",4,""))))</f>
        <v>3</v>
      </c>
      <c r="IE29">
        <f>IF(Sheet!IE29="Совсем нет/Not at all",1,IF(Sheet!IF29="Немного/A little",2,IF(Sheet!IG29="Довольно сильно/Quite a bit",3,IF(Sheet!IH29="Очень сильно/Extremely",4,""))))</f>
        <v>4</v>
      </c>
      <c r="II29">
        <f>IF(Sheet!II29="Совсем нет/Not at all",1,IF(Sheet!IJ29="Немного/A little",2,IF(Sheet!IK29="Довольно сильно/Quite a bit",3,IF(Sheet!IL29="Очень сильно/Extremely",4,""))))</f>
        <v>3</v>
      </c>
      <c r="IM29">
        <f>IF(Sheet!IM29="Совсем нет/Not at all",1,IF(Sheet!IN29="Немного/A little",2,IF(Sheet!IO29="Довольно сильно/Quite a bit",3,IF(Sheet!IP29="Очень сильно/Extremely",4,""))))</f>
        <v>1</v>
      </c>
      <c r="IQ29">
        <f>IF(Sheet!IQ29="Совсем нет/Not at all",1,IF(Sheet!IR29="Немного/A little",2,IF(Sheet!IS29="Довольно сильно/Quite a bit ",3,IF(Sheet!IT29="Очень сильно/Extremely ",4,""))))</f>
        <v>2</v>
      </c>
      <c r="IU29">
        <f>IF(Sheet!IU29="Совсем нет/Not at all",1,IF(Sheet!IV29="Немного/A little",2,IF(Sheet!IW29="Довольно сильно/Quite a bit ",3,IF(Sheet!IX29="Очень сильно/Extremely ",4,""))))</f>
        <v>3</v>
      </c>
      <c r="IY29">
        <f>IF(Sheet!IY29="Совсем нет/Not at all",1,IF(Sheet!IZ29="Немного/A little",2,IF(Sheet!JA29="Довольно сильно/Quite a bit ",3,IF(Sheet!JB29="Очень сильно/Extremely ",4,""))))</f>
        <v>4</v>
      </c>
      <c r="JC29">
        <f>IF(Sheet!JC29="Совсем нет/Not at all",1,IF(Sheet!JD29="Немного/A little",2,IF(Sheet!JE29="Довольно сильно/Quite a bit ",3,IF(Sheet!JF29="Очень сильно/Extremely ",4,""))))</f>
        <v>4</v>
      </c>
      <c r="JG29">
        <f>IF(Sheet!JG29="Совсем нет/Not at all",1,IF(Sheet!JH29="Немного/A little",2,IF(Sheet!JI29="Довольно сильно/Quite a bit ",3,IF(Sheet!JJ29="Очень сильно/Extremely ",4,""))))</f>
        <v>2</v>
      </c>
      <c r="JK29">
        <f>IF(Sheet!JK29="Совсем нет/Not at all",1,IF(Sheet!JL29="Немного/A little",2,IF(Sheet!JM29="Довольно сильно/Quite a bit ",3,IF(Sheet!JN29="Очень сильно/Extremely ",4,""))))</f>
        <v>4</v>
      </c>
      <c r="JO29" t="str">
        <f>IF(Sheet!JO29="Совсем нет/Not at all",1,IF(Sheet!JP29="Немного/A little",2,IF(Sheet!JQ29="Довольно сильно/Quite a bit",3,IF(Sheet!JR29="Очень сильно/Extremely",4,""))))</f>
        <v/>
      </c>
      <c r="JS29">
        <f>IF(Sheet!JS29="Совсем нет/Not at all",1,IF(Sheet!JT29="Немного/A little",2,IF(Sheet!JU29="Довольно сильно/Quite a bit",3,IF(Sheet!JV29="Очень сильно/Extremely",4,""))))</f>
        <v>3</v>
      </c>
      <c r="JW29">
        <f>IF(Sheet!JW29="Совсем нет/Not at all",1,IF(Sheet!JX29="Немного/A little",2,IF(Sheet!JY29="Довольно сильно/Quite a bit",3,IF(Sheet!JZ29="Очень сильно/Extremely",4,""))))</f>
        <v>3</v>
      </c>
      <c r="KA29">
        <f>IF(Sheet!KA29="Совсем нет/Not at all",1,IF(Sheet!KB29="Немного/A little",2,IF(Sheet!KC29="Довольно сильно/Quite a bit",3,IF(Sheet!KD29="Очень сильно/Extremely",4,""))))</f>
        <v>4</v>
      </c>
      <c r="KE29">
        <f>IF(Sheet!KE29="Совсем нет/Not at all",1,IF(Sheet!KF29="Немного/A little",2,IF(Sheet!KG29="Довольно сильно/Quite a bit",3,IF(Sheet!KH29="Очень сильно/Extremely",4,""))))</f>
        <v>2</v>
      </c>
      <c r="KI29">
        <f>IF(Sheet!KI29="Совсем нет/Not at all",1,IF(Sheet!KJ29="Немного/A little",2,IF(Sheet!KK29="Довольно сильно/Quite a bit",3,IF(Sheet!KL29="Очень сильно/Extremely",4,""))))</f>
        <v>4</v>
      </c>
      <c r="KM29">
        <f>IF(Sheet!KM29="Совсем нет/Not at all",1,IF(Sheet!KN29="Немного/A little",2,IF(Sheet!KO29="Довольно сильно/Quite a bit",3,IF(Sheet!KP29="Очень сильно/Extremely",4,""))))</f>
        <v>4</v>
      </c>
      <c r="KQ29">
        <f>IF(Sheet!KQ29="Совсем нет/Not at all",1,IF(Sheet!KR29="Немного/A little",2,IF(Sheet!KS29="Довольно сильно/Quite a bit",3,IF(Sheet!KT29="Очень сильно/Extremely",4,""))))</f>
        <v>4</v>
      </c>
    </row>
    <row r="30" spans="1:303">
      <c r="A30" t="str">
        <f>Sheet!A30</f>
        <v>uu001</v>
      </c>
      <c r="GW30" s="27">
        <f>SUM(GY30,HC30,HG30,HK30,HO30,HS30,HW30,IA30,IE30,II30,IM30,IQ30,IU30,IY30,JC30,JG30,JK30,JO30,JS30,JW30,KA30,KE30,KI30,KM30,KQ30)/25</f>
        <v>1.56</v>
      </c>
      <c r="GY30">
        <f>IF(Sheet!GY30="Совсем нет/Not at all",1,IF(Sheet!GZ30="Немного/A little",2,IF(Sheet!HA30="Довольно сильно/Quite a bit",3,IF(Sheet!HB30="Очень сильно/Extremely",4,""))))</f>
        <v>2</v>
      </c>
      <c r="HC30">
        <f>IF(Sheet!HC30="Совсем нет/Not at all",1,IF(Sheet!HD30="Немного/A little",2,IF(Sheet!HE30="Довольно сильно/Quite a bit",3,IF(Sheet!HF30="Очень сильно/Extremely",4,""))))</f>
        <v>2</v>
      </c>
      <c r="HG30">
        <f>IF(Sheet!HG30="Совсем нет/Not at all",1,IF(Sheet!HH30="Немного/A little",2,IF(Sheet!HI30="Довольно сильно/Quite a bit",3,IF(Sheet!HJ30="Очень сильно/Extremely",4,""))))</f>
        <v>1</v>
      </c>
      <c r="HK30">
        <f>IF(Sheet!HK30="Совсем нет/Not at all",1,IF(Sheet!HL30="Немного/A little",2,IF(Sheet!HM30="Довольно сильно/Quite a bit",3,IF(Sheet!HN30="Очень сильно/Extremely",4,""))))</f>
        <v>2</v>
      </c>
      <c r="HO30">
        <f>IF(Sheet!HO30="Совсем нет/Not at all",1,IF(Sheet!HP30="Немного/A little",2,IF(Sheet!HQ30="Довольно сильно/Quite a bit",3,IF(Sheet!HR30="Очень сильно/Extremely",4,""))))</f>
        <v>2</v>
      </c>
      <c r="HS30">
        <f>IF(Sheet!HS30="Совсем нет/Not at all",1,IF(Sheet!HT30="Немного/A little",2,IF(Sheet!HU30="Довольно сильно/Quite a bit",3,IF(Sheet!HV30="Очень сильно/Extremely",4,""))))</f>
        <v>1</v>
      </c>
      <c r="HW30">
        <f>IF(Sheet!HW30="Совсем нет/Not at all",1,IF(Sheet!HX30="Немного/A little",2,IF(Sheet!HY30="Довольно сильно/Quite a bit",3,IF(Sheet!HZ30="Очень сильно/Extremely",4,""))))</f>
        <v>3</v>
      </c>
      <c r="IA30">
        <f>IF(Sheet!IA30="Совсем нет/Not at all",1,IF(Sheet!IB30="Немного/A little",2,IF(Sheet!IC30="Довольно сильно/Quite a bit",3,IF(Sheet!ID30="Очень сильно/Extremely",4,""))))</f>
        <v>1</v>
      </c>
      <c r="IE30">
        <f>IF(Sheet!IE30="Совсем нет/Not at all",1,IF(Sheet!IF30="Немного/A little",2,IF(Sheet!IG30="Довольно сильно/Quite a bit",3,IF(Sheet!IH30="Очень сильно/Extremely",4,""))))</f>
        <v>3</v>
      </c>
      <c r="II30">
        <f>IF(Sheet!II30="Совсем нет/Not at all",1,IF(Sheet!IJ30="Немного/A little",2,IF(Sheet!IK30="Довольно сильно/Quite a bit",3,IF(Sheet!IL30="Очень сильно/Extremely",4,""))))</f>
        <v>1</v>
      </c>
      <c r="IM30">
        <f>IF(Sheet!IM30="Совсем нет/Not at all",1,IF(Sheet!IN30="Немного/A little",2,IF(Sheet!IO30="Довольно сильно/Quite a bit",3,IF(Sheet!IP30="Очень сильно/Extremely",4,""))))</f>
        <v>1</v>
      </c>
      <c r="IQ30">
        <f>IF(Sheet!IQ30="Совсем нет/Not at all",1,IF(Sheet!IR30="Немного/A little",2,IF(Sheet!IS30="Довольно сильно/Quite a bit ",3,IF(Sheet!IT30="Очень сильно/Extremely ",4,""))))</f>
        <v>1</v>
      </c>
      <c r="IU30">
        <f>IF(Sheet!IU30="Совсем нет/Not at all",1,IF(Sheet!IV30="Немного/A little",2,IF(Sheet!IW30="Довольно сильно/Quite a bit ",3,IF(Sheet!IX30="Очень сильно/Extremely ",4,""))))</f>
        <v>2</v>
      </c>
      <c r="IY30">
        <f>IF(Sheet!IY30="Совсем нет/Not at all",1,IF(Sheet!IZ30="Немного/A little",2,IF(Sheet!JA30="Довольно сильно/Quite a bit ",3,IF(Sheet!JB30="Очень сильно/Extremely ",4,""))))</f>
        <v>2</v>
      </c>
      <c r="JC30">
        <f>IF(Sheet!JC30="Совсем нет/Not at all",1,IF(Sheet!JD30="Немного/A little",2,IF(Sheet!JE30="Довольно сильно/Quite a bit ",3,IF(Sheet!JF30="Очень сильно/Extremely ",4,""))))</f>
        <v>2</v>
      </c>
      <c r="JG30">
        <f>IF(Sheet!JG30="Совсем нет/Not at all",1,IF(Sheet!JH30="Немного/A little",2,IF(Sheet!JI30="Довольно сильно/Quite a bit ",3,IF(Sheet!JJ30="Очень сильно/Extremely ",4,""))))</f>
        <v>1</v>
      </c>
      <c r="JK30">
        <f>IF(Sheet!JK30="Совсем нет/Not at all",1,IF(Sheet!JL30="Немного/A little",2,IF(Sheet!JM30="Довольно сильно/Quite a bit ",3,IF(Sheet!JN30="Очень сильно/Extremely ",4,""))))</f>
        <v>3</v>
      </c>
      <c r="JO30">
        <f>IF(Sheet!JO30="Совсем нет/Not at all",1,IF(Sheet!JP30="Немного/A little",2,IF(Sheet!JQ30="Довольно сильно/Quite a bit",3,IF(Sheet!JR30="Очень сильно/Extremely",4,""))))</f>
        <v>1</v>
      </c>
      <c r="JS30">
        <f>IF(Sheet!JS30="Совсем нет/Not at all",1,IF(Sheet!JT30="Немного/A little",2,IF(Sheet!JU30="Довольно сильно/Quite a bit",3,IF(Sheet!JV30="Очень сильно/Extremely",4,""))))</f>
        <v>1</v>
      </c>
      <c r="JW30">
        <f>IF(Sheet!JW30="Совсем нет/Not at all",1,IF(Sheet!JX30="Немного/A little",2,IF(Sheet!JY30="Довольно сильно/Quite a bit",3,IF(Sheet!JZ30="Очень сильно/Extremely",4,""))))</f>
        <v>1</v>
      </c>
      <c r="KA30">
        <f>IF(Sheet!KA30="Совсем нет/Not at all",1,IF(Sheet!KB30="Немного/A little",2,IF(Sheet!KC30="Довольно сильно/Quite a bit",3,IF(Sheet!KD30="Очень сильно/Extremely",4,""))))</f>
        <v>2</v>
      </c>
      <c r="KE30">
        <f>IF(Sheet!KE30="Совсем нет/Not at all",1,IF(Sheet!KF30="Немного/A little",2,IF(Sheet!KG30="Довольно сильно/Quite a bit",3,IF(Sheet!KH30="Очень сильно/Extremely",4,""))))</f>
        <v>1</v>
      </c>
      <c r="KI30">
        <f>IF(Sheet!KI30="Совсем нет/Not at all",1,IF(Sheet!KJ30="Немного/A little",2,IF(Sheet!KK30="Довольно сильно/Quite a bit",3,IF(Sheet!KL30="Очень сильно/Extremely",4,""))))</f>
        <v>1</v>
      </c>
      <c r="KM30">
        <f>IF(Sheet!KM30="Совсем нет/Not at all",1,IF(Sheet!KN30="Немного/A little",2,IF(Sheet!KO30="Довольно сильно/Quite a bit",3,IF(Sheet!KP30="Очень сильно/Extremely",4,""))))</f>
        <v>1</v>
      </c>
      <c r="KQ30">
        <f>IF(Sheet!KQ30="Совсем нет/Not at all",1,IF(Sheet!KR30="Немного/A little",2,IF(Sheet!KS30="Довольно сильно/Quite a bit",3,IF(Sheet!KT30="Очень сильно/Extremely",4,""))))</f>
        <v>1</v>
      </c>
    </row>
    <row r="31" spans="1:303">
      <c r="A31" t="str">
        <f>Sheet!A31</f>
        <v>ID FP001</v>
      </c>
      <c r="GW31" s="27">
        <f>SUM(GY31,HC31,HG31,HK31,HO31,HS31,HW31,IA31,IE31,II31,IM31,IQ31,IU31,IY31,JC31,JG31,JK31,JO31,JS31,JW31,KA31,KE31,KI31,KM31,KQ31)/25</f>
        <v>1.32</v>
      </c>
      <c r="GY31">
        <f>IF(Sheet!GY31="Совсем нет/Not at all",1,IF(Sheet!GZ31="Немного/A little",2,IF(Sheet!HA31="Довольно сильно/Quite a bit",3,IF(Sheet!HB31="Очень сильно/Extremely",4,""))))</f>
        <v>2</v>
      </c>
      <c r="HC31">
        <f>IF(Sheet!HC31="Совсем нет/Not at all",1,IF(Sheet!HD31="Немного/A little",2,IF(Sheet!HE31="Довольно сильно/Quite a bit",3,IF(Sheet!HF31="Очень сильно/Extremely",4,""))))</f>
        <v>1</v>
      </c>
      <c r="HG31">
        <f>IF(Sheet!HG31="Совсем нет/Not at all",1,IF(Sheet!HH31="Немного/A little",2,IF(Sheet!HI31="Довольно сильно/Quite a bit",3,IF(Sheet!HJ31="Очень сильно/Extremely",4,""))))</f>
        <v>1</v>
      </c>
      <c r="HK31">
        <f>IF(Sheet!HK31="Совсем нет/Not at all",1,IF(Sheet!HL31="Немного/A little",2,IF(Sheet!HM31="Довольно сильно/Quite a bit",3,IF(Sheet!HN31="Очень сильно/Extremely",4,""))))</f>
        <v>3</v>
      </c>
      <c r="HO31">
        <f>IF(Sheet!HO31="Совсем нет/Not at all",1,IF(Sheet!HP31="Немного/A little",2,IF(Sheet!HQ31="Довольно сильно/Quite a bit",3,IF(Sheet!HR31="Очень сильно/Extremely",4,""))))</f>
        <v>1</v>
      </c>
      <c r="HS31">
        <f>IF(Sheet!HS31="Совсем нет/Not at all",1,IF(Sheet!HT31="Немного/A little",2,IF(Sheet!HU31="Довольно сильно/Quite a bit",3,IF(Sheet!HV31="Очень сильно/Extremely",4,""))))</f>
        <v>2</v>
      </c>
      <c r="HW31">
        <f>IF(Sheet!HW31="Совсем нет/Not at all",1,IF(Sheet!HX31="Немного/A little",2,IF(Sheet!HY31="Довольно сильно/Quite a bit",3,IF(Sheet!HZ31="Очень сильно/Extremely",4,""))))</f>
        <v>1</v>
      </c>
      <c r="IA31">
        <f>IF(Sheet!IA31="Совсем нет/Not at all",1,IF(Sheet!IB31="Немного/A little",2,IF(Sheet!IC31="Довольно сильно/Quite a bit",3,IF(Sheet!ID31="Очень сильно/Extremely",4,""))))</f>
        <v>1</v>
      </c>
      <c r="IE31">
        <f>IF(Sheet!IE31="Совсем нет/Not at all",1,IF(Sheet!IF31="Немного/A little",2,IF(Sheet!IG31="Довольно сильно/Quite a bit",3,IF(Sheet!IH31="Очень сильно/Extremely",4,""))))</f>
        <v>2</v>
      </c>
      <c r="II31">
        <f>IF(Sheet!II31="Совсем нет/Not at all",1,IF(Sheet!IJ31="Немного/A little",2,IF(Sheet!IK31="Довольно сильно/Quite a bit",3,IF(Sheet!IL31="Очень сильно/Extremely",4,""))))</f>
        <v>3</v>
      </c>
      <c r="IM31">
        <f>IF(Sheet!IM31="Совсем нет/Not at all",1,IF(Sheet!IN31="Немного/A little",2,IF(Sheet!IO31="Довольно сильно/Quite a bit",3,IF(Sheet!IP31="Очень сильно/Extremely",4,""))))</f>
        <v>1</v>
      </c>
      <c r="IQ31">
        <f>IF(Sheet!IQ31="Совсем нет/Not at all",1,IF(Sheet!IR31="Немного/A little",2,IF(Sheet!IS31="Довольно сильно/Quite a bit ",3,IF(Sheet!IT31="Очень сильно/Extremely ",4,""))))</f>
        <v>1</v>
      </c>
      <c r="IU31">
        <f>IF(Sheet!IU31="Совсем нет/Not at all",1,IF(Sheet!IV31="Немного/A little",2,IF(Sheet!IW31="Довольно сильно/Quite a bit ",3,IF(Sheet!IX31="Очень сильно/Extremely ",4,""))))</f>
        <v>1</v>
      </c>
      <c r="IY31">
        <f>IF(Sheet!IY31="Совсем нет/Not at all",1,IF(Sheet!IZ31="Немного/A little",2,IF(Sheet!JA31="Довольно сильно/Quite a bit ",3,IF(Sheet!JB31="Очень сильно/Extremely ",4,""))))</f>
        <v>1</v>
      </c>
      <c r="JC31">
        <f>IF(Sheet!JC31="Совсем нет/Not at all",1,IF(Sheet!JD31="Немного/A little",2,IF(Sheet!JE31="Довольно сильно/Quite a bit ",3,IF(Sheet!JF31="Очень сильно/Extremely ",4,""))))</f>
        <v>2</v>
      </c>
      <c r="JG31">
        <f>IF(Sheet!JG31="Совсем нет/Not at all",1,IF(Sheet!JH31="Немного/A little",2,IF(Sheet!JI31="Довольно сильно/Quite a bit ",3,IF(Sheet!JJ31="Очень сильно/Extremely ",4,""))))</f>
        <v>1</v>
      </c>
      <c r="JK31">
        <f>IF(Sheet!JK31="Совсем нет/Not at all",1,IF(Sheet!JL31="Немного/A little",2,IF(Sheet!JM31="Довольно сильно/Quite a bit ",3,IF(Sheet!JN31="Очень сильно/Extremely ",4,""))))</f>
        <v>1</v>
      </c>
      <c r="JO31">
        <f>IF(Sheet!JO31="Совсем нет/Not at all",1,IF(Sheet!JP31="Немного/A little",2,IF(Sheet!JQ31="Довольно сильно/Quite a bit",3,IF(Sheet!JR31="Очень сильно/Extremely",4,""))))</f>
        <v>1</v>
      </c>
      <c r="JS31">
        <f>IF(Sheet!JS31="Совсем нет/Not at all",1,IF(Sheet!JT31="Немного/A little",2,IF(Sheet!JU31="Довольно сильно/Quite a bit",3,IF(Sheet!JV31="Очень сильно/Extremely",4,""))))</f>
        <v>1</v>
      </c>
      <c r="JW31">
        <f>IF(Sheet!JW31="Совсем нет/Not at all",1,IF(Sheet!JX31="Немного/A little",2,IF(Sheet!JY31="Довольно сильно/Quite a bit",3,IF(Sheet!JZ31="Очень сильно/Extremely",4,""))))</f>
        <v>1</v>
      </c>
      <c r="KA31">
        <f>IF(Sheet!KA31="Совсем нет/Not at all",1,IF(Sheet!KB31="Немного/A little",2,IF(Sheet!KC31="Довольно сильно/Quite a bit",3,IF(Sheet!KD31="Очень сильно/Extremely",4,""))))</f>
        <v>1</v>
      </c>
      <c r="KE31">
        <f>IF(Sheet!KE31="Совсем нет/Not at all",1,IF(Sheet!KF31="Немного/A little",2,IF(Sheet!KG31="Довольно сильно/Quite a bit",3,IF(Sheet!KH31="Очень сильно/Extremely",4,""))))</f>
        <v>1</v>
      </c>
      <c r="KI31">
        <f>IF(Sheet!KI31="Совсем нет/Not at all",1,IF(Sheet!KJ31="Немного/A little",2,IF(Sheet!KK31="Довольно сильно/Quite a bit",3,IF(Sheet!KL31="Очень сильно/Extremely",4,""))))</f>
        <v>1</v>
      </c>
      <c r="KM31">
        <f>IF(Sheet!KM31="Совсем нет/Not at all",1,IF(Sheet!KN31="Немного/A little",2,IF(Sheet!KO31="Довольно сильно/Quite a bit",3,IF(Sheet!KP31="Очень сильно/Extremely",4,""))))</f>
        <v>1</v>
      </c>
      <c r="KQ31">
        <f>IF(Sheet!KQ31="Совсем нет/Not at all",1,IF(Sheet!KR31="Немного/A little",2,IF(Sheet!KS31="Довольно сильно/Quite a bit",3,IF(Sheet!KT31="Очень сильно/Extremely",4,""))))</f>
        <v>1</v>
      </c>
    </row>
    <row r="32" spans="1:303">
      <c r="A32" t="str">
        <f>Sheet!A32</f>
        <v>FN001</v>
      </c>
      <c r="GW32" s="27">
        <f>SUM(GY32,HC32,HG32,HK32,HO32,HS32,HW32,IA32,IE32,II32,IM32,IQ32,IU32,IY32,JC32,JG32,JK32,JO32,JS32,JW32,KA32,KE32,KI32,KM32,KQ32)/25</f>
        <v>2.16</v>
      </c>
      <c r="GY32">
        <f>IF(Sheet!GY32="Совсем нет/Not at all",1,IF(Sheet!GZ32="Немного/A little",2,IF(Sheet!HA32="Довольно сильно/Quite a bit",3,IF(Sheet!HB32="Очень сильно/Extremely",4,""))))</f>
        <v>2</v>
      </c>
      <c r="HC32">
        <f>IF(Sheet!HC32="Совсем нет/Not at all",1,IF(Sheet!HD32="Немного/A little",2,IF(Sheet!HE32="Довольно сильно/Quite a bit",3,IF(Sheet!HF32="Очень сильно/Extremely",4,""))))</f>
        <v>1</v>
      </c>
      <c r="HG32">
        <f>IF(Sheet!HG32="Совсем нет/Not at all",1,IF(Sheet!HH32="Немного/A little",2,IF(Sheet!HI32="Довольно сильно/Quite a bit",3,IF(Sheet!HJ32="Очень сильно/Extremely",4,""))))</f>
        <v>2</v>
      </c>
      <c r="HK32">
        <f>IF(Sheet!HK32="Совсем нет/Not at all",1,IF(Sheet!HL32="Немного/A little",2,IF(Sheet!HM32="Довольно сильно/Quite a bit",3,IF(Sheet!HN32="Очень сильно/Extremely",4,""))))</f>
        <v>3</v>
      </c>
      <c r="HO32">
        <f>IF(Sheet!HO32="Совсем нет/Not at all",1,IF(Sheet!HP32="Немного/A little",2,IF(Sheet!HQ32="Довольно сильно/Quite a bit",3,IF(Sheet!HR32="Очень сильно/Extremely",4,""))))</f>
        <v>3</v>
      </c>
      <c r="HS32">
        <f>IF(Sheet!HS32="Совсем нет/Not at all",1,IF(Sheet!HT32="Немного/A little",2,IF(Sheet!HU32="Довольно сильно/Quite a bit",3,IF(Sheet!HV32="Очень сильно/Extremely",4,""))))</f>
        <v>2</v>
      </c>
      <c r="HW32">
        <f>IF(Sheet!HW32="Совсем нет/Not at all",1,IF(Sheet!HX32="Немного/A little",2,IF(Sheet!HY32="Довольно сильно/Quite a bit",3,IF(Sheet!HZ32="Очень сильно/Extremely",4,""))))</f>
        <v>3</v>
      </c>
      <c r="IA32">
        <f>IF(Sheet!IA32="Совсем нет/Not at all",1,IF(Sheet!IB32="Немного/A little",2,IF(Sheet!IC32="Довольно сильно/Quite a bit",3,IF(Sheet!ID32="Очень сильно/Extremely",4,""))))</f>
        <v>4</v>
      </c>
      <c r="IE32">
        <f>IF(Sheet!IE32="Совсем нет/Not at all",1,IF(Sheet!IF32="Немного/A little",2,IF(Sheet!IG32="Довольно сильно/Quite a bit",3,IF(Sheet!IH32="Очень сильно/Extremely",4,""))))</f>
        <v>3</v>
      </c>
      <c r="II32">
        <f>IF(Sheet!II32="Совсем нет/Not at all",1,IF(Sheet!IJ32="Немного/A little",2,IF(Sheet!IK32="Довольно сильно/Quite a bit",3,IF(Sheet!IL32="Очень сильно/Extremely",4,""))))</f>
        <v>2</v>
      </c>
      <c r="IM32">
        <f>IF(Sheet!IM32="Совсем нет/Not at all",1,IF(Sheet!IN32="Немного/A little",2,IF(Sheet!IO32="Довольно сильно/Quite a bit",3,IF(Sheet!IP32="Очень сильно/Extremely",4,""))))</f>
        <v>2</v>
      </c>
      <c r="IQ32">
        <f>IF(Sheet!IQ32="Совсем нет/Not at all",1,IF(Sheet!IR32="Немного/A little",2,IF(Sheet!IS32="Довольно сильно/Quite a bit ",3,IF(Sheet!IT32="Очень сильно/Extremely ",4,""))))</f>
        <v>1</v>
      </c>
      <c r="IU32">
        <f>IF(Sheet!IU32="Совсем нет/Not at all",1,IF(Sheet!IV32="Немного/A little",2,IF(Sheet!IW32="Довольно сильно/Quite a bit ",3,IF(Sheet!IX32="Очень сильно/Extremely ",4,""))))</f>
        <v>3</v>
      </c>
      <c r="IY32">
        <f>IF(Sheet!IY32="Совсем нет/Not at all",1,IF(Sheet!IZ32="Немного/A little",2,IF(Sheet!JA32="Довольно сильно/Quite a bit ",3,IF(Sheet!JB32="Очень сильно/Extremely ",4,""))))</f>
        <v>3</v>
      </c>
      <c r="JC32">
        <f>IF(Sheet!JC32="Совсем нет/Not at all",1,IF(Sheet!JD32="Немного/A little",2,IF(Sheet!JE32="Довольно сильно/Quite a bit ",3,IF(Sheet!JF32="Очень сильно/Extremely ",4,""))))</f>
        <v>2</v>
      </c>
      <c r="JG32">
        <f>IF(Sheet!JG32="Совсем нет/Not at all",1,IF(Sheet!JH32="Немного/A little",2,IF(Sheet!JI32="Довольно сильно/Quite a bit ",3,IF(Sheet!JJ32="Очень сильно/Extremely ",4,""))))</f>
        <v>1</v>
      </c>
      <c r="JK32">
        <f>IF(Sheet!JK32="Совсем нет/Not at all",1,IF(Sheet!JL32="Немного/A little",2,IF(Sheet!JM32="Довольно сильно/Quite a bit ",3,IF(Sheet!JN32="Очень сильно/Extremely ",4,""))))</f>
        <v>2</v>
      </c>
      <c r="JO32">
        <f>IF(Sheet!JO32="Совсем нет/Not at all",1,IF(Sheet!JP32="Немного/A little",2,IF(Sheet!JQ32="Довольно сильно/Quite a bit",3,IF(Sheet!JR32="Очень сильно/Extremely",4,""))))</f>
        <v>1</v>
      </c>
      <c r="JS32">
        <f>IF(Sheet!JS32="Совсем нет/Not at all",1,IF(Sheet!JT32="Немного/A little",2,IF(Sheet!JU32="Довольно сильно/Quite a bit",3,IF(Sheet!JV32="Очень сильно/Extremely",4,""))))</f>
        <v>1</v>
      </c>
      <c r="JW32">
        <f>IF(Sheet!JW32="Совсем нет/Not at all",1,IF(Sheet!JX32="Немного/A little",2,IF(Sheet!JY32="Довольно сильно/Quite a bit",3,IF(Sheet!JZ32="Очень сильно/Extremely",4,""))))</f>
        <v>2</v>
      </c>
      <c r="KA32">
        <f>IF(Sheet!KA32="Совсем нет/Not at all",1,IF(Sheet!KB32="Немного/A little",2,IF(Sheet!KC32="Довольно сильно/Quite a bit",3,IF(Sheet!KD32="Очень сильно/Extremely",4,""))))</f>
        <v>2</v>
      </c>
      <c r="KE32">
        <f>IF(Sheet!KE32="Совсем нет/Not at all",1,IF(Sheet!KF32="Немного/A little",2,IF(Sheet!KG32="Довольно сильно/Quite a bit",3,IF(Sheet!KH32="Очень сильно/Extremely",4,""))))</f>
        <v>4</v>
      </c>
      <c r="KI32">
        <f>IF(Sheet!KI32="Совсем нет/Not at all",1,IF(Sheet!KJ32="Немного/A little",2,IF(Sheet!KK32="Довольно сильно/Quite a bit",3,IF(Sheet!KL32="Очень сильно/Extremely",4,""))))</f>
        <v>3</v>
      </c>
      <c r="KM32">
        <f>IF(Sheet!KM32="Совсем нет/Not at all",1,IF(Sheet!KN32="Немного/A little",2,IF(Sheet!KO32="Довольно сильно/Quite a bit",3,IF(Sheet!KP32="Очень сильно/Extremely",4,""))))</f>
        <v>1</v>
      </c>
      <c r="KQ32">
        <f>IF(Sheet!KQ32="Совсем нет/Not at all",1,IF(Sheet!KR32="Немного/A little",2,IF(Sheet!KS32="Довольно сильно/Quite a bit",3,IF(Sheet!KT32="Очень сильно/Extremely",4,""))))</f>
        <v>1</v>
      </c>
    </row>
    <row r="33" spans="1:306">
      <c r="A33" t="str">
        <f>Sheet!A33</f>
        <v>NI001</v>
      </c>
      <c r="GW33" s="27">
        <f>SUM(GY33,HC33,HG33,HK33,HO33,HS33,HW33,IA33,IE33,II33,IM33,IQ33,IU33,IY33,JC33,JG33,JK33,JO33,JS33,JW33,KA33,KE33,KI33,KM33,KQ33)/25</f>
        <v>1.68</v>
      </c>
      <c r="GY33">
        <f>IF(Sheet!GY33="Совсем нет/Not at all",1,IF(Sheet!GZ33="Немного/A little",2,IF(Sheet!HA33="Довольно сильно/Quite a bit",3,IF(Sheet!HB33="Очень сильно/Extremely",4,""))))</f>
        <v>1</v>
      </c>
      <c r="HC33">
        <f>IF(Sheet!HC33="Совсем нет/Not at all",1,IF(Sheet!HD33="Немного/A little",2,IF(Sheet!HE33="Довольно сильно/Quite a bit",3,IF(Sheet!HF33="Очень сильно/Extremely",4,""))))</f>
        <v>1</v>
      </c>
      <c r="HG33">
        <f>IF(Sheet!HG33="Совсем нет/Not at all",1,IF(Sheet!HH33="Немного/A little",2,IF(Sheet!HI33="Довольно сильно/Quite a bit",3,IF(Sheet!HJ33="Очень сильно/Extremely",4,""))))</f>
        <v>1</v>
      </c>
      <c r="HK33">
        <f>IF(Sheet!HK33="Совсем нет/Not at all",1,IF(Sheet!HL33="Немного/A little",2,IF(Sheet!HM33="Довольно сильно/Quite a bit",3,IF(Sheet!HN33="Очень сильно/Extremely",4,""))))</f>
        <v>2</v>
      </c>
      <c r="HO33">
        <f>IF(Sheet!HO33="Совсем нет/Not at all",1,IF(Sheet!HP33="Немного/A little",2,IF(Sheet!HQ33="Довольно сильно/Quite a bit",3,IF(Sheet!HR33="Очень сильно/Extremely",4,""))))</f>
        <v>1</v>
      </c>
      <c r="HS33">
        <f>IF(Sheet!HS33="Совсем нет/Not at all",1,IF(Sheet!HT33="Немного/A little",2,IF(Sheet!HU33="Довольно сильно/Quite a bit",3,IF(Sheet!HV33="Очень сильно/Extremely",4,""))))</f>
        <v>1</v>
      </c>
      <c r="HW33">
        <f>IF(Sheet!HW33="Совсем нет/Not at all",1,IF(Sheet!HX33="Немного/A little",2,IF(Sheet!HY33="Довольно сильно/Quite a bit",3,IF(Sheet!HZ33="Очень сильно/Extremely",4,""))))</f>
        <v>4</v>
      </c>
      <c r="IA33">
        <f>IF(Sheet!IA33="Совсем нет/Not at all",1,IF(Sheet!IB33="Немного/A little",2,IF(Sheet!IC33="Довольно сильно/Quite a bit",3,IF(Sheet!ID33="Очень сильно/Extremely",4,""))))</f>
        <v>2</v>
      </c>
      <c r="IE33">
        <f>IF(Sheet!IE33="Совсем нет/Not at all",1,IF(Sheet!IF33="Немного/A little",2,IF(Sheet!IG33="Довольно сильно/Quite a bit",3,IF(Sheet!IH33="Очень сильно/Extremely",4,""))))</f>
        <v>1</v>
      </c>
      <c r="II33">
        <f>IF(Sheet!II33="Совсем нет/Not at all",1,IF(Sheet!IJ33="Немного/A little",2,IF(Sheet!IK33="Довольно сильно/Quite a bit",3,IF(Sheet!IL33="Очень сильно/Extremely",4,""))))</f>
        <v>2</v>
      </c>
      <c r="IM33">
        <f>IF(Sheet!IM33="Совсем нет/Not at all",1,IF(Sheet!IN33="Немного/A little",2,IF(Sheet!IO33="Довольно сильно/Quite a bit",3,IF(Sheet!IP33="Очень сильно/Extremely",4,""))))</f>
        <v>2</v>
      </c>
      <c r="IQ33">
        <f>IF(Sheet!IQ33="Совсем нет/Not at all",1,IF(Sheet!IR33="Немного/A little",2,IF(Sheet!IS33="Довольно сильно/Quite a bit ",3,IF(Sheet!IT33="Очень сильно/Extremely ",4,""))))</f>
        <v>1</v>
      </c>
      <c r="IU33">
        <f>IF(Sheet!IU33="Совсем нет/Not at all",1,IF(Sheet!IV33="Немного/A little",2,IF(Sheet!IW33="Довольно сильно/Quite a bit ",3,IF(Sheet!IX33="Очень сильно/Extremely ",4,""))))</f>
        <v>3</v>
      </c>
      <c r="IY33">
        <f>IF(Sheet!IY33="Совсем нет/Not at all",1,IF(Sheet!IZ33="Немного/A little",2,IF(Sheet!JA33="Довольно сильно/Quite a bit ",3,IF(Sheet!JB33="Очень сильно/Extremely ",4,""))))</f>
        <v>3</v>
      </c>
      <c r="JC33">
        <f>IF(Sheet!JC33="Совсем нет/Not at all",1,IF(Sheet!JD33="Немного/A little",2,IF(Sheet!JE33="Довольно сильно/Quite a bit ",3,IF(Sheet!JF33="Очень сильно/Extremely ",4,""))))</f>
        <v>1</v>
      </c>
      <c r="JG33">
        <f>IF(Sheet!JG33="Совсем нет/Not at all",1,IF(Sheet!JH33="Немного/A little",2,IF(Sheet!JI33="Довольно сильно/Quite a bit ",3,IF(Sheet!JJ33="Очень сильно/Extremely ",4,""))))</f>
        <v>2</v>
      </c>
      <c r="JK33">
        <f>IF(Sheet!JK33="Совсем нет/Not at all",1,IF(Sheet!JL33="Немного/A little",2,IF(Sheet!JM33="Довольно сильно/Quite a bit ",3,IF(Sheet!JN33="Очень сильно/Extremely ",4,""))))</f>
        <v>2</v>
      </c>
      <c r="JO33">
        <f>IF(Sheet!JO33="Совсем нет/Not at all",1,IF(Sheet!JP33="Немного/A little",2,IF(Sheet!JQ33="Довольно сильно/Quite a bit",3,IF(Sheet!JR33="Очень сильно/Extremely",4,""))))</f>
        <v>1</v>
      </c>
      <c r="JS33">
        <f>IF(Sheet!JS33="Совсем нет/Not at all",1,IF(Sheet!JT33="Немного/A little",2,IF(Sheet!JU33="Довольно сильно/Quite a bit",3,IF(Sheet!JV33="Очень сильно/Extremely",4,""))))</f>
        <v>1</v>
      </c>
      <c r="JW33">
        <f>IF(Sheet!JW33="Совсем нет/Not at all",1,IF(Sheet!JX33="Немного/A little",2,IF(Sheet!JY33="Довольно сильно/Quite a bit",3,IF(Sheet!JZ33="Очень сильно/Extremely",4,""))))</f>
        <v>1</v>
      </c>
      <c r="KA33">
        <f>IF(Sheet!KA33="Совсем нет/Not at all",1,IF(Sheet!KB33="Немного/A little",2,IF(Sheet!KC33="Довольно сильно/Quite a bit",3,IF(Sheet!KD33="Очень сильно/Extremely",4,""))))</f>
        <v>1</v>
      </c>
      <c r="KE33">
        <f>IF(Sheet!KE33="Совсем нет/Not at all",1,IF(Sheet!KF33="Немного/A little",2,IF(Sheet!KG33="Довольно сильно/Quite a bit",3,IF(Sheet!KH33="Очень сильно/Extremely",4,""))))</f>
        <v>1</v>
      </c>
      <c r="KI33">
        <f>IF(Sheet!KI33="Совсем нет/Not at all",1,IF(Sheet!KJ33="Немного/A little",2,IF(Sheet!KK33="Довольно сильно/Quite a bit",3,IF(Sheet!KL33="Очень сильно/Extremely",4,""))))</f>
        <v>4</v>
      </c>
      <c r="KM33">
        <f>IF(Sheet!KM33="Совсем нет/Not at all",1,IF(Sheet!KN33="Немного/A little",2,IF(Sheet!KO33="Довольно сильно/Quite a bit",3,IF(Sheet!KP33="Очень сильно/Extremely",4,""))))</f>
        <v>1</v>
      </c>
      <c r="KQ33">
        <f>IF(Sheet!KQ33="Совсем нет/Not at all",1,IF(Sheet!KR33="Немного/A little",2,IF(Sheet!KS33="Довольно сильно/Quite a bit",3,IF(Sheet!KT33="Очень сильно/Extremely",4,""))))</f>
        <v>2</v>
      </c>
    </row>
    <row r="34" spans="1:306">
      <c r="A34" t="str">
        <f>Sheet!A34</f>
        <v>EE001</v>
      </c>
      <c r="GW34" s="27">
        <f>SUM(GY34,HC34,HG34,HK34,HO34,HS34,HW34,IA34,IE34,II34,IM34,IQ34,IU34,IY34,JC34,JG34,JK34,JO34,JS34,JW34,KA34,KE34,KI34,KM34,KQ34)/25</f>
        <v>3.28</v>
      </c>
      <c r="GY34">
        <f>IF(Sheet!GY34="Совсем нет/Not at all",1,IF(Sheet!GZ34="Немного/A little",2,IF(Sheet!HA34="Довольно сильно/Quite a bit",3,IF(Sheet!HB34="Очень сильно/Extremely",4,""))))</f>
        <v>3</v>
      </c>
      <c r="HC34">
        <f>IF(Sheet!HC34="Совсем нет/Not at all",1,IF(Sheet!HD34="Немного/A little",2,IF(Sheet!HE34="Довольно сильно/Quite a bit",3,IF(Sheet!HF34="Очень сильно/Extremely",4,""))))</f>
        <v>4</v>
      </c>
      <c r="HG34">
        <f>IF(Sheet!HG34="Совсем нет/Not at all",1,IF(Sheet!HH34="Немного/A little",2,IF(Sheet!HI34="Довольно сильно/Quite a bit",3,IF(Sheet!HJ34="Очень сильно/Extremely",4,""))))</f>
        <v>2</v>
      </c>
      <c r="HK34">
        <f>IF(Sheet!HK34="Совсем нет/Not at all",1,IF(Sheet!HL34="Немного/A little",2,IF(Sheet!HM34="Довольно сильно/Quite a bit",3,IF(Sheet!HN34="Очень сильно/Extremely",4,""))))</f>
        <v>4</v>
      </c>
      <c r="HO34">
        <f>IF(Sheet!HO34="Совсем нет/Not at all",1,IF(Sheet!HP34="Немного/A little",2,IF(Sheet!HQ34="Довольно сильно/Quite a bit",3,IF(Sheet!HR34="Очень сильно/Extremely",4,""))))</f>
        <v>4</v>
      </c>
      <c r="HS34">
        <f>IF(Sheet!HS34="Совсем нет/Not at all",1,IF(Sheet!HT34="Немного/A little",2,IF(Sheet!HU34="Довольно сильно/Quite a bit",3,IF(Sheet!HV34="Очень сильно/Extremely",4,""))))</f>
        <v>4</v>
      </c>
      <c r="HW34">
        <f>IF(Sheet!HW34="Совсем нет/Not at all",1,IF(Sheet!HX34="Немного/A little",2,IF(Sheet!HY34="Довольно сильно/Quite a bit",3,IF(Sheet!HZ34="Очень сильно/Extremely",4,""))))</f>
        <v>4</v>
      </c>
      <c r="IA34">
        <f>IF(Sheet!IA34="Совсем нет/Not at all",1,IF(Sheet!IB34="Немного/A little",2,IF(Sheet!IC34="Довольно сильно/Quite a bit",3,IF(Sheet!ID34="Очень сильно/Extremely",4,""))))</f>
        <v>4</v>
      </c>
      <c r="IE34">
        <f>IF(Sheet!IE34="Совсем нет/Not at all",1,IF(Sheet!IF34="Немного/A little",2,IF(Sheet!IG34="Довольно сильно/Quite a bit",3,IF(Sheet!IH34="Очень сильно/Extremely",4,""))))</f>
        <v>4</v>
      </c>
      <c r="II34">
        <f>IF(Sheet!II34="Совсем нет/Not at all",1,IF(Sheet!IJ34="Немного/A little",2,IF(Sheet!IK34="Довольно сильно/Quite a bit",3,IF(Sheet!IL34="Очень сильно/Extremely",4,""))))</f>
        <v>4</v>
      </c>
      <c r="IM34">
        <f>IF(Sheet!IM34="Совсем нет/Not at all",1,IF(Sheet!IN34="Немного/A little",2,IF(Sheet!IO34="Довольно сильно/Quite a bit",3,IF(Sheet!IP34="Очень сильно/Extremely",4,""))))</f>
        <v>3</v>
      </c>
      <c r="IQ34">
        <f>IF(Sheet!IQ34="Совсем нет/Not at all",1,IF(Sheet!IR34="Немного/A little",2,IF(Sheet!IS34="Довольно сильно/Quite a bit ",3,IF(Sheet!IT34="Очень сильно/Extremely ",4,""))))</f>
        <v>2</v>
      </c>
      <c r="IU34">
        <f>IF(Sheet!IU34="Совсем нет/Not at all",1,IF(Sheet!IV34="Немного/A little",2,IF(Sheet!IW34="Довольно сильно/Quite a bit ",3,IF(Sheet!IX34="Очень сильно/Extremely ",4,""))))</f>
        <v>3</v>
      </c>
      <c r="IY34">
        <f>IF(Sheet!IY34="Совсем нет/Not at all",1,IF(Sheet!IZ34="Немного/A little",2,IF(Sheet!JA34="Довольно сильно/Quite a bit ",3,IF(Sheet!JB34="Очень сильно/Extremely ",4,""))))</f>
        <v>4</v>
      </c>
      <c r="JC34">
        <f>IF(Sheet!JC34="Совсем нет/Not at all",1,IF(Sheet!JD34="Немного/A little",2,IF(Sheet!JE34="Довольно сильно/Quite a bit ",3,IF(Sheet!JF34="Очень сильно/Extremely ",4,""))))</f>
        <v>3</v>
      </c>
      <c r="JG34">
        <f>IF(Sheet!JG34="Совсем нет/Not at all",1,IF(Sheet!JH34="Немного/A little",2,IF(Sheet!JI34="Довольно сильно/Quite a bit ",3,IF(Sheet!JJ34="Очень сильно/Extremely ",4,""))))</f>
        <v>4</v>
      </c>
      <c r="JK34">
        <f>IF(Sheet!JK34="Совсем нет/Not at all",1,IF(Sheet!JL34="Немного/A little",2,IF(Sheet!JM34="Довольно сильно/Quite a bit ",3,IF(Sheet!JN34="Очень сильно/Extremely ",4,""))))</f>
        <v>4</v>
      </c>
      <c r="JO34">
        <f>IF(Sheet!JO34="Совсем нет/Not at all",1,IF(Sheet!JP34="Немного/A little",2,IF(Sheet!JQ34="Довольно сильно/Quite a bit",3,IF(Sheet!JR34="Очень сильно/Extremely",4,""))))</f>
        <v>2</v>
      </c>
      <c r="JS34">
        <f>IF(Sheet!JS34="Совсем нет/Not at all",1,IF(Sheet!JT34="Немного/A little",2,IF(Sheet!JU34="Довольно сильно/Quite a bit",3,IF(Sheet!JV34="Очень сильно/Extremely",4,""))))</f>
        <v>3</v>
      </c>
      <c r="JW34">
        <f>IF(Sheet!JW34="Совсем нет/Not at all",1,IF(Sheet!JX34="Немного/A little",2,IF(Sheet!JY34="Довольно сильно/Quite a bit",3,IF(Sheet!JZ34="Очень сильно/Extremely",4,""))))</f>
        <v>3</v>
      </c>
      <c r="KA34">
        <f>IF(Sheet!KA34="Совсем нет/Not at all",1,IF(Sheet!KB34="Немного/A little",2,IF(Sheet!KC34="Довольно сильно/Quite a bit",3,IF(Sheet!KD34="Очень сильно/Extremely",4,""))))</f>
        <v>4</v>
      </c>
      <c r="KE34">
        <f>IF(Sheet!KE34="Совсем нет/Not at all",1,IF(Sheet!KF34="Немного/A little",2,IF(Sheet!KG34="Довольно сильно/Quite a bit",3,IF(Sheet!KH34="Очень сильно/Extremely",4,""))))</f>
        <v>1</v>
      </c>
      <c r="KI34">
        <f>IF(Sheet!KI34="Совсем нет/Not at all",1,IF(Sheet!KJ34="Немного/A little",2,IF(Sheet!KK34="Довольно сильно/Quite a bit",3,IF(Sheet!KL34="Очень сильно/Extremely",4,""))))</f>
        <v>4</v>
      </c>
      <c r="KM34">
        <f>IF(Sheet!KM34="Совсем нет/Not at all",1,IF(Sheet!KN34="Немного/A little",2,IF(Sheet!KO34="Довольно сильно/Quite a bit",3,IF(Sheet!KP34="Очень сильно/Extremely",4,""))))</f>
        <v>4</v>
      </c>
      <c r="KQ34">
        <f>IF(Sheet!KQ34="Совсем нет/Not at all",1,IF(Sheet!KR34="Немного/A little",2,IF(Sheet!KS34="Довольно сильно/Quite a bit",3,IF(Sheet!KT34="Очень сильно/Extremely",4,""))))</f>
        <v>1</v>
      </c>
    </row>
    <row r="35" spans="1:306">
      <c r="A35" t="str">
        <f>Sheet!A35</f>
        <v>OM001</v>
      </c>
      <c r="GW35" s="27">
        <f>SUM(GY35,HC35,HG35,HK35,HO35,HS35,HW35,IA35,IE35,II35,IM35,IQ35,IU35,IY35,JC35,JG35,JK35,JO35,JS35,JW35,KA35,KE35,KI35,KM35,KQ35)/25</f>
        <v>1.48</v>
      </c>
      <c r="GY35">
        <f>IF(Sheet!GY35="Совсем нет/Not at all",1,IF(Sheet!GZ35="Немного/A little",2,IF(Sheet!HA35="Довольно сильно/Quite a bit",3,IF(Sheet!HB35="Очень сильно/Extremely",4,""))))</f>
        <v>2</v>
      </c>
      <c r="HC35">
        <f>IF(Sheet!HC35="Совсем нет/Not at all",1,IF(Sheet!HD35="Немного/A little",2,IF(Sheet!HE35="Довольно сильно/Quite a bit",3,IF(Sheet!HF35="Очень сильно/Extremely",4,""))))</f>
        <v>2</v>
      </c>
      <c r="HG35">
        <f>IF(Sheet!HG35="Совсем нет/Not at all",1,IF(Sheet!HH35="Немного/A little",2,IF(Sheet!HI35="Довольно сильно/Quite a bit",3,IF(Sheet!HJ35="Очень сильно/Extremely",4,""))))</f>
        <v>2</v>
      </c>
      <c r="HK35">
        <f>IF(Sheet!HK35="Совсем нет/Not at all",1,IF(Sheet!HL35="Немного/A little",2,IF(Sheet!HM35="Довольно сильно/Quite a bit",3,IF(Sheet!HN35="Очень сильно/Extremely",4,""))))</f>
        <v>1</v>
      </c>
      <c r="HO35">
        <f>IF(Sheet!HO35="Совсем нет/Not at all",1,IF(Sheet!HP35="Немного/A little",2,IF(Sheet!HQ35="Довольно сильно/Quite a bit",3,IF(Sheet!HR35="Очень сильно/Extremely",4,""))))</f>
        <v>1</v>
      </c>
      <c r="HS35">
        <f>IF(Sheet!HS35="Совсем нет/Not at all",1,IF(Sheet!HT35="Немного/A little",2,IF(Sheet!HU35="Довольно сильно/Quite a bit",3,IF(Sheet!HV35="Очень сильно/Extremely",4,""))))</f>
        <v>2</v>
      </c>
      <c r="HW35">
        <f>IF(Sheet!HW35="Совсем нет/Not at all",1,IF(Sheet!HX35="Немного/A little",2,IF(Sheet!HY35="Довольно сильно/Quite a bit",3,IF(Sheet!HZ35="Очень сильно/Extremely",4,""))))</f>
        <v>2</v>
      </c>
      <c r="IA35">
        <f>IF(Sheet!IA35="Совсем нет/Not at all",1,IF(Sheet!IB35="Немного/A little",2,IF(Sheet!IC35="Довольно сильно/Quite a bit",3,IF(Sheet!ID35="Очень сильно/Extremely",4,""))))</f>
        <v>2</v>
      </c>
      <c r="IE35">
        <f>IF(Sheet!IE35="Совсем нет/Not at all",1,IF(Sheet!IF35="Немного/A little",2,IF(Sheet!IG35="Довольно сильно/Quite a bit",3,IF(Sheet!IH35="Очень сильно/Extremely",4,""))))</f>
        <v>1</v>
      </c>
      <c r="II35">
        <f>IF(Sheet!II35="Совсем нет/Not at all",1,IF(Sheet!IJ35="Немного/A little",2,IF(Sheet!IK35="Довольно сильно/Quite a bit",3,IF(Sheet!IL35="Очень сильно/Extremely",4,""))))</f>
        <v>1</v>
      </c>
      <c r="IM35">
        <f>IF(Sheet!IM35="Совсем нет/Not at all",1,IF(Sheet!IN35="Немного/A little",2,IF(Sheet!IO35="Довольно сильно/Quite a bit",3,IF(Sheet!IP35="Очень сильно/Extremely",4,""))))</f>
        <v>2</v>
      </c>
      <c r="IQ35">
        <f>IF(Sheet!IQ35="Совсем нет/Not at all",1,IF(Sheet!IR35="Немного/A little",2,IF(Sheet!IS35="Довольно сильно/Quite a bit ",3,IF(Sheet!IT35="Очень сильно/Extremely ",4,""))))</f>
        <v>1</v>
      </c>
      <c r="IU35">
        <f>IF(Sheet!IU35="Совсем нет/Not at all",1,IF(Sheet!IV35="Немного/A little",2,IF(Sheet!IW35="Довольно сильно/Quite a bit ",3,IF(Sheet!IX35="Очень сильно/Extremely ",4,""))))</f>
        <v>2</v>
      </c>
      <c r="IY35">
        <f>IF(Sheet!IY35="Совсем нет/Not at all",1,IF(Sheet!IZ35="Немного/A little",2,IF(Sheet!JA35="Довольно сильно/Quite a bit ",3,IF(Sheet!JB35="Очень сильно/Extremely ",4,""))))</f>
        <v>1</v>
      </c>
      <c r="JC35">
        <f>IF(Sheet!JC35="Совсем нет/Not at all",1,IF(Sheet!JD35="Немного/A little",2,IF(Sheet!JE35="Довольно сильно/Quite a bit ",3,IF(Sheet!JF35="Очень сильно/Extremely ",4,""))))</f>
        <v>1</v>
      </c>
      <c r="JG35">
        <f>IF(Sheet!JG35="Совсем нет/Not at all",1,IF(Sheet!JH35="Немного/A little",2,IF(Sheet!JI35="Довольно сильно/Quite a bit ",3,IF(Sheet!JJ35="Очень сильно/Extremely ",4,""))))</f>
        <v>2</v>
      </c>
      <c r="JK35">
        <f>IF(Sheet!JK35="Совсем нет/Not at all",1,IF(Sheet!JL35="Немного/A little",2,IF(Sheet!JM35="Довольно сильно/Quite a bit ",3,IF(Sheet!JN35="Очень сильно/Extremely ",4,""))))</f>
        <v>1</v>
      </c>
      <c r="JO35">
        <f>IF(Sheet!JO35="Совсем нет/Not at all",1,IF(Sheet!JP35="Немного/A little",2,IF(Sheet!JQ35="Довольно сильно/Quite a bit",3,IF(Sheet!JR35="Очень сильно/Extremely",4,""))))</f>
        <v>2</v>
      </c>
      <c r="JS35">
        <f>IF(Sheet!JS35="Совсем нет/Not at all",1,IF(Sheet!JT35="Немного/A little",2,IF(Sheet!JU35="Довольно сильно/Quite a bit",3,IF(Sheet!JV35="Очень сильно/Extremely",4,""))))</f>
        <v>1</v>
      </c>
      <c r="JW35">
        <f>IF(Sheet!JW35="Совсем нет/Not at all",1,IF(Sheet!JX35="Немного/A little",2,IF(Sheet!JY35="Довольно сильно/Quite a bit",3,IF(Sheet!JZ35="Очень сильно/Extremely",4,""))))</f>
        <v>2</v>
      </c>
      <c r="KA35">
        <f>IF(Sheet!KA35="Совсем нет/Not at all",1,IF(Sheet!KB35="Немного/A little",2,IF(Sheet!KC35="Довольно сильно/Quite a bit",3,IF(Sheet!KD35="Очень сильно/Extremely",4,""))))</f>
        <v>1</v>
      </c>
      <c r="KE35">
        <f>IF(Sheet!KE35="Совсем нет/Not at all",1,IF(Sheet!KF35="Немного/A little",2,IF(Sheet!KG35="Довольно сильно/Quite a bit",3,IF(Sheet!KH35="Очень сильно/Extremely",4,""))))</f>
        <v>1</v>
      </c>
      <c r="KI35">
        <f>IF(Sheet!KI35="Совсем нет/Not at all",1,IF(Sheet!KJ35="Немного/A little",2,IF(Sheet!KK35="Довольно сильно/Quite a bit",3,IF(Sheet!KL35="Очень сильно/Extremely",4,""))))</f>
        <v>1</v>
      </c>
      <c r="KM35">
        <f>IF(Sheet!KM35="Совсем нет/Not at all",1,IF(Sheet!KN35="Немного/A little",2,IF(Sheet!KO35="Довольно сильно/Quite a bit",3,IF(Sheet!KP35="Очень сильно/Extremely",4,""))))</f>
        <v>2</v>
      </c>
      <c r="KQ35">
        <f>IF(Sheet!KQ35="Совсем нет/Not at all",1,IF(Sheet!KR35="Немного/A little",2,IF(Sheet!KS35="Довольно сильно/Quite a bit",3,IF(Sheet!KT35="Очень сильно/Extremely",4,""))))</f>
        <v>1</v>
      </c>
    </row>
    <row r="36" spans="1:306">
      <c r="A36" t="str">
        <f>Sheet!A36</f>
        <v>MT001</v>
      </c>
      <c r="GW36" s="27">
        <f>SUM(GY36,HC36,HG36,HK36,HO36,HS36,HW36,IA36,IE36,II36,IM36,IQ36,IU36,IY36,JC36,JG36,JK36,JO36,JS36,JW36,KA36,KE36,KI36,KM36,KQ36)/25</f>
        <v>1.56</v>
      </c>
      <c r="GY36">
        <f>IF(Sheet!GY36="Совсем нет/Not at all",1,IF(Sheet!GZ36="Немного/A little",2,IF(Sheet!HA36="Довольно сильно/Quite a bit",3,IF(Sheet!HB36="Очень сильно/Extremely",4,""))))</f>
        <v>2</v>
      </c>
      <c r="HC36">
        <f>IF(Sheet!HC36="Совсем нет/Not at all",1,IF(Sheet!HD36="Немного/A little",2,IF(Sheet!HE36="Довольно сильно/Quite a bit",3,IF(Sheet!HF36="Очень сильно/Extremely",4,""))))</f>
        <v>1</v>
      </c>
      <c r="HG36">
        <f>IF(Sheet!HG36="Совсем нет/Not at all",1,IF(Sheet!HH36="Немного/A little",2,IF(Sheet!HI36="Довольно сильно/Quite a bit",3,IF(Sheet!HJ36="Очень сильно/Extremely",4,""))))</f>
        <v>1</v>
      </c>
      <c r="HK36">
        <f>IF(Sheet!HK36="Совсем нет/Not at all",1,IF(Sheet!HL36="Немного/A little",2,IF(Sheet!HM36="Довольно сильно/Quite a bit",3,IF(Sheet!HN36="Очень сильно/Extremely",4,""))))</f>
        <v>1</v>
      </c>
      <c r="HO36">
        <f>IF(Sheet!HO36="Совсем нет/Not at all",1,IF(Sheet!HP36="Немного/A little",2,IF(Sheet!HQ36="Довольно сильно/Quite a bit",3,IF(Sheet!HR36="Очень сильно/Extremely",4,""))))</f>
        <v>1</v>
      </c>
      <c r="HS36">
        <f>IF(Sheet!HS36="Совсем нет/Not at all",1,IF(Sheet!HT36="Немного/A little",2,IF(Sheet!HU36="Довольно сильно/Quite a bit",3,IF(Sheet!HV36="Очень сильно/Extremely",4,""))))</f>
        <v>1</v>
      </c>
      <c r="HW36">
        <f>IF(Sheet!HW36="Совсем нет/Not at all",1,IF(Sheet!HX36="Немного/A little",2,IF(Sheet!HY36="Довольно сильно/Quite a bit",3,IF(Sheet!HZ36="Очень сильно/Extremely",4,""))))</f>
        <v>2</v>
      </c>
      <c r="IA36">
        <f>IF(Sheet!IA36="Совсем нет/Not at all",1,IF(Sheet!IB36="Немного/A little",2,IF(Sheet!IC36="Довольно сильно/Quite a bit",3,IF(Sheet!ID36="Очень сильно/Extremely",4,""))))</f>
        <v>2</v>
      </c>
      <c r="IE36">
        <f>IF(Sheet!IE36="Совсем нет/Not at all",1,IF(Sheet!IF36="Немного/A little",2,IF(Sheet!IG36="Довольно сильно/Quite a bit",3,IF(Sheet!IH36="Очень сильно/Extremely",4,""))))</f>
        <v>2</v>
      </c>
      <c r="II36">
        <f>IF(Sheet!II36="Совсем нет/Not at all",1,IF(Sheet!IJ36="Немного/A little",2,IF(Sheet!IK36="Довольно сильно/Quite a bit",3,IF(Sheet!IL36="Очень сильно/Extremely",4,""))))</f>
        <v>3</v>
      </c>
      <c r="IM36">
        <f>IF(Sheet!IM36="Совсем нет/Not at all",1,IF(Sheet!IN36="Немного/A little",2,IF(Sheet!IO36="Довольно сильно/Quite a bit",3,IF(Sheet!IP36="Очень сильно/Extremely",4,""))))</f>
        <v>1</v>
      </c>
      <c r="IQ36">
        <f>IF(Sheet!IQ36="Совсем нет/Not at all",1,IF(Sheet!IR36="Немного/A little",2,IF(Sheet!IS36="Довольно сильно/Quite a bit ",3,IF(Sheet!IT36="Очень сильно/Extremely ",4,""))))</f>
        <v>1</v>
      </c>
      <c r="IU36">
        <f>IF(Sheet!IU36="Совсем нет/Not at all",1,IF(Sheet!IV36="Немного/A little",2,IF(Sheet!IW36="Довольно сильно/Quite a bit ",3,IF(Sheet!IX36="Очень сильно/Extremely ",4,""))))</f>
        <v>2</v>
      </c>
      <c r="IY36">
        <f>IF(Sheet!IY36="Совсем нет/Not at all",1,IF(Sheet!IZ36="Немного/A little",2,IF(Sheet!JA36="Довольно сильно/Quite a bit ",3,IF(Sheet!JB36="Очень сильно/Extremely ",4,""))))</f>
        <v>4</v>
      </c>
      <c r="JC36">
        <f>IF(Sheet!JC36="Совсем нет/Not at all",1,IF(Sheet!JD36="Немного/A little",2,IF(Sheet!JE36="Довольно сильно/Quite a bit ",3,IF(Sheet!JF36="Очень сильно/Extremely ",4,""))))</f>
        <v>1</v>
      </c>
      <c r="JG36">
        <f>IF(Sheet!JG36="Совсем нет/Not at all",1,IF(Sheet!JH36="Немного/A little",2,IF(Sheet!JI36="Довольно сильно/Quite a bit ",3,IF(Sheet!JJ36="Очень сильно/Extremely ",4,""))))</f>
        <v>1</v>
      </c>
      <c r="JK36">
        <f>IF(Sheet!JK36="Совсем нет/Not at all",1,IF(Sheet!JL36="Немного/A little",2,IF(Sheet!JM36="Довольно сильно/Quite a bit ",3,IF(Sheet!JN36="Очень сильно/Extremely ",4,""))))</f>
        <v>2</v>
      </c>
      <c r="JO36">
        <f>IF(Sheet!JO36="Совсем нет/Not at all",1,IF(Sheet!JP36="Немного/A little",2,IF(Sheet!JQ36="Довольно сильно/Quite a bit",3,IF(Sheet!JR36="Очень сильно/Extremely",4,""))))</f>
        <v>2</v>
      </c>
      <c r="JS36">
        <f>IF(Sheet!JS36="Совсем нет/Not at all",1,IF(Sheet!JT36="Немного/A little",2,IF(Sheet!JU36="Довольно сильно/Quite a bit",3,IF(Sheet!JV36="Очень сильно/Extremely",4,""))))</f>
        <v>1</v>
      </c>
      <c r="JW36">
        <f>IF(Sheet!JW36="Совсем нет/Not at all",1,IF(Sheet!JX36="Немного/A little",2,IF(Sheet!JY36="Довольно сильно/Quite a bit",3,IF(Sheet!JZ36="Очень сильно/Extremely",4,""))))</f>
        <v>1</v>
      </c>
      <c r="KA36">
        <f>IF(Sheet!KA36="Совсем нет/Not at all",1,IF(Sheet!KB36="Немного/A little",2,IF(Sheet!KC36="Довольно сильно/Quite a bit",3,IF(Sheet!KD36="Очень сильно/Extremely",4,""))))</f>
        <v>1</v>
      </c>
      <c r="KE36">
        <f>IF(Sheet!KE36="Совсем нет/Not at all",1,IF(Sheet!KF36="Немного/A little",2,IF(Sheet!KG36="Довольно сильно/Quite a bit",3,IF(Sheet!KH36="Очень сильно/Extremely",4,""))))</f>
        <v>1</v>
      </c>
      <c r="KI36">
        <f>IF(Sheet!KI36="Совсем нет/Not at all",1,IF(Sheet!KJ36="Немного/A little",2,IF(Sheet!KK36="Довольно сильно/Quite a bit",3,IF(Sheet!KL36="Очень сильно/Extremely",4,""))))</f>
        <v>2</v>
      </c>
      <c r="KM36">
        <f>IF(Sheet!KM36="Совсем нет/Not at all",1,IF(Sheet!KN36="Немного/A little",2,IF(Sheet!KO36="Довольно сильно/Quite a bit",3,IF(Sheet!KP36="Очень сильно/Extremely",4,""))))</f>
        <v>2</v>
      </c>
      <c r="KQ36">
        <f>IF(Sheet!KQ36="Совсем нет/Not at all",1,IF(Sheet!KR36="Немного/A little",2,IF(Sheet!KS36="Довольно сильно/Quite a bit",3,IF(Sheet!KT36="Очень сильно/Extremely",4,""))))</f>
        <v>1</v>
      </c>
    </row>
    <row r="37" spans="1:306">
      <c r="A37" s="6" t="str">
        <f>Sheet!A37</f>
        <v>LO001</v>
      </c>
      <c r="GW37" s="27">
        <f>SUM(GY37,HC37,HG37,HK37,HO37,HS37,HW37,IA37,IE37,II37,IM37,IQ37,IU37,IY37,JC37,JG37,JK37,JO37,JS37,JW37,KA37,KE37,KI37,KM37,KQ37)/25</f>
        <v>1.84</v>
      </c>
      <c r="GY37">
        <f>IF(Sheet!GY37="Совсем нет/Not at all",1,IF(Sheet!GZ37="Немного/A little",2,IF(Sheet!HA37="Довольно сильно/Quite a bit",3,IF(Sheet!HB37="Очень сильно/Extremely",4,""))))</f>
        <v>2</v>
      </c>
      <c r="HC37">
        <f>IF(Sheet!HC37="Совсем нет/Not at all",1,IF(Sheet!HD37="Немного/A little",2,IF(Sheet!HE37="Довольно сильно/Quite a bit",3,IF(Sheet!HF37="Очень сильно/Extremely",4,""))))</f>
        <v>1</v>
      </c>
      <c r="HG37">
        <f>IF(Sheet!HG37="Совсем нет/Not at all",1,IF(Sheet!HH37="Немного/A little",2,IF(Sheet!HI37="Довольно сильно/Quite a bit",3,IF(Sheet!HJ37="Очень сильно/Extremely",4,""))))</f>
        <v>1</v>
      </c>
      <c r="HK37">
        <f>IF(Sheet!HK37="Совсем нет/Not at all",1,IF(Sheet!HL37="Немного/A little",2,IF(Sheet!HM37="Довольно сильно/Quite a bit",3,IF(Sheet!HN37="Очень сильно/Extremely",4,""))))</f>
        <v>2</v>
      </c>
      <c r="HO37">
        <f>IF(Sheet!HO37="Совсем нет/Not at all",1,IF(Sheet!HP37="Немного/A little",2,IF(Sheet!HQ37="Довольно сильно/Quite a bit",3,IF(Sheet!HR37="Очень сильно/Extremely",4,""))))</f>
        <v>1</v>
      </c>
      <c r="HS37">
        <f>IF(Sheet!HS37="Совсем нет/Not at all",1,IF(Sheet!HT37="Немного/A little",2,IF(Sheet!HU37="Довольно сильно/Quite a bit",3,IF(Sheet!HV37="Очень сильно/Extremely",4,""))))</f>
        <v>4</v>
      </c>
      <c r="HW37">
        <f>IF(Sheet!HW37="Совсем нет/Not at all",1,IF(Sheet!HX37="Немного/A little",2,IF(Sheet!HY37="Довольно сильно/Quite a bit",3,IF(Sheet!HZ37="Очень сильно/Extremely",4,""))))</f>
        <v>3</v>
      </c>
      <c r="IA37">
        <f>IF(Sheet!IA37="Совсем нет/Not at all",1,IF(Sheet!IB37="Немного/A little",2,IF(Sheet!IC37="Довольно сильно/Quite a bit",3,IF(Sheet!ID37="Очень сильно/Extremely",4,""))))</f>
        <v>3</v>
      </c>
      <c r="IE37">
        <f>IF(Sheet!IE37="Совсем нет/Not at all",1,IF(Sheet!IF37="Немного/A little",2,IF(Sheet!IG37="Довольно сильно/Quite a bit",3,IF(Sheet!IH37="Очень сильно/Extremely",4,""))))</f>
        <v>3</v>
      </c>
      <c r="II37">
        <f>IF(Sheet!II37="Совсем нет/Not at all",1,IF(Sheet!IJ37="Немного/A little",2,IF(Sheet!IK37="Довольно сильно/Quite a bit",3,IF(Sheet!IL37="Очень сильно/Extremely",4,""))))</f>
        <v>4</v>
      </c>
      <c r="IM37">
        <f>IF(Sheet!IM37="Совсем нет/Not at all",1,IF(Sheet!IN37="Немного/A little",2,IF(Sheet!IO37="Довольно сильно/Quite a bit",3,IF(Sheet!IP37="Очень сильно/Extremely",4,""))))</f>
        <v>1</v>
      </c>
      <c r="IQ37">
        <f>IF(Sheet!IQ37="Совсем нет/Not at all",1,IF(Sheet!IR37="Немного/A little",2,IF(Sheet!IS37="Довольно сильно/Quite a bit ",3,IF(Sheet!IT37="Очень сильно/Extremely ",4,""))))</f>
        <v>1</v>
      </c>
      <c r="IU37">
        <f>IF(Sheet!IU37="Совсем нет/Not at all",1,IF(Sheet!IV37="Немного/A little",2,IF(Sheet!IW37="Довольно сильно/Quite a bit ",3,IF(Sheet!IX37="Очень сильно/Extremely ",4,""))))</f>
        <v>2</v>
      </c>
      <c r="IY37">
        <f>IF(Sheet!IY37="Совсем нет/Not at all",1,IF(Sheet!IZ37="Немного/A little",2,IF(Sheet!JA37="Довольно сильно/Quite a bit ",3,IF(Sheet!JB37="Очень сильно/Extremely ",4,""))))</f>
        <v>4</v>
      </c>
      <c r="JC37">
        <f>IF(Sheet!JC37="Совсем нет/Not at all",1,IF(Sheet!JD37="Немного/A little",2,IF(Sheet!JE37="Довольно сильно/Quite a bit ",3,IF(Sheet!JF37="Очень сильно/Extremely ",4,""))))</f>
        <v>1</v>
      </c>
      <c r="JG37">
        <f>IF(Sheet!JG37="Совсем нет/Not at all",1,IF(Sheet!JH37="Немного/A little",2,IF(Sheet!JI37="Довольно сильно/Quite a bit ",3,IF(Sheet!JJ37="Очень сильно/Extremely ",4,""))))</f>
        <v>1</v>
      </c>
      <c r="JK37">
        <f>IF(Sheet!JK37="Совсем нет/Not at all",1,IF(Sheet!JL37="Немного/A little",2,IF(Sheet!JM37="Довольно сильно/Quite a bit ",3,IF(Sheet!JN37="Очень сильно/Extremely ",4,""))))</f>
        <v>3</v>
      </c>
      <c r="JO37">
        <f>IF(Sheet!JO37="Совсем нет/Not at all",1,IF(Sheet!JP37="Немного/A little",2,IF(Sheet!JQ37="Довольно сильно/Quite a bit",3,IF(Sheet!JR37="Очень сильно/Extremely",4,""))))</f>
        <v>1</v>
      </c>
      <c r="JS37">
        <f>IF(Sheet!JS37="Совсем нет/Not at all",1,IF(Sheet!JT37="Немного/A little",2,IF(Sheet!JU37="Довольно сильно/Quite a bit",3,IF(Sheet!JV37="Очень сильно/Extremely",4,""))))</f>
        <v>1</v>
      </c>
      <c r="JW37">
        <f>IF(Sheet!JW37="Совсем нет/Not at all",1,IF(Sheet!JX37="Немного/A little",2,IF(Sheet!JY37="Довольно сильно/Quite a bit",3,IF(Sheet!JZ37="Очень сильно/Extremely",4,""))))</f>
        <v>1</v>
      </c>
      <c r="KA37">
        <f>IF(Sheet!KA37="Совсем нет/Not at all",1,IF(Sheet!KB37="Немного/A little",2,IF(Sheet!KC37="Довольно сильно/Quite a bit",3,IF(Sheet!KD37="Очень сильно/Extremely",4,""))))</f>
        <v>2</v>
      </c>
      <c r="KE37">
        <f>IF(Sheet!KE37="Совсем нет/Not at all",1,IF(Sheet!KF37="Немного/A little",2,IF(Sheet!KG37="Довольно сильно/Quite a bit",3,IF(Sheet!KH37="Очень сильно/Extremely",4,""))))</f>
        <v>1</v>
      </c>
      <c r="KI37">
        <f>IF(Sheet!KI37="Совсем нет/Not at all",1,IF(Sheet!KJ37="Немного/A little",2,IF(Sheet!KK37="Довольно сильно/Quite a bit",3,IF(Sheet!KL37="Очень сильно/Extremely",4,""))))</f>
        <v>1</v>
      </c>
      <c r="KM37">
        <f>IF(Sheet!KM37="Совсем нет/Not at all",1,IF(Sheet!KN37="Немного/A little",2,IF(Sheet!KO37="Довольно сильно/Quite a bit",3,IF(Sheet!KP37="Очень сильно/Extremely",4,""))))</f>
        <v>1</v>
      </c>
      <c r="KQ37">
        <f>IF(Sheet!KQ37="Совсем нет/Not at all",1,IF(Sheet!KR37="Немного/A little",2,IF(Sheet!KS37="Довольно сильно/Quite a bit",3,IF(Sheet!KT37="Очень сильно/Extremely",4,""))))</f>
        <v>1</v>
      </c>
    </row>
    <row r="38" spans="1:306">
      <c r="A38" s="6" t="str">
        <f>Sheet!A38</f>
        <v>DA001</v>
      </c>
      <c r="GW38" s="27">
        <f>SUM(GY38,HC38,HG38,HK38,HO38,HS38,HW38,IA38,IE38,II38,IM38,IQ38,IU38,IY38,JC38,JG38,JK38,JO38,JS38,JW38,KA38,KE38,KI38,KM38,KQ38)/25</f>
        <v>1.72</v>
      </c>
      <c r="GY38">
        <f>IF(Sheet!GY38="Совсем нет/Not at all",1,IF(Sheet!GZ38="Немного/A little",2,IF(Sheet!HA38="Довольно сильно/Quite a bit",3,IF(Sheet!HB38="Очень сильно/Extremely",4,""))))</f>
        <v>2</v>
      </c>
      <c r="HC38">
        <f>IF(Sheet!HC38="Совсем нет/Not at all",1,IF(Sheet!HD38="Немного/A little",2,IF(Sheet!HE38="Довольно сильно/Quite a bit",3,IF(Sheet!HF38="Очень сильно/Extremely",4,""))))</f>
        <v>1</v>
      </c>
      <c r="HG38">
        <f>IF(Sheet!HG38="Совсем нет/Not at all",1,IF(Sheet!HH38="Немного/A little",2,IF(Sheet!HI38="Довольно сильно/Quite a bit",3,IF(Sheet!HJ38="Очень сильно/Extremely",4,""))))</f>
        <v>1</v>
      </c>
      <c r="HK38">
        <f>IF(Sheet!HK38="Совсем нет/Not at all",1,IF(Sheet!HL38="Немного/A little",2,IF(Sheet!HM38="Довольно сильно/Quite a bit",3,IF(Sheet!HN38="Очень сильно/Extremely",4,""))))</f>
        <v>2</v>
      </c>
      <c r="HO38">
        <f>IF(Sheet!HO38="Совсем нет/Not at all",1,IF(Sheet!HP38="Немного/A little",2,IF(Sheet!HQ38="Довольно сильно/Quite a bit",3,IF(Sheet!HR38="Очень сильно/Extremely",4,""))))</f>
        <v>2</v>
      </c>
      <c r="HS38">
        <f>IF(Sheet!HS38="Совсем нет/Not at all",1,IF(Sheet!HT38="Немного/A little",2,IF(Sheet!HU38="Довольно сильно/Quite a bit",3,IF(Sheet!HV38="Очень сильно/Extremely",4,""))))</f>
        <v>3</v>
      </c>
      <c r="HW38">
        <f>IF(Sheet!HW38="Совсем нет/Not at all",1,IF(Sheet!HX38="Немного/A little",2,IF(Sheet!HY38="Довольно сильно/Quite a bit",3,IF(Sheet!HZ38="Очень сильно/Extremely",4,""))))</f>
        <v>3</v>
      </c>
      <c r="IA38">
        <f>IF(Sheet!IA38="Совсем нет/Not at all",1,IF(Sheet!IB38="Немного/A little",2,IF(Sheet!IC38="Довольно сильно/Quite a bit",3,IF(Sheet!ID38="Очень сильно/Extremely",4,""))))</f>
        <v>2</v>
      </c>
      <c r="IE38">
        <f>IF(Sheet!IE38="Совсем нет/Not at all",1,IF(Sheet!IF38="Немного/A little",2,IF(Sheet!IG38="Довольно сильно/Quite a bit",3,IF(Sheet!IH38="Очень сильно/Extremely",4,""))))</f>
        <v>2</v>
      </c>
      <c r="II38">
        <f>IF(Sheet!II38="Совсем нет/Not at all",1,IF(Sheet!IJ38="Немного/A little",2,IF(Sheet!IK38="Довольно сильно/Quite a bit",3,IF(Sheet!IL38="Очень сильно/Extremely",4,""))))</f>
        <v>3</v>
      </c>
      <c r="IM38">
        <f>IF(Sheet!IM38="Совсем нет/Not at all",1,IF(Sheet!IN38="Немного/A little",2,IF(Sheet!IO38="Довольно сильно/Quite a bit",3,IF(Sheet!IP38="Очень сильно/Extremely",4,""))))</f>
        <v>1</v>
      </c>
      <c r="IQ38">
        <f>IF(Sheet!IQ38="Совсем нет/Not at all",1,IF(Sheet!IR38="Немного/A little",2,IF(Sheet!IS38="Довольно сильно/Quite a bit ",3,IF(Sheet!IT38="Очень сильно/Extremely ",4,""))))</f>
        <v>1</v>
      </c>
      <c r="IU38">
        <f>IF(Sheet!IU38="Совсем нет/Not at all",1,IF(Sheet!IV38="Немного/A little",2,IF(Sheet!IW38="Довольно сильно/Quite a bit ",3,IF(Sheet!IX38="Очень сильно/Extremely ",4,""))))</f>
        <v>2</v>
      </c>
      <c r="IY38">
        <f>IF(Sheet!IY38="Совсем нет/Not at all",1,IF(Sheet!IZ38="Немного/A little",2,IF(Sheet!JA38="Довольно сильно/Quite a bit ",3,IF(Sheet!JB38="Очень сильно/Extremely ",4,""))))</f>
        <v>3</v>
      </c>
      <c r="JC38">
        <f>IF(Sheet!JC38="Совсем нет/Not at all",1,IF(Sheet!JD38="Немного/A little",2,IF(Sheet!JE38="Довольно сильно/Quite a bit ",3,IF(Sheet!JF38="Очень сильно/Extremely ",4,""))))</f>
        <v>1</v>
      </c>
      <c r="JG38">
        <f>IF(Sheet!JG38="Совсем нет/Not at all",1,IF(Sheet!JH38="Немного/A little",2,IF(Sheet!JI38="Довольно сильно/Quite a bit ",3,IF(Sheet!JJ38="Очень сильно/Extremely ",4,""))))</f>
        <v>1</v>
      </c>
      <c r="JK38">
        <f>IF(Sheet!JK38="Совсем нет/Not at all",1,IF(Sheet!JL38="Немного/A little",2,IF(Sheet!JM38="Довольно сильно/Quite a bit ",3,IF(Sheet!JN38="Очень сильно/Extremely ",4,""))))</f>
        <v>2</v>
      </c>
      <c r="JO38" t="str">
        <f>IF(Sheet!JO38="Совсем нет/Not at all",1,IF(Sheet!JP38="Немного/A little",2,IF(Sheet!JQ38="Довольно сильно/Quite a bit",3,IF(Sheet!JR38="Очень сильно/Extremely",4,""))))</f>
        <v/>
      </c>
      <c r="JS38">
        <f>IF(Sheet!JS38="Совсем нет/Not at all",1,IF(Sheet!JT38="Немного/A little",2,IF(Sheet!JU38="Довольно сильно/Quite a bit",3,IF(Sheet!JV38="Очень сильно/Extremely",4,""))))</f>
        <v>2</v>
      </c>
      <c r="JW38">
        <f>IF(Sheet!JW38="Совсем нет/Not at all",1,IF(Sheet!JX38="Немного/A little",2,IF(Sheet!JY38="Довольно сильно/Quite a bit",3,IF(Sheet!JZ38="Очень сильно/Extremely",4,""))))</f>
        <v>1</v>
      </c>
      <c r="KA38">
        <f>IF(Sheet!KA38="Совсем нет/Not at all",1,IF(Sheet!KB38="Немного/A little",2,IF(Sheet!KC38="Довольно сильно/Quite a bit",3,IF(Sheet!KD38="Очень сильно/Extremely",4,""))))</f>
        <v>3</v>
      </c>
      <c r="KE38">
        <f>IF(Sheet!KE38="Совсем нет/Not at all",1,IF(Sheet!KF38="Немного/A little",2,IF(Sheet!KG38="Довольно сильно/Quite a bit",3,IF(Sheet!KH38="Очень сильно/Extremely",4,""))))</f>
        <v>2</v>
      </c>
      <c r="KI38">
        <f>IF(Sheet!KI38="Совсем нет/Not at all",1,IF(Sheet!KJ38="Немного/A little",2,IF(Sheet!KK38="Довольно сильно/Quite a bit",3,IF(Sheet!KL38="Очень сильно/Extremely",4,""))))</f>
        <v>1</v>
      </c>
      <c r="KM38">
        <f>IF(Sheet!KM38="Совсем нет/Not at all",1,IF(Sheet!KN38="Немного/A little",2,IF(Sheet!KO38="Довольно сильно/Quite a bit",3,IF(Sheet!KP38="Очень сильно/Extremely",4,""))))</f>
        <v>1</v>
      </c>
      <c r="KQ38">
        <f>IF(Sheet!KQ38="Совсем нет/Not at all",1,IF(Sheet!KR38="Немного/A little",2,IF(Sheet!KS38="Довольно сильно/Quite a bit",3,IF(Sheet!KT38="Очень сильно/Extremely",4,""))))</f>
        <v>1</v>
      </c>
    </row>
    <row r="39" spans="1:306">
      <c r="A39" t="str">
        <f>Sheet!A39</f>
        <v>LU001</v>
      </c>
      <c r="GW39" s="27">
        <f>SUM(GY39,HC39,HG39,HK39,HO39,HS39,HW39,IA39,IE39,II39,IM39,IQ39,IU39,IY39,JC39,JG39,JK39,JO39,JS39,JW39,KA39,KE39,KI39,KM39,KQ39)/25</f>
        <v>2.84</v>
      </c>
      <c r="GY39">
        <f>IF(Sheet!GY39="Совсем нет/Not at all",1,IF(Sheet!GZ39="Немного/A little",2,IF(Sheet!HA39="Довольно сильно/Quite a bit",3,IF(Sheet!HB39="Очень сильно/Extremely",4,""))))</f>
        <v>1</v>
      </c>
      <c r="HC39">
        <f>IF(Sheet!HC39="Совсем нет/Not at all",1,IF(Sheet!HD39="Немного/A little",2,IF(Sheet!HE39="Довольно сильно/Quite a bit",3,IF(Sheet!HF39="Очень сильно/Extremely",4,""))))</f>
        <v>1</v>
      </c>
      <c r="HG39">
        <f>IF(Sheet!HG39="Совсем нет/Not at all",1,IF(Sheet!HH39="Немного/A little",2,IF(Sheet!HI39="Довольно сильно/Quite a bit",3,IF(Sheet!HJ39="Очень сильно/Extremely",4,""))))</f>
        <v>3</v>
      </c>
      <c r="HK39">
        <f>IF(Sheet!HK39="Совсем нет/Not at all",1,IF(Sheet!HL39="Немного/A little",2,IF(Sheet!HM39="Довольно сильно/Quite a bit",3,IF(Sheet!HN39="Очень сильно/Extremely",4,""))))</f>
        <v>3</v>
      </c>
      <c r="HO39">
        <f>IF(Sheet!HO39="Совсем нет/Not at all",1,IF(Sheet!HP39="Немного/A little",2,IF(Sheet!HQ39="Довольно сильно/Quite a bit",3,IF(Sheet!HR39="Очень сильно/Extremely",4,""))))</f>
        <v>4</v>
      </c>
      <c r="HS39">
        <f>IF(Sheet!HS39="Совсем нет/Not at all",1,IF(Sheet!HT39="Немного/A little",2,IF(Sheet!HU39="Довольно сильно/Quite a bit",3,IF(Sheet!HV39="Очень сильно/Extremely",4,""))))</f>
        <v>4</v>
      </c>
      <c r="HW39">
        <f>IF(Sheet!HW39="Совсем нет/Not at all",1,IF(Sheet!HX39="Немного/A little",2,IF(Sheet!HY39="Довольно сильно/Quite a bit",3,IF(Sheet!HZ39="Очень сильно/Extremely",4,""))))</f>
        <v>4</v>
      </c>
      <c r="IA39">
        <f>IF(Sheet!IA39="Совсем нет/Not at all",1,IF(Sheet!IB39="Немного/A little",2,IF(Sheet!IC39="Довольно сильно/Quite a bit",3,IF(Sheet!ID39="Очень сильно/Extremely",4,""))))</f>
        <v>4</v>
      </c>
      <c r="IE39">
        <f>IF(Sheet!IE39="Совсем нет/Not at all",1,IF(Sheet!IF39="Немного/A little",2,IF(Sheet!IG39="Довольно сильно/Quite a bit",3,IF(Sheet!IH39="Очень сильно/Extremely",4,""))))</f>
        <v>4</v>
      </c>
      <c r="II39">
        <f>IF(Sheet!II39="Совсем нет/Not at all",1,IF(Sheet!IJ39="Немного/A little",2,IF(Sheet!IK39="Довольно сильно/Quite a bit",3,IF(Sheet!IL39="Очень сильно/Extremely",4,""))))</f>
        <v>4</v>
      </c>
      <c r="IM39">
        <f>IF(Sheet!IM39="Совсем нет/Not at all",1,IF(Sheet!IN39="Немного/A little",2,IF(Sheet!IO39="Довольно сильно/Quite a bit",3,IF(Sheet!IP39="Очень сильно/Extremely",4,""))))</f>
        <v>4</v>
      </c>
      <c r="IQ39">
        <f>IF(Sheet!IQ39="Совсем нет/Not at all",1,IF(Sheet!IR39="Немного/A little",2,IF(Sheet!IS39="Довольно сильно/Quite a bit ",3,IF(Sheet!IT39="Очень сильно/Extremely ",4,""))))</f>
        <v>2</v>
      </c>
      <c r="IU39">
        <f>IF(Sheet!IU39="Совсем нет/Not at all",1,IF(Sheet!IV39="Немного/A little",2,IF(Sheet!IW39="Довольно сильно/Quite a bit ",3,IF(Sheet!IX39="Очень сильно/Extremely ",4,""))))</f>
        <v>4</v>
      </c>
      <c r="IY39">
        <f>IF(Sheet!IY39="Совсем нет/Not at all",1,IF(Sheet!IZ39="Немного/A little",2,IF(Sheet!JA39="Довольно сильно/Quite a bit ",3,IF(Sheet!JB39="Очень сильно/Extremely ",4,""))))</f>
        <v>4</v>
      </c>
      <c r="JC39">
        <f>IF(Sheet!JC39="Совсем нет/Not at all",1,IF(Sheet!JD39="Немного/A little",2,IF(Sheet!JE39="Довольно сильно/Quite a bit ",3,IF(Sheet!JF39="Очень сильно/Extremely ",4,""))))</f>
        <v>4</v>
      </c>
      <c r="JG39">
        <f>IF(Sheet!JG39="Совсем нет/Not at all",1,IF(Sheet!JH39="Немного/A little",2,IF(Sheet!JI39="Довольно сильно/Quite a bit ",3,IF(Sheet!JJ39="Очень сильно/Extremely ",4,""))))</f>
        <v>1</v>
      </c>
      <c r="JK39">
        <f>IF(Sheet!JK39="Совсем нет/Not at all",1,IF(Sheet!JL39="Немного/A little",2,IF(Sheet!JM39="Довольно сильно/Quite a bit ",3,IF(Sheet!JN39="Очень сильно/Extremely ",4,""))))</f>
        <v>4</v>
      </c>
      <c r="JO39" t="str">
        <f>IF(Sheet!JO39="Совсем нет/Not at all",1,IF(Sheet!JP39="Немного/A little",2,IF(Sheet!JQ39="Довольно сильно/Quite a bit",3,IF(Sheet!JR39="Очень сильно/Extremely",4,""))))</f>
        <v/>
      </c>
      <c r="JS39">
        <f>IF(Sheet!JS39="Совсем нет/Not at all",1,IF(Sheet!JT39="Немного/A little",2,IF(Sheet!JU39="Довольно сильно/Quite a bit",3,IF(Sheet!JV39="Очень сильно/Extremely",4,""))))</f>
        <v>2</v>
      </c>
      <c r="JW39">
        <f>IF(Sheet!JW39="Совсем нет/Not at all",1,IF(Sheet!JX39="Немного/A little",2,IF(Sheet!JY39="Довольно сильно/Quite a bit",3,IF(Sheet!JZ39="Очень сильно/Extremely",4,""))))</f>
        <v>4</v>
      </c>
      <c r="KA39">
        <f>IF(Sheet!KA39="Совсем нет/Not at all",1,IF(Sheet!KB39="Немного/A little",2,IF(Sheet!KC39="Довольно сильно/Quite a bit",3,IF(Sheet!KD39="Очень сильно/Extremely",4,""))))</f>
        <v>4</v>
      </c>
      <c r="KE39">
        <f>IF(Sheet!KE39="Совсем нет/Not at all",1,IF(Sheet!KF39="Немного/A little",2,IF(Sheet!KG39="Довольно сильно/Quite a bit",3,IF(Sheet!KH39="Очень сильно/Extremely",4,""))))</f>
        <v>1</v>
      </c>
      <c r="KI39">
        <f>IF(Sheet!KI39="Совсем нет/Not at all",1,IF(Sheet!KJ39="Немного/A little",2,IF(Sheet!KK39="Довольно сильно/Quite a bit",3,IF(Sheet!KL39="Очень сильно/Extremely",4,""))))</f>
        <v>1</v>
      </c>
      <c r="KM39">
        <f>IF(Sheet!KM39="Совсем нет/Not at all",1,IF(Sheet!KN39="Немного/A little",2,IF(Sheet!KO39="Довольно сильно/Quite a bit",3,IF(Sheet!KP39="Очень сильно/Extremely",4,""))))</f>
        <v>1</v>
      </c>
      <c r="KQ39">
        <f>IF(Sheet!KQ39="Совсем нет/Not at all",1,IF(Sheet!KR39="Немного/A little",2,IF(Sheet!KS39="Довольно сильно/Quite a bit",3,IF(Sheet!KT39="Очень сильно/Extremely",4,""))))</f>
        <v>3</v>
      </c>
    </row>
    <row r="40" spans="1:306">
      <c r="A40" t="str">
        <f>Sheet!A40</f>
        <v>TC001</v>
      </c>
      <c r="GW40" s="27">
        <f>SUM(GY40,HC40,HG40,HK40,HO40,HS40,HW40,IA40,IE40,II40,IM40,IQ40,IU40,IY40,JC40,JG40,JK40,JO40,JS40,JW40,KA40,KE40,KI40,KM40,KQ40)/25</f>
        <v>1.64</v>
      </c>
      <c r="GY40">
        <f>IF(Sheet!GY40="Совсем нет/Not at all",1,IF(Sheet!GZ40="Немного/A little",2,IF(Sheet!HA40="Довольно сильно/Quite a bit",3,IF(Sheet!HB40="Очень сильно/Extremely",4,""))))</f>
        <v>2</v>
      </c>
      <c r="HC40">
        <f>IF(Sheet!HC40="Совсем нет/Not at all",1,IF(Sheet!HD40="Немного/A little",2,IF(Sheet!HE40="Довольно сильно/Quite a bit",3,IF(Sheet!HF40="Очень сильно/Extremely",4,""))))</f>
        <v>1</v>
      </c>
      <c r="HG40">
        <f>IF(Sheet!HG40="Совсем нет/Not at all",1,IF(Sheet!HH40="Немного/A little",2,IF(Sheet!HI40="Довольно сильно/Quite a bit",3,IF(Sheet!HJ40="Очень сильно/Extremely",4,""))))</f>
        <v>1</v>
      </c>
      <c r="HK40">
        <f>IF(Sheet!HK40="Совсем нет/Not at all",1,IF(Sheet!HL40="Немного/A little",2,IF(Sheet!HM40="Довольно сильно/Quite a bit",3,IF(Sheet!HN40="Очень сильно/Extremely",4,""))))</f>
        <v>1</v>
      </c>
      <c r="HO40">
        <f>IF(Sheet!HO40="Совсем нет/Not at all",1,IF(Sheet!HP40="Немного/A little",2,IF(Sheet!HQ40="Довольно сильно/Quite a bit",3,IF(Sheet!HR40="Очень сильно/Extremely",4,""))))</f>
        <v>1</v>
      </c>
      <c r="HS40">
        <f>IF(Sheet!HS40="Совсем нет/Not at all",1,IF(Sheet!HT40="Немного/A little",2,IF(Sheet!HU40="Довольно сильно/Quite a bit",3,IF(Sheet!HV40="Очень сильно/Extremely",4,""))))</f>
        <v>2</v>
      </c>
      <c r="HW40">
        <f>IF(Sheet!HW40="Совсем нет/Not at all",1,IF(Sheet!HX40="Немного/A little",2,IF(Sheet!HY40="Довольно сильно/Quite a bit",3,IF(Sheet!HZ40="Очень сильно/Extremely",4,""))))</f>
        <v>1</v>
      </c>
      <c r="IA40">
        <f>IF(Sheet!IA40="Совсем нет/Not at all",1,IF(Sheet!IB40="Немного/A little",2,IF(Sheet!IC40="Довольно сильно/Quite a bit",3,IF(Sheet!ID40="Очень сильно/Extremely",4,""))))</f>
        <v>2</v>
      </c>
      <c r="IE40">
        <f>IF(Sheet!IE40="Совсем нет/Not at all",1,IF(Sheet!IF40="Немного/A little",2,IF(Sheet!IG40="Довольно сильно/Quite a bit",3,IF(Sheet!IH40="Очень сильно/Extremely",4,""))))</f>
        <v>1</v>
      </c>
      <c r="II40">
        <f>IF(Sheet!II40="Совсем нет/Not at all",1,IF(Sheet!IJ40="Немного/A little",2,IF(Sheet!IK40="Довольно сильно/Quite a bit",3,IF(Sheet!IL40="Очень сильно/Extremely",4,""))))</f>
        <v>1</v>
      </c>
      <c r="IM40">
        <f>IF(Sheet!IM40="Совсем нет/Not at all",1,IF(Sheet!IN40="Немного/A little",2,IF(Sheet!IO40="Довольно сильно/Quite a bit",3,IF(Sheet!IP40="Очень сильно/Extremely",4,""))))</f>
        <v>2</v>
      </c>
      <c r="IQ40">
        <f>IF(Sheet!IQ40="Совсем нет/Not at all",1,IF(Sheet!IR40="Немного/A little",2,IF(Sheet!IS40="Довольно сильно/Quite a bit ",3,IF(Sheet!IT40="Очень сильно/Extremely ",4,""))))</f>
        <v>1</v>
      </c>
      <c r="IU40">
        <f>IF(Sheet!IU40="Совсем нет/Not at all",1,IF(Sheet!IV40="Немного/A little",2,IF(Sheet!IW40="Довольно сильно/Quite a bit ",3,IF(Sheet!IX40="Очень сильно/Extremely ",4,""))))</f>
        <v>3</v>
      </c>
      <c r="IY40">
        <f>IF(Sheet!IY40="Совсем нет/Not at all",1,IF(Sheet!IZ40="Немного/A little",2,IF(Sheet!JA40="Довольно сильно/Quite a bit ",3,IF(Sheet!JB40="Очень сильно/Extremely ",4,""))))</f>
        <v>2</v>
      </c>
      <c r="JC40">
        <f>IF(Sheet!JC40="Совсем нет/Not at all",1,IF(Sheet!JD40="Немного/A little",2,IF(Sheet!JE40="Довольно сильно/Quite a bit ",3,IF(Sheet!JF40="Очень сильно/Extremely ",4,""))))</f>
        <v>2</v>
      </c>
      <c r="JG40">
        <f>IF(Sheet!JG40="Совсем нет/Not at all",1,IF(Sheet!JH40="Немного/A little",2,IF(Sheet!JI40="Довольно сильно/Quite a bit ",3,IF(Sheet!JJ40="Очень сильно/Extremely ",4,""))))</f>
        <v>1</v>
      </c>
      <c r="JK40">
        <f>IF(Sheet!JK40="Совсем нет/Not at all",1,IF(Sheet!JL40="Немного/A little",2,IF(Sheet!JM40="Довольно сильно/Quite a bit ",3,IF(Sheet!JN40="Очень сильно/Extremely ",4,""))))</f>
        <v>2</v>
      </c>
      <c r="JO40">
        <f>IF(Sheet!JO40="Совсем нет/Not at all",1,IF(Sheet!JP40="Немного/A little",2,IF(Sheet!JQ40="Довольно сильно/Quite a bit",3,IF(Sheet!JR40="Очень сильно/Extremely",4,""))))</f>
        <v>1</v>
      </c>
      <c r="JS40">
        <f>IF(Sheet!JS40="Совсем нет/Not at all",1,IF(Sheet!JT40="Немного/A little",2,IF(Sheet!JU40="Довольно сильно/Quite a bit",3,IF(Sheet!JV40="Очень сильно/Extremely",4,""))))</f>
        <v>1</v>
      </c>
      <c r="JW40">
        <f>IF(Sheet!JW40="Совсем нет/Not at all",1,IF(Sheet!JX40="Немного/A little",2,IF(Sheet!JY40="Довольно сильно/Quite a bit",3,IF(Sheet!JZ40="Очень сильно/Extremely",4,""))))</f>
        <v>1</v>
      </c>
      <c r="KA40">
        <f>IF(Sheet!KA40="Совсем нет/Not at all",1,IF(Sheet!KB40="Немного/A little",2,IF(Sheet!KC40="Довольно сильно/Quite a bit",3,IF(Sheet!KD40="Очень сильно/Extremely",4,""))))</f>
        <v>4</v>
      </c>
      <c r="KE40">
        <f>IF(Sheet!KE40="Совсем нет/Not at all",1,IF(Sheet!KF40="Немного/A little",2,IF(Sheet!KG40="Довольно сильно/Quite a bit",3,IF(Sheet!KH40="Очень сильно/Extremely",4,""))))</f>
        <v>4</v>
      </c>
      <c r="KI40">
        <f>IF(Sheet!KI40="Совсем нет/Not at all",1,IF(Sheet!KJ40="Немного/A little",2,IF(Sheet!KK40="Довольно сильно/Quite a bit",3,IF(Sheet!KL40="Очень сильно/Extremely",4,""))))</f>
        <v>2</v>
      </c>
      <c r="KM40">
        <f>IF(Sheet!KM40="Совсем нет/Not at all",1,IF(Sheet!KN40="Немного/A little",2,IF(Sheet!KO40="Довольно сильно/Quite a bit",3,IF(Sheet!KP40="Очень сильно/Extremely",4,""))))</f>
        <v>1</v>
      </c>
      <c r="KQ40">
        <f>IF(Sheet!KQ40="Совсем нет/Not at all",1,IF(Sheet!KR40="Немного/A little",2,IF(Sheet!KS40="Довольно сильно/Quite a bit",3,IF(Sheet!KT40="Очень сильно/Extremely",4,""))))</f>
        <v>1</v>
      </c>
    </row>
    <row r="41" spans="1:306">
      <c r="A41" t="str">
        <f>Sheet!A41</f>
        <v>CD002</v>
      </c>
      <c r="GW41" s="27">
        <f>SUM(GY41,HC41,HG41,HK41,HO41,HS41,HW41,IA41,IE41,II41,IM41,IQ41,IU41,IY41,JC41,JG41,JK41,JO41,JS41,JW41,KA41,KE41,KI41,KM41,KQ41)/25</f>
        <v>2.76</v>
      </c>
      <c r="GY41">
        <f>IF(Sheet!GY41="Совсем нет/Not at all",1,IF(Sheet!GZ41="Немного/A little",2,IF(Sheet!HA41="Довольно сильно/Quite a bit",3,IF(Sheet!HB41="Очень сильно/Extremely",4,""))))</f>
        <v>2</v>
      </c>
      <c r="HC41">
        <f>IF(Sheet!HC41="Совсем нет/Not at all",1,IF(Sheet!HD41="Немного/A little",2,IF(Sheet!HE41="Довольно сильно/Quite a bit",3,IF(Sheet!HF41="Очень сильно/Extremely",4,""))))</f>
        <v>1</v>
      </c>
      <c r="HG41">
        <f>IF(Sheet!HG41="Совсем нет/Not at all",1,IF(Sheet!HH41="Немного/A little",2,IF(Sheet!HI41="Довольно сильно/Quite a bit",3,IF(Sheet!HJ41="Очень сильно/Extremely",4,""))))</f>
        <v>2</v>
      </c>
      <c r="HK41">
        <f>IF(Sheet!HK41="Совсем нет/Not at all",1,IF(Sheet!HL41="Немного/A little",2,IF(Sheet!HM41="Довольно сильно/Quite a bit",3,IF(Sheet!HN41="Очень сильно/Extremely",4,""))))</f>
        <v>4</v>
      </c>
      <c r="HO41">
        <f>IF(Sheet!HO41="Совсем нет/Not at all",1,IF(Sheet!HP41="Немного/A little",2,IF(Sheet!HQ41="Довольно сильно/Quite a bit",3,IF(Sheet!HR41="Очень сильно/Extremely",4,""))))</f>
        <v>4</v>
      </c>
      <c r="HS41">
        <f>IF(Sheet!HS41="Совсем нет/Not at all",1,IF(Sheet!HT41="Немного/A little",2,IF(Sheet!HU41="Довольно сильно/Quite a bit",3,IF(Sheet!HV41="Очень сильно/Extremely",4,""))))</f>
        <v>4</v>
      </c>
      <c r="HW41">
        <f>IF(Sheet!HW41="Совсем нет/Not at all",1,IF(Sheet!HX41="Немного/A little",2,IF(Sheet!HY41="Довольно сильно/Quite a bit",3,IF(Sheet!HZ41="Очень сильно/Extremely",4,""))))</f>
        <v>4</v>
      </c>
      <c r="IA41">
        <f>IF(Sheet!IA41="Совсем нет/Not at all",1,IF(Sheet!IB41="Немного/A little",2,IF(Sheet!IC41="Довольно сильно/Quite a bit",3,IF(Sheet!ID41="Очень сильно/Extremely",4,""))))</f>
        <v>4</v>
      </c>
      <c r="IE41">
        <f>IF(Sheet!IE41="Совсем нет/Not at all",1,IF(Sheet!IF41="Немного/A little",2,IF(Sheet!IG41="Довольно сильно/Quite a bit",3,IF(Sheet!IH41="Очень сильно/Extremely",4,""))))</f>
        <v>4</v>
      </c>
      <c r="II41">
        <f>IF(Sheet!II41="Совсем нет/Not at all",1,IF(Sheet!IJ41="Немного/A little",2,IF(Sheet!IK41="Довольно сильно/Quite a bit",3,IF(Sheet!IL41="Очень сильно/Extremely",4,""))))</f>
        <v>4</v>
      </c>
      <c r="IM41">
        <f>IF(Sheet!IM41="Совсем нет/Not at all",1,IF(Sheet!IN41="Немного/A little",2,IF(Sheet!IO41="Довольно сильно/Quite a bit",3,IF(Sheet!IP41="Очень сильно/Extremely",4,""))))</f>
        <v>1</v>
      </c>
      <c r="IQ41">
        <f>IF(Sheet!IQ41="Совсем нет/Not at all",1,IF(Sheet!IR41="Немного/A little",2,IF(Sheet!IS41="Довольно сильно/Quite a bit ",3,IF(Sheet!IT41="Очень сильно/Extremely ",4,""))))</f>
        <v>1</v>
      </c>
      <c r="IU41">
        <f>IF(Sheet!IU41="Совсем нет/Not at all",1,IF(Sheet!IV41="Немного/A little",2,IF(Sheet!IW41="Довольно сильно/Quite a bit ",3,IF(Sheet!IX41="Очень сильно/Extremely ",4,""))))</f>
        <v>4</v>
      </c>
      <c r="IY41">
        <f>IF(Sheet!IY41="Совсем нет/Not at all",1,IF(Sheet!IZ41="Немного/A little",2,IF(Sheet!JA41="Довольно сильно/Quite a bit ",3,IF(Sheet!JB41="Очень сильно/Extremely ",4,""))))</f>
        <v>4</v>
      </c>
      <c r="JC41">
        <f>IF(Sheet!JC41="Совсем нет/Not at all",1,IF(Sheet!JD41="Немного/A little",2,IF(Sheet!JE41="Довольно сильно/Quite a bit ",3,IF(Sheet!JF41="Очень сильно/Extremely ",4,""))))</f>
        <v>3</v>
      </c>
      <c r="JG41">
        <f>IF(Sheet!JG41="Совсем нет/Not at all",1,IF(Sheet!JH41="Немного/A little",2,IF(Sheet!JI41="Довольно сильно/Quite a bit ",3,IF(Sheet!JJ41="Очень сильно/Extremely ",4,""))))</f>
        <v>1</v>
      </c>
      <c r="JK41">
        <f>IF(Sheet!JK41="Совсем нет/Not at all",1,IF(Sheet!JL41="Немного/A little",2,IF(Sheet!JM41="Довольно сильно/Quite a bit ",3,IF(Sheet!JN41="Очень сильно/Extremely ",4,""))))</f>
        <v>4</v>
      </c>
      <c r="JO41">
        <f>IF(Sheet!JO41="Совсем нет/Not at all",1,IF(Sheet!JP41="Немного/A little",2,IF(Sheet!JQ41="Довольно сильно/Quite a bit",3,IF(Sheet!JR41="Очень сильно/Extremely",4,""))))</f>
        <v>1</v>
      </c>
      <c r="JS41">
        <f>IF(Sheet!JS41="Совсем нет/Not at all",1,IF(Sheet!JT41="Немного/A little",2,IF(Sheet!JU41="Довольно сильно/Quite a bit",3,IF(Sheet!JV41="Очень сильно/Extremely",4,""))))</f>
        <v>2</v>
      </c>
      <c r="JW41">
        <f>IF(Sheet!JW41="Совсем нет/Not at all",1,IF(Sheet!JX41="Немного/A little",2,IF(Sheet!JY41="Довольно сильно/Quite a bit",3,IF(Sheet!JZ41="Очень сильно/Extremely",4,""))))</f>
        <v>2</v>
      </c>
      <c r="KA41">
        <f>IF(Sheet!KA41="Совсем нет/Not at all",1,IF(Sheet!KB41="Немного/A little",2,IF(Sheet!KC41="Довольно сильно/Quite a bit",3,IF(Sheet!KD41="Очень сильно/Extremely",4,""))))</f>
        <v>4</v>
      </c>
      <c r="KE41">
        <f>IF(Sheet!KE41="Совсем нет/Not at all",1,IF(Sheet!KF41="Немного/A little",2,IF(Sheet!KG41="Довольно сильно/Quite a bit",3,IF(Sheet!KH41="Очень сильно/Extremely",4,""))))</f>
        <v>4</v>
      </c>
      <c r="KI41">
        <f>IF(Sheet!KI41="Совсем нет/Not at all",1,IF(Sheet!KJ41="Немного/A little",2,IF(Sheet!KK41="Довольно сильно/Quite a bit",3,IF(Sheet!KL41="Очень сильно/Extremely",4,""))))</f>
        <v>3</v>
      </c>
      <c r="KM41">
        <f>IF(Sheet!KM41="Совсем нет/Not at all",1,IF(Sheet!KN41="Немного/A little",2,IF(Sheet!KO41="Довольно сильно/Quite a bit",3,IF(Sheet!KP41="Очень сильно/Extremely",4,""))))</f>
        <v>1</v>
      </c>
      <c r="KQ41">
        <f>IF(Sheet!KQ41="Совсем нет/Not at all",1,IF(Sheet!KR41="Немного/A little",2,IF(Sheet!KS41="Довольно сильно/Quite a bit",3,IF(Sheet!KT41="Очень сильно/Extremely",4,""))))</f>
        <v>1</v>
      </c>
    </row>
    <row r="42" spans="1:306">
      <c r="A42" t="str">
        <f>Sheet!A42</f>
        <v>СМ001</v>
      </c>
      <c r="GW42" s="27">
        <f>SUM(GY42,HC42,HG42,HK42,HO42,HS42,HW42,IA42,IE42,II42,IM42,IQ42,IU42,IY42,JC42,JG42,JK42,JO42,JS42,JW42,KA42,KE42,KI42,KM42,KQ42)/25</f>
        <v>2.36</v>
      </c>
      <c r="GY42">
        <f>IF(Sheet!GY42="Совсем нет/Not at all",1,IF(Sheet!GZ42="Немного/A little",2,IF(Sheet!HA42="Довольно сильно/Quite a bit",3,IF(Sheet!HB42="Очень сильно/Extremely",4,""))))</f>
        <v>3</v>
      </c>
      <c r="HC42">
        <f>IF(Sheet!HC42="Совсем нет/Not at all",1,IF(Sheet!HD42="Немного/A little",2,IF(Sheet!HE42="Довольно сильно/Quite a bit",3,IF(Sheet!HF42="Очень сильно/Extremely",4,""))))</f>
        <v>2</v>
      </c>
      <c r="HG42">
        <f>IF(Sheet!HG42="Совсем нет/Not at all",1,IF(Sheet!HH42="Немного/A little",2,IF(Sheet!HI42="Довольно сильно/Quite a bit",3,IF(Sheet!HJ42="Очень сильно/Extremely",4,""))))</f>
        <v>3</v>
      </c>
      <c r="HK42">
        <f>IF(Sheet!HK42="Совсем нет/Not at all",1,IF(Sheet!HL42="Немного/A little",2,IF(Sheet!HM42="Довольно сильно/Quite a bit",3,IF(Sheet!HN42="Очень сильно/Extremely",4,""))))</f>
        <v>2</v>
      </c>
      <c r="HO42">
        <f>IF(Sheet!HO42="Совсем нет/Not at all",1,IF(Sheet!HP42="Немного/A little",2,IF(Sheet!HQ42="Довольно сильно/Quite a bit",3,IF(Sheet!HR42="Очень сильно/Extremely",4,""))))</f>
        <v>1</v>
      </c>
      <c r="HS42">
        <f>IF(Sheet!HS42="Совсем нет/Not at all",1,IF(Sheet!HT42="Немного/A little",2,IF(Sheet!HU42="Довольно сильно/Quite a bit",3,IF(Sheet!HV42="Очень сильно/Extremely",4,""))))</f>
        <v>4</v>
      </c>
      <c r="HW42">
        <f>IF(Sheet!HW42="Совсем нет/Not at all",1,IF(Sheet!HX42="Немного/A little",2,IF(Sheet!HY42="Довольно сильно/Quite a bit",3,IF(Sheet!HZ42="Очень сильно/Extremely",4,""))))</f>
        <v>2</v>
      </c>
      <c r="IA42">
        <f>IF(Sheet!IA42="Совсем нет/Not at all",1,IF(Sheet!IB42="Немного/A little",2,IF(Sheet!IC42="Довольно сильно/Quite a bit",3,IF(Sheet!ID42="Очень сильно/Extremely",4,""))))</f>
        <v>3</v>
      </c>
      <c r="IE42">
        <f>IF(Sheet!IE42="Совсем нет/Not at all",1,IF(Sheet!IF42="Немного/A little",2,IF(Sheet!IG42="Довольно сильно/Quite a bit",3,IF(Sheet!IH42="Очень сильно/Extremely",4,""))))</f>
        <v>4</v>
      </c>
      <c r="II42">
        <f>IF(Sheet!II42="Совсем нет/Not at all",1,IF(Sheet!IJ42="Немного/A little",2,IF(Sheet!IK42="Довольно сильно/Quite a bit",3,IF(Sheet!IL42="Очень сильно/Extremely",4,""))))</f>
        <v>4</v>
      </c>
      <c r="IM42">
        <f>IF(Sheet!IM42="Совсем нет/Not at all",1,IF(Sheet!IN42="Немного/A little",2,IF(Sheet!IO42="Довольно сильно/Quite a bit",3,IF(Sheet!IP42="Очень сильно/Extremely",4,""))))</f>
        <v>3</v>
      </c>
      <c r="IQ42">
        <f>IF(Sheet!IQ42="Совсем нет/Not at all",1,IF(Sheet!IR42="Немного/A little",2,IF(Sheet!IS42="Довольно сильно/Quite a bit ",3,IF(Sheet!IT42="Очень сильно/Extremely ",4,""))))</f>
        <v>3</v>
      </c>
      <c r="IU42">
        <f>IF(Sheet!IU42="Совсем нет/Not at all",1,IF(Sheet!IV42="Немного/A little",2,IF(Sheet!IW42="Довольно сильно/Quite a bit ",3,IF(Sheet!IX42="Очень сильно/Extremely ",4,""))))</f>
        <v>2</v>
      </c>
      <c r="IY42">
        <f>IF(Sheet!IY42="Совсем нет/Not at all",1,IF(Sheet!IZ42="Немного/A little",2,IF(Sheet!JA42="Довольно сильно/Quite a bit ",3,IF(Sheet!JB42="Очень сильно/Extremely ",4,""))))</f>
        <v>1</v>
      </c>
      <c r="JC42">
        <f>IF(Sheet!JC42="Совсем нет/Not at all",1,IF(Sheet!JD42="Немного/A little",2,IF(Sheet!JE42="Довольно сильно/Quite a bit ",3,IF(Sheet!JF42="Очень сильно/Extremely ",4,""))))</f>
        <v>1</v>
      </c>
      <c r="JG42">
        <f>IF(Sheet!JG42="Совсем нет/Not at all",1,IF(Sheet!JH42="Немного/A little",2,IF(Sheet!JI42="Довольно сильно/Quite a bit ",3,IF(Sheet!JJ42="Очень сильно/Extremely ",4,""))))</f>
        <v>1</v>
      </c>
      <c r="JK42">
        <f>IF(Sheet!JK42="Совсем нет/Not at all",1,IF(Sheet!JL42="Немного/A little",2,IF(Sheet!JM42="Довольно сильно/Quite a bit ",3,IF(Sheet!JN42="Очень сильно/Extremely ",4,""))))</f>
        <v>2</v>
      </c>
      <c r="JO42" t="str">
        <f>IF(Sheet!JO42="Совсем нет/Not at all",1,IF(Sheet!JP42="Немного/A little",2,IF(Sheet!JQ42="Довольно сильно/Quite a bit",3,IF(Sheet!JR42="Очень сильно/Extremely",4,""))))</f>
        <v/>
      </c>
      <c r="JS42">
        <f>IF(Sheet!JS42="Совсем нет/Not at all",1,IF(Sheet!JT42="Немного/A little",2,IF(Sheet!JU42="Довольно сильно/Quite a bit",3,IF(Sheet!JV42="Очень сильно/Extremely",4,""))))</f>
        <v>3</v>
      </c>
      <c r="JW42">
        <f>IF(Sheet!JW42="Совсем нет/Not at all",1,IF(Sheet!JX42="Немного/A little",2,IF(Sheet!JY42="Довольно сильно/Quite a bit",3,IF(Sheet!JZ42="Очень сильно/Extremely",4,""))))</f>
        <v>2</v>
      </c>
      <c r="KA42">
        <f>IF(Sheet!KA42="Совсем нет/Not at all",1,IF(Sheet!KB42="Немного/A little",2,IF(Sheet!KC42="Довольно сильно/Quite a bit",3,IF(Sheet!KD42="Очень сильно/Extremely",4,""))))</f>
        <v>3</v>
      </c>
      <c r="KE42">
        <f>IF(Sheet!KE42="Совсем нет/Not at all",1,IF(Sheet!KF42="Немного/A little",2,IF(Sheet!KG42="Довольно сильно/Quite a bit",3,IF(Sheet!KH42="Очень сильно/Extremely",4,""))))</f>
        <v>3</v>
      </c>
      <c r="KI42">
        <f>IF(Sheet!KI42="Совсем нет/Not at all",1,IF(Sheet!KJ42="Немного/A little",2,IF(Sheet!KK42="Довольно сильно/Quite a bit",3,IF(Sheet!KL42="Очень сильно/Extremely",4,""))))</f>
        <v>3</v>
      </c>
      <c r="KM42">
        <f>IF(Sheet!KM42="Совсем нет/Not at all",1,IF(Sheet!KN42="Немного/A little",2,IF(Sheet!KO42="Довольно сильно/Quite a bit",3,IF(Sheet!KP42="Очень сильно/Extremely",4,""))))</f>
        <v>2</v>
      </c>
      <c r="KQ42">
        <f>IF(Sheet!KQ42="Совсем нет/Not at all",1,IF(Sheet!KR42="Немного/A little",2,IF(Sheet!KS42="Довольно сильно/Quite a bit",3,IF(Sheet!KT42="Очень сильно/Extremely",4,""))))</f>
        <v>2</v>
      </c>
    </row>
    <row r="43" spans="1:306" ht="13.9">
      <c r="A43" s="6" t="s">
        <v>566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27"/>
      <c r="GX43" s="39"/>
      <c r="GY43" s="39" t="str">
        <f>IF(Sheet!GY43="Совсем нет/Not at all",1,IF(Sheet!GZ43="Немного/A little",2,IF(Sheet!HA43="Довольно сильно/Quite a bit",3,IF(Sheet!HB43="Очень сильно/Extremely",4,""))))</f>
        <v/>
      </c>
      <c r="GZ43" s="39"/>
      <c r="HA43" s="39"/>
      <c r="HB43" s="39"/>
      <c r="HC43" s="39" t="str">
        <f>IF(Sheet!HC43="Совсем нет/Not at all",1,IF(Sheet!HD43="Немного/A little",2,IF(Sheet!HE43="Довольно сильно/Quite a bit",3,IF(Sheet!HF43="Очень сильно/Extremely",4,""))))</f>
        <v/>
      </c>
      <c r="HD43" s="39"/>
      <c r="HE43" s="39"/>
      <c r="HF43" s="39"/>
      <c r="HG43" s="39" t="str">
        <f>IF(Sheet!HG43="Совсем нет/Not at all",1,IF(Sheet!HH43="Немного/A little",2,IF(Sheet!HI43="Довольно сильно/Quite a bit",3,IF(Sheet!HJ43="Очень сильно/Extremely",4,""))))</f>
        <v/>
      </c>
      <c r="HH43" s="39"/>
      <c r="HI43" s="39"/>
      <c r="HJ43" s="39"/>
      <c r="HK43" s="39" t="str">
        <f>IF(Sheet!HK43="Совсем нет/Not at all",1,IF(Sheet!HL43="Немного/A little",2,IF(Sheet!HM43="Довольно сильно/Quite a bit",3,IF(Sheet!HN43="Очень сильно/Extremely",4,""))))</f>
        <v/>
      </c>
      <c r="HL43" s="39"/>
      <c r="HM43" s="39"/>
      <c r="HN43" s="39"/>
      <c r="HO43" s="39" t="str">
        <f>IF(Sheet!HO43="Совсем нет/Not at all",1,IF(Sheet!HP43="Немного/A little",2,IF(Sheet!HQ43="Довольно сильно/Quite a bit",3,IF(Sheet!HR43="Очень сильно/Extremely",4,""))))</f>
        <v/>
      </c>
      <c r="HP43" s="39"/>
      <c r="HQ43" s="39"/>
      <c r="HR43" s="39"/>
      <c r="HS43" s="39" t="str">
        <f>IF(Sheet!HS43="Совсем нет/Not at all",1,IF(Sheet!HT43="Немного/A little",2,IF(Sheet!HU43="Довольно сильно/Quite a bit",3,IF(Sheet!HV43="Очень сильно/Extremely",4,""))))</f>
        <v/>
      </c>
      <c r="HT43" s="39"/>
      <c r="HU43" s="39"/>
      <c r="HV43" s="39"/>
      <c r="HW43" s="39" t="str">
        <f>IF(Sheet!HW43="Совсем нет/Not at all",1,IF(Sheet!HX43="Немного/A little",2,IF(Sheet!HY43="Довольно сильно/Quite a bit",3,IF(Sheet!HZ43="Очень сильно/Extremely",4,""))))</f>
        <v/>
      </c>
      <c r="HX43" s="39"/>
      <c r="HY43" s="39"/>
      <c r="HZ43" s="39"/>
      <c r="IA43" s="39" t="str">
        <f>IF(Sheet!IA43="Совсем нет/Not at all",1,IF(Sheet!IB43="Немного/A little",2,IF(Sheet!IC43="Довольно сильно/Quite a bit",3,IF(Sheet!ID43="Очень сильно/Extremely",4,""))))</f>
        <v/>
      </c>
      <c r="IB43" s="39"/>
      <c r="IC43" s="39"/>
      <c r="ID43" s="39"/>
      <c r="IE43" s="39" t="str">
        <f>IF(Sheet!IE43="Совсем нет/Not at all",1,IF(Sheet!IF43="Немного/A little",2,IF(Sheet!IG43="Довольно сильно/Quite a bit",3,IF(Sheet!IH43="Очень сильно/Extremely",4,""))))</f>
        <v/>
      </c>
      <c r="IF43" s="39"/>
      <c r="IG43" s="39"/>
      <c r="IH43" s="39"/>
      <c r="II43" s="39" t="str">
        <f>IF(Sheet!II43="Совсем нет/Not at all",1,IF(Sheet!IJ43="Немного/A little",2,IF(Sheet!IK43="Довольно сильно/Quite a bit",3,IF(Sheet!IL43="Очень сильно/Extremely",4,""))))</f>
        <v/>
      </c>
      <c r="IJ43" s="39"/>
      <c r="IK43" s="39"/>
      <c r="IL43" s="39"/>
      <c r="IM43" s="39" t="str">
        <f>IF(Sheet!IM43="Совсем нет/Not at all",1,IF(Sheet!IN43="Немного/A little",2,IF(Sheet!IO43="Довольно сильно/Quite a bit",3,IF(Sheet!IP43="Очень сильно/Extremely",4,""))))</f>
        <v/>
      </c>
      <c r="IN43" s="39"/>
      <c r="IO43" s="39"/>
      <c r="IP43" s="39"/>
      <c r="IQ43" s="39" t="str">
        <f>IF(Sheet!IQ43="Совсем нет/Not at all",1,IF(Sheet!IR43="Немного/A little",2,IF(Sheet!IS43="Довольно сильно/Quite a bit ",3,IF(Sheet!IT43="Очень сильно/Extremely ",4,""))))</f>
        <v/>
      </c>
      <c r="IR43" s="39"/>
      <c r="IS43" s="39"/>
      <c r="IT43" s="39"/>
      <c r="IU43" s="39" t="str">
        <f>IF(Sheet!IU43="Совсем нет/Not at all",1,IF(Sheet!IV43="Немного/A little",2,IF(Sheet!IW43="Довольно сильно/Quite a bit ",3,IF(Sheet!IX43="Очень сильно/Extremely ",4,""))))</f>
        <v/>
      </c>
      <c r="IV43" s="39"/>
      <c r="IW43" s="39"/>
      <c r="IX43" s="39"/>
      <c r="IY43" s="39" t="str">
        <f>IF(Sheet!IY43="Совсем нет/Not at all",1,IF(Sheet!IZ43="Немного/A little",2,IF(Sheet!JA43="Довольно сильно/Quite a bit ",3,IF(Sheet!JB43="Очень сильно/Extremely ",4,""))))</f>
        <v/>
      </c>
      <c r="IZ43" s="39"/>
      <c r="JA43" s="39"/>
      <c r="JB43" s="39"/>
      <c r="JC43" s="39" t="str">
        <f>IF(Sheet!JC43="Совсем нет/Not at all",1,IF(Sheet!JD43="Немного/A little",2,IF(Sheet!JE43="Довольно сильно/Quite a bit ",3,IF(Sheet!JF43="Очень сильно/Extremely ",4,""))))</f>
        <v/>
      </c>
      <c r="JD43" s="39"/>
      <c r="JE43" s="39"/>
      <c r="JF43" s="39"/>
      <c r="JG43" s="39" t="str">
        <f>IF(Sheet!JG43="Совсем нет/Not at all",1,IF(Sheet!JH43="Немного/A little",2,IF(Sheet!JI43="Довольно сильно/Quite a bit ",3,IF(Sheet!JJ43="Очень сильно/Extremely ",4,""))))</f>
        <v/>
      </c>
      <c r="JH43" s="39"/>
      <c r="JI43" s="39"/>
      <c r="JJ43" s="39"/>
      <c r="JK43" s="39" t="str">
        <f>IF(Sheet!JK43="Совсем нет/Not at all",1,IF(Sheet!JL43="Немного/A little",2,IF(Sheet!JM43="Довольно сильно/Quite a bit ",3,IF(Sheet!JN43="Очень сильно/Extremely ",4,""))))</f>
        <v/>
      </c>
      <c r="JL43" s="39"/>
      <c r="JM43" s="39"/>
      <c r="JN43" s="39"/>
      <c r="JO43" s="39" t="str">
        <f>IF(Sheet!JO43="Совсем нет/Not at all",1,IF(Sheet!JP43="Немного/A little",2,IF(Sheet!JQ43="Довольно сильно/Quite a bit",3,IF(Sheet!JR43="Очень сильно/Extremely",4,""))))</f>
        <v/>
      </c>
      <c r="JP43" s="39"/>
      <c r="JQ43" s="39"/>
      <c r="JR43" s="39"/>
      <c r="JS43" s="39" t="str">
        <f>IF(Sheet!JS43="Совсем нет/Not at all",1,IF(Sheet!JT43="Немного/A little",2,IF(Sheet!JU43="Довольно сильно/Quite a bit",3,IF(Sheet!JV43="Очень сильно/Extremely",4,""))))</f>
        <v/>
      </c>
      <c r="JT43" s="39"/>
      <c r="JU43" s="39"/>
      <c r="JV43" s="39"/>
      <c r="JW43" s="39" t="str">
        <f>IF(Sheet!JW43="Совсем нет/Not at all",1,IF(Sheet!JX43="Немного/A little",2,IF(Sheet!JY43="Довольно сильно/Quite a bit",3,IF(Sheet!JZ43="Очень сильно/Extremely",4,""))))</f>
        <v/>
      </c>
      <c r="JX43" s="39"/>
      <c r="JY43" s="39"/>
      <c r="JZ43" s="39"/>
      <c r="KA43" s="39" t="str">
        <f>IF(Sheet!KA43="Совсем нет/Not at all",1,IF(Sheet!KB43="Немного/A little",2,IF(Sheet!KC43="Довольно сильно/Quite a bit",3,IF(Sheet!KD43="Очень сильно/Extremely",4,""))))</f>
        <v/>
      </c>
      <c r="KB43" s="39"/>
      <c r="KC43" s="39"/>
      <c r="KD43" s="39"/>
      <c r="KE43" s="39" t="str">
        <f>IF(Sheet!KE43="Совсем нет/Not at all",1,IF(Sheet!KF43="Немного/A little",2,IF(Sheet!KG43="Довольно сильно/Quite a bit",3,IF(Sheet!KH43="Очень сильно/Extremely",4,""))))</f>
        <v/>
      </c>
      <c r="KF43" s="39"/>
      <c r="KG43" s="39"/>
      <c r="KH43" s="39"/>
      <c r="KI43" s="39" t="str">
        <f>IF(Sheet!KI43="Совсем нет/Not at all",1,IF(Sheet!KJ43="Немного/A little",2,IF(Sheet!KK43="Довольно сильно/Quite a bit",3,IF(Sheet!KL43="Очень сильно/Extremely",4,""))))</f>
        <v/>
      </c>
      <c r="KJ43" s="39"/>
      <c r="KK43" s="39"/>
      <c r="KL43" s="39"/>
      <c r="KM43" s="39" t="str">
        <f>IF(Sheet!KM43="Совсем нет/Not at all",1,IF(Sheet!KN43="Немного/A little",2,IF(Sheet!KO43="Довольно сильно/Quite a bit",3,IF(Sheet!KP43="Очень сильно/Extremely",4,""))))</f>
        <v/>
      </c>
      <c r="KN43" s="39"/>
      <c r="KO43" s="39"/>
      <c r="KP43" s="39"/>
      <c r="KQ43" s="39" t="str">
        <f>IF(Sheet!KQ43="Совсем нет/Not at all",1,IF(Sheet!KR43="Немного/A little",2,IF(Sheet!KS43="Довольно сильно/Quite a bit",3,IF(Sheet!KT43="Очень сильно/Extremely",4,""))))</f>
        <v/>
      </c>
      <c r="KR43" s="39"/>
      <c r="KS43" s="39"/>
      <c r="KT43" s="39"/>
    </row>
    <row r="44" spans="1:306" ht="13.9">
      <c r="A44" s="6" t="s">
        <v>561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27"/>
      <c r="GX44" s="39"/>
      <c r="GY44" s="39" t="str">
        <f>IF(Sheet!GY44="Совсем нет/Not at all",1,IF(Sheet!GZ44="Немного/A little",2,IF(Sheet!HA44="Довольно сильно/Quite a bit",3,IF(Sheet!HB44="Очень сильно/Extremely",4,""))))</f>
        <v/>
      </c>
      <c r="GZ44" s="39"/>
      <c r="HA44" s="39"/>
      <c r="HB44" s="39"/>
      <c r="HC44" s="39" t="str">
        <f>IF(Sheet!HC44="Совсем нет/Not at all",1,IF(Sheet!HD44="Немного/A little",2,IF(Sheet!HE44="Довольно сильно/Quite a bit",3,IF(Sheet!HF44="Очень сильно/Extremely",4,""))))</f>
        <v/>
      </c>
      <c r="HD44" s="39"/>
      <c r="HE44" s="39"/>
      <c r="HF44" s="39"/>
      <c r="HG44" s="39" t="str">
        <f>IF(Sheet!HG44="Совсем нет/Not at all",1,IF(Sheet!HH44="Немного/A little",2,IF(Sheet!HI44="Довольно сильно/Quite a bit",3,IF(Sheet!HJ44="Очень сильно/Extremely",4,""))))</f>
        <v/>
      </c>
      <c r="HH44" s="39"/>
      <c r="HI44" s="39"/>
      <c r="HJ44" s="39"/>
      <c r="HK44" s="39" t="str">
        <f>IF(Sheet!HK44="Совсем нет/Not at all",1,IF(Sheet!HL44="Немного/A little",2,IF(Sheet!HM44="Довольно сильно/Quite a bit",3,IF(Sheet!HN44="Очень сильно/Extremely",4,""))))</f>
        <v/>
      </c>
      <c r="HL44" s="39"/>
      <c r="HM44" s="39"/>
      <c r="HN44" s="39"/>
      <c r="HO44" s="39" t="str">
        <f>IF(Sheet!HO44="Совсем нет/Not at all",1,IF(Sheet!HP44="Немного/A little",2,IF(Sheet!HQ44="Довольно сильно/Quite a bit",3,IF(Sheet!HR44="Очень сильно/Extremely",4,""))))</f>
        <v/>
      </c>
      <c r="HP44" s="39"/>
      <c r="HQ44" s="39"/>
      <c r="HR44" s="39"/>
      <c r="HS44" s="39" t="str">
        <f>IF(Sheet!HS44="Совсем нет/Not at all",1,IF(Sheet!HT44="Немного/A little",2,IF(Sheet!HU44="Довольно сильно/Quite a bit",3,IF(Sheet!HV44="Очень сильно/Extremely",4,""))))</f>
        <v/>
      </c>
      <c r="HT44" s="39"/>
      <c r="HU44" s="39"/>
      <c r="HV44" s="39"/>
      <c r="HW44" s="39" t="str">
        <f>IF(Sheet!HW44="Совсем нет/Not at all",1,IF(Sheet!HX44="Немного/A little",2,IF(Sheet!HY44="Довольно сильно/Quite a bit",3,IF(Sheet!HZ44="Очень сильно/Extremely",4,""))))</f>
        <v/>
      </c>
      <c r="HX44" s="39"/>
      <c r="HY44" s="39"/>
      <c r="HZ44" s="39"/>
      <c r="IA44" s="39" t="str">
        <f>IF(Sheet!IA44="Совсем нет/Not at all",1,IF(Sheet!IB44="Немного/A little",2,IF(Sheet!IC44="Довольно сильно/Quite a bit",3,IF(Sheet!ID44="Очень сильно/Extremely",4,""))))</f>
        <v/>
      </c>
      <c r="IB44" s="39"/>
      <c r="IC44" s="39"/>
      <c r="ID44" s="39"/>
      <c r="IE44" s="39" t="str">
        <f>IF(Sheet!IE44="Совсем нет/Not at all",1,IF(Sheet!IF44="Немного/A little",2,IF(Sheet!IG44="Довольно сильно/Quite a bit",3,IF(Sheet!IH44="Очень сильно/Extremely",4,""))))</f>
        <v/>
      </c>
      <c r="IF44" s="39"/>
      <c r="IG44" s="39"/>
      <c r="IH44" s="39"/>
      <c r="II44" s="39" t="str">
        <f>IF(Sheet!II44="Совсем нет/Not at all",1,IF(Sheet!IJ44="Немного/A little",2,IF(Sheet!IK44="Довольно сильно/Quite a bit",3,IF(Sheet!IL44="Очень сильно/Extremely",4,""))))</f>
        <v/>
      </c>
      <c r="IJ44" s="39"/>
      <c r="IK44" s="39"/>
      <c r="IL44" s="39"/>
      <c r="IM44" s="39" t="str">
        <f>IF(Sheet!IM44="Совсем нет/Not at all",1,IF(Sheet!IN44="Немного/A little",2,IF(Sheet!IO44="Довольно сильно/Quite a bit",3,IF(Sheet!IP44="Очень сильно/Extremely",4,""))))</f>
        <v/>
      </c>
      <c r="IN44" s="39"/>
      <c r="IO44" s="39"/>
      <c r="IP44" s="39"/>
      <c r="IQ44" s="39" t="str">
        <f>IF(Sheet!IQ44="Совсем нет/Not at all",1,IF(Sheet!IR44="Немного/A little",2,IF(Sheet!IS44="Довольно сильно/Quite a bit ",3,IF(Sheet!IT44="Очень сильно/Extremely ",4,""))))</f>
        <v/>
      </c>
      <c r="IR44" s="39"/>
      <c r="IS44" s="39"/>
      <c r="IT44" s="39"/>
      <c r="IU44" s="39" t="str">
        <f>IF(Sheet!IU44="Совсем нет/Not at all",1,IF(Sheet!IV44="Немного/A little",2,IF(Sheet!IW44="Довольно сильно/Quite a bit ",3,IF(Sheet!IX44="Очень сильно/Extremely ",4,""))))</f>
        <v/>
      </c>
      <c r="IV44" s="39"/>
      <c r="IW44" s="39"/>
      <c r="IX44" s="39"/>
      <c r="IY44" s="39" t="str">
        <f>IF(Sheet!IY44="Совсем нет/Not at all",1,IF(Sheet!IZ44="Немного/A little",2,IF(Sheet!JA44="Довольно сильно/Quite a bit ",3,IF(Sheet!JB44="Очень сильно/Extremely ",4,""))))</f>
        <v/>
      </c>
      <c r="IZ44" s="39"/>
      <c r="JA44" s="39"/>
      <c r="JB44" s="39"/>
      <c r="JC44" s="39" t="str">
        <f>IF(Sheet!JC44="Совсем нет/Not at all",1,IF(Sheet!JD44="Немного/A little",2,IF(Sheet!JE44="Довольно сильно/Quite a bit ",3,IF(Sheet!JF44="Очень сильно/Extremely ",4,""))))</f>
        <v/>
      </c>
      <c r="JD44" s="39"/>
      <c r="JE44" s="39"/>
      <c r="JF44" s="39"/>
      <c r="JG44" s="39" t="str">
        <f>IF(Sheet!JG44="Совсем нет/Not at all",1,IF(Sheet!JH44="Немного/A little",2,IF(Sheet!JI44="Довольно сильно/Quite a bit ",3,IF(Sheet!JJ44="Очень сильно/Extremely ",4,""))))</f>
        <v/>
      </c>
      <c r="JH44" s="39"/>
      <c r="JI44" s="39"/>
      <c r="JJ44" s="39"/>
      <c r="JK44" s="39" t="str">
        <f>IF(Sheet!JK44="Совсем нет/Not at all",1,IF(Sheet!JL44="Немного/A little",2,IF(Sheet!JM44="Довольно сильно/Quite a bit ",3,IF(Sheet!JN44="Очень сильно/Extremely ",4,""))))</f>
        <v/>
      </c>
      <c r="JL44" s="39"/>
      <c r="JM44" s="39"/>
      <c r="JN44" s="39"/>
      <c r="JO44" s="39" t="str">
        <f>IF(Sheet!JO44="Совсем нет/Not at all",1,IF(Sheet!JP44="Немного/A little",2,IF(Sheet!JQ44="Довольно сильно/Quite a bit",3,IF(Sheet!JR44="Очень сильно/Extremely",4,""))))</f>
        <v/>
      </c>
      <c r="JP44" s="39"/>
      <c r="JQ44" s="39"/>
      <c r="JR44" s="39"/>
      <c r="JS44" s="39" t="str">
        <f>IF(Sheet!JS44="Совсем нет/Not at all",1,IF(Sheet!JT44="Немного/A little",2,IF(Sheet!JU44="Довольно сильно/Quite a bit",3,IF(Sheet!JV44="Очень сильно/Extremely",4,""))))</f>
        <v/>
      </c>
      <c r="JT44" s="39"/>
      <c r="JU44" s="39"/>
      <c r="JV44" s="39"/>
      <c r="JW44" s="39" t="str">
        <f>IF(Sheet!JW44="Совсем нет/Not at all",1,IF(Sheet!JX44="Немного/A little",2,IF(Sheet!JY44="Довольно сильно/Quite a bit",3,IF(Sheet!JZ44="Очень сильно/Extremely",4,""))))</f>
        <v/>
      </c>
      <c r="JX44" s="39"/>
      <c r="JY44" s="39"/>
      <c r="JZ44" s="39"/>
      <c r="KA44" s="39" t="str">
        <f>IF(Sheet!KA44="Совсем нет/Not at all",1,IF(Sheet!KB44="Немного/A little",2,IF(Sheet!KC44="Довольно сильно/Quite a bit",3,IF(Sheet!KD44="Очень сильно/Extremely",4,""))))</f>
        <v/>
      </c>
      <c r="KB44" s="39"/>
      <c r="KC44" s="39"/>
      <c r="KD44" s="39"/>
      <c r="KE44" s="39" t="str">
        <f>IF(Sheet!KE44="Совсем нет/Not at all",1,IF(Sheet!KF44="Немного/A little",2,IF(Sheet!KG44="Довольно сильно/Quite a bit",3,IF(Sheet!KH44="Очень сильно/Extremely",4,""))))</f>
        <v/>
      </c>
      <c r="KF44" s="39"/>
      <c r="KG44" s="39"/>
      <c r="KH44" s="39"/>
      <c r="KI44" s="39" t="str">
        <f>IF(Sheet!KI44="Совсем нет/Not at all",1,IF(Sheet!KJ44="Немного/A little",2,IF(Sheet!KK44="Довольно сильно/Quite a bit",3,IF(Sheet!KL44="Очень сильно/Extremely",4,""))))</f>
        <v/>
      </c>
      <c r="KJ44" s="39"/>
      <c r="KK44" s="39"/>
      <c r="KL44" s="39"/>
      <c r="KM44" s="39" t="str">
        <f>IF(Sheet!KM44="Совсем нет/Not at all",1,IF(Sheet!KN44="Немного/A little",2,IF(Sheet!KO44="Довольно сильно/Quite a bit",3,IF(Sheet!KP44="Очень сильно/Extremely",4,""))))</f>
        <v/>
      </c>
      <c r="KN44" s="39"/>
      <c r="KO44" s="39"/>
      <c r="KP44" s="39"/>
      <c r="KQ44" s="39" t="str">
        <f>IF(Sheet!KQ44="Совсем нет/Not at all",1,IF(Sheet!KR44="Немного/A little",2,IF(Sheet!KS44="Довольно сильно/Quite a bit",3,IF(Sheet!KT44="Очень сильно/Extremely",4,""))))</f>
        <v/>
      </c>
      <c r="KR44" s="39"/>
      <c r="KS44" s="39"/>
      <c r="KT44" s="39"/>
    </row>
    <row r="45" spans="1:306">
      <c r="A45" t="str">
        <f>Sheet!A45</f>
        <v>PF001</v>
      </c>
      <c r="GW45" s="27">
        <f>SUM(GY45,HC45,HG45,HK45,HO45,HS45,HW45,IA45,IE45,II45,IM45,IQ45,IU45,IY45,JC45,JG45,JK45,JO45,JS45,JW45,KA45,KE45,KI45,KM45,KQ45)/25</f>
        <v>1.8</v>
      </c>
      <c r="GY45">
        <f>IF(Sheet!GY45="Совсем нет/Not at all",1,IF(Sheet!GZ45="Немного/A little",2,IF(Sheet!HA45="Довольно сильно/Quite a bit",3,IF(Sheet!HB45="Очень сильно/Extremely",4,""))))</f>
        <v>1</v>
      </c>
      <c r="HC45">
        <f>IF(Sheet!HC45="Совсем нет/Not at all",1,IF(Sheet!HD45="Немного/A little",2,IF(Sheet!HE45="Довольно сильно/Quite a bit",3,IF(Sheet!HF45="Очень сильно/Extremely",4,""))))</f>
        <v>1</v>
      </c>
      <c r="HG45">
        <f>IF(Sheet!HG45="Совсем нет/Not at all",1,IF(Sheet!HH45="Немного/A little",2,IF(Sheet!HI45="Довольно сильно/Quite a bit",3,IF(Sheet!HJ45="Очень сильно/Extremely",4,""))))</f>
        <v>1</v>
      </c>
      <c r="HK45">
        <f>IF(Sheet!HK45="Совсем нет/Not at all",1,IF(Sheet!HL45="Немного/A little",2,IF(Sheet!HM45="Довольно сильно/Quite a bit",3,IF(Sheet!HN45="Очень сильно/Extremely",4,""))))</f>
        <v>3</v>
      </c>
      <c r="HO45">
        <f>IF(Sheet!HO45="Совсем нет/Not at all",1,IF(Sheet!HP45="Немного/A little",2,IF(Sheet!HQ45="Довольно сильно/Quite a bit",3,IF(Sheet!HR45="Очень сильно/Extremely",4,""))))</f>
        <v>2</v>
      </c>
      <c r="HS45">
        <f>IF(Sheet!HS45="Совсем нет/Not at all",1,IF(Sheet!HT45="Немного/A little",2,IF(Sheet!HU45="Довольно сильно/Quite a bit",3,IF(Sheet!HV45="Очень сильно/Extremely",4,""))))</f>
        <v>1</v>
      </c>
      <c r="HW45">
        <f>IF(Sheet!HW45="Совсем нет/Not at all",1,IF(Sheet!HX45="Немного/A little",2,IF(Sheet!HY45="Довольно сильно/Quite a bit",3,IF(Sheet!HZ45="Очень сильно/Extremely",4,""))))</f>
        <v>4</v>
      </c>
      <c r="IA45">
        <f>IF(Sheet!IA45="Совсем нет/Not at all",1,IF(Sheet!IB45="Немного/A little",2,IF(Sheet!IC45="Довольно сильно/Quite a bit",3,IF(Sheet!ID45="Очень сильно/Extremely",4,""))))</f>
        <v>2</v>
      </c>
      <c r="IE45">
        <f>IF(Sheet!IE45="Совсем нет/Not at all",1,IF(Sheet!IF45="Немного/A little",2,IF(Sheet!IG45="Довольно сильно/Quite a bit",3,IF(Sheet!IH45="Очень сильно/Extremely",4,""))))</f>
        <v>1</v>
      </c>
      <c r="II45">
        <f>IF(Sheet!II45="Совсем нет/Not at all",1,IF(Sheet!IJ45="Немного/A little",2,IF(Sheet!IK45="Довольно сильно/Quite a bit",3,IF(Sheet!IL45="Очень сильно/Extremely",4,""))))</f>
        <v>2</v>
      </c>
      <c r="IM45">
        <f>IF(Sheet!IM45="Совсем нет/Not at all",1,IF(Sheet!IN45="Немного/A little",2,IF(Sheet!IO45="Довольно сильно/Quite a bit",3,IF(Sheet!IP45="Очень сильно/Extremely",4,""))))</f>
        <v>3</v>
      </c>
      <c r="IQ45">
        <f>IF(Sheet!IQ45="Совсем нет/Not at all",1,IF(Sheet!IR45="Немного/A little",2,IF(Sheet!IS45="Довольно сильно/Quite a bit ",3,IF(Sheet!IT45="Очень сильно/Extremely ",4,""))))</f>
        <v>1</v>
      </c>
      <c r="IU45">
        <f>IF(Sheet!IU45="Совсем нет/Not at all",1,IF(Sheet!IV45="Немного/A little",2,IF(Sheet!IW45="Довольно сильно/Quite a bit ",3,IF(Sheet!IX45="Очень сильно/Extremely ",4,""))))</f>
        <v>3</v>
      </c>
      <c r="IY45">
        <f>IF(Sheet!IY45="Совсем нет/Not at all",1,IF(Sheet!IZ45="Немного/A little",2,IF(Sheet!JA45="Довольно сильно/Quite a bit ",3,IF(Sheet!JB45="Очень сильно/Extremely ",4,""))))</f>
        <v>2</v>
      </c>
      <c r="JC45">
        <f>IF(Sheet!JC45="Совсем нет/Not at all",1,IF(Sheet!JD45="Немного/A little",2,IF(Sheet!JE45="Довольно сильно/Quite a bit ",3,IF(Sheet!JF45="Очень сильно/Extremely ",4,""))))</f>
        <v>3</v>
      </c>
      <c r="JG45">
        <f>IF(Sheet!JG45="Совсем нет/Not at all",1,IF(Sheet!JH45="Немного/A little",2,IF(Sheet!JI45="Довольно сильно/Quite a bit ",3,IF(Sheet!JJ45="Очень сильно/Extremely ",4,""))))</f>
        <v>1</v>
      </c>
      <c r="JK45">
        <f>IF(Sheet!JK45="Совсем нет/Not at all",1,IF(Sheet!JL45="Немного/A little",2,IF(Sheet!JM45="Довольно сильно/Quite a bit ",3,IF(Sheet!JN45="Очень сильно/Extremely ",4,""))))</f>
        <v>2</v>
      </c>
      <c r="JO45">
        <f>IF(Sheet!JO45="Совсем нет/Not at all",1,IF(Sheet!JP45="Немного/A little",2,IF(Sheet!JQ45="Довольно сильно/Quite a bit",3,IF(Sheet!JR45="Очень сильно/Extremely",4,""))))</f>
        <v>2</v>
      </c>
      <c r="JS45">
        <f>IF(Sheet!JS45="Совсем нет/Not at all",1,IF(Sheet!JT45="Немного/A little",2,IF(Sheet!JU45="Довольно сильно/Quite a bit",3,IF(Sheet!JV45="Очень сильно/Extremely",4,""))))</f>
        <v>2</v>
      </c>
      <c r="JW45">
        <f>IF(Sheet!JW45="Совсем нет/Not at all",1,IF(Sheet!JX45="Немного/A little",2,IF(Sheet!JY45="Довольно сильно/Quite a bit",3,IF(Sheet!JZ45="Очень сильно/Extremely",4,""))))</f>
        <v>1</v>
      </c>
      <c r="KA45">
        <f>IF(Sheet!KA45="Совсем нет/Not at all",1,IF(Sheet!KB45="Немного/A little",2,IF(Sheet!KC45="Довольно сильно/Quite a bit",3,IF(Sheet!KD45="Очень сильно/Extremely",4,""))))</f>
        <v>3</v>
      </c>
      <c r="KE45">
        <f>IF(Sheet!KE45="Совсем нет/Not at all",1,IF(Sheet!KF45="Немного/A little",2,IF(Sheet!KG45="Довольно сильно/Quite a bit",3,IF(Sheet!KH45="Очень сильно/Extremely",4,""))))</f>
        <v>1</v>
      </c>
      <c r="KI45">
        <f>IF(Sheet!KI45="Совсем нет/Not at all",1,IF(Sheet!KJ45="Немного/A little",2,IF(Sheet!KK45="Довольно сильно/Quite a bit",3,IF(Sheet!KL45="Очень сильно/Extremely",4,""))))</f>
        <v>1</v>
      </c>
      <c r="KM45">
        <f>IF(Sheet!KM45="Совсем нет/Not at all",1,IF(Sheet!KN45="Немного/A little",2,IF(Sheet!KO45="Довольно сильно/Quite a bit",3,IF(Sheet!KP45="Очень сильно/Extremely",4,""))))</f>
        <v>1</v>
      </c>
      <c r="KQ45">
        <f>IF(Sheet!KQ45="Совсем нет/Not at all",1,IF(Sheet!KR45="Немного/A little",2,IF(Sheet!KS45="Довольно сильно/Quite a bit",3,IF(Sheet!KT45="Очень сильно/Extremely",4,""))))</f>
        <v>1</v>
      </c>
    </row>
    <row r="46" spans="1:306">
      <c r="A46" t="str">
        <f>Sheet!A46</f>
        <v>MC001</v>
      </c>
      <c r="GW46" s="27">
        <f>SUM(GY46,HC46,HG46,HK46,HO46,HS46,HW46,IA46,IE46,II46,IM46,IQ46,IU46,IY46,JC46,JG46,JK46,JO46,JS46,JW46,KA46,KE46,KI46,KM46,KQ46)/25</f>
        <v>3</v>
      </c>
      <c r="GY46">
        <f>IF(Sheet!GY46="Совсем нет/Not at all",1,IF(Sheet!GZ46="Немного/A little",2,IF(Sheet!HA46="Довольно сильно/Quite a bit",3,IF(Sheet!HB46="Очень сильно/Extremely",4,""))))</f>
        <v>2</v>
      </c>
      <c r="HC46">
        <f>IF(Sheet!HC46="Совсем нет/Not at all",1,IF(Sheet!HD46="Немного/A little",2,IF(Sheet!HE46="Довольно сильно/Quite a bit",3,IF(Sheet!HF46="Очень сильно/Extremely",4,""))))</f>
        <v>3</v>
      </c>
      <c r="HG46">
        <f>IF(Sheet!HG46="Совсем нет/Not at all",1,IF(Sheet!HH46="Немного/A little",2,IF(Sheet!HI46="Довольно сильно/Quite a bit",3,IF(Sheet!HJ46="Очень сильно/Extremely",4,""))))</f>
        <v>3</v>
      </c>
      <c r="HK46">
        <f>IF(Sheet!HK46="Совсем нет/Not at all",1,IF(Sheet!HL46="Немного/A little",2,IF(Sheet!HM46="Довольно сильно/Quite a bit",3,IF(Sheet!HN46="Очень сильно/Extremely",4,""))))</f>
        <v>4</v>
      </c>
      <c r="HO46">
        <f>IF(Sheet!HO46="Совсем нет/Not at all",1,IF(Sheet!HP46="Немного/A little",2,IF(Sheet!HQ46="Довольно сильно/Quite a bit",3,IF(Sheet!HR46="Очень сильно/Extremely",4,""))))</f>
        <v>4</v>
      </c>
      <c r="HS46">
        <f>IF(Sheet!HS46="Совсем нет/Not at all",1,IF(Sheet!HT46="Немного/A little",2,IF(Sheet!HU46="Довольно сильно/Quite a bit",3,IF(Sheet!HV46="Очень сильно/Extremely",4,""))))</f>
        <v>3</v>
      </c>
      <c r="HW46">
        <f>IF(Sheet!HW46="Совсем нет/Not at all",1,IF(Sheet!HX46="Немного/A little",2,IF(Sheet!HY46="Довольно сильно/Quite a bit",3,IF(Sheet!HZ46="Очень сильно/Extremely",4,""))))</f>
        <v>4</v>
      </c>
      <c r="IA46">
        <f>IF(Sheet!IA46="Совсем нет/Not at all",1,IF(Sheet!IB46="Немного/A little",2,IF(Sheet!IC46="Довольно сильно/Quite a bit",3,IF(Sheet!ID46="Очень сильно/Extremely",4,""))))</f>
        <v>4</v>
      </c>
      <c r="IE46">
        <f>IF(Sheet!IE46="Совсем нет/Not at all",1,IF(Sheet!IF46="Немного/A little",2,IF(Sheet!IG46="Довольно сильно/Quite a bit",3,IF(Sheet!IH46="Очень сильно/Extremely",4,""))))</f>
        <v>3</v>
      </c>
      <c r="II46">
        <f>IF(Sheet!II46="Совсем нет/Not at all",1,IF(Sheet!IJ46="Немного/A little",2,IF(Sheet!IK46="Довольно сильно/Quite a bit",3,IF(Sheet!IL46="Очень сильно/Extremely",4,""))))</f>
        <v>3</v>
      </c>
      <c r="IM46">
        <f>IF(Sheet!IM46="Совсем нет/Not at all",1,IF(Sheet!IN46="Немного/A little",2,IF(Sheet!IO46="Довольно сильно/Quite a bit",3,IF(Sheet!IP46="Очень сильно/Extremely",4,""))))</f>
        <v>3</v>
      </c>
      <c r="IQ46">
        <f>IF(Sheet!IQ46="Совсем нет/Not at all",1,IF(Sheet!IR46="Немного/A little",2,IF(Sheet!IS46="Довольно сильно/Quite a bit ",3,IF(Sheet!IT46="Очень сильно/Extremely ",4,""))))</f>
        <v>2</v>
      </c>
      <c r="IU46">
        <f>IF(Sheet!IU46="Совсем нет/Not at all",1,IF(Sheet!IV46="Немного/A little",2,IF(Sheet!IW46="Довольно сильно/Quite a bit ",3,IF(Sheet!IX46="Очень сильно/Extremely ",4,""))))</f>
        <v>3</v>
      </c>
      <c r="IY46">
        <f>IF(Sheet!IY46="Совсем нет/Not at all",1,IF(Sheet!IZ46="Немного/A little",2,IF(Sheet!JA46="Довольно сильно/Quite a bit ",3,IF(Sheet!JB46="Очень сильно/Extremely ",4,""))))</f>
        <v>4</v>
      </c>
      <c r="JC46">
        <f>IF(Sheet!JC46="Совсем нет/Not at all",1,IF(Sheet!JD46="Немного/A little",2,IF(Sheet!JE46="Довольно сильно/Quite a bit ",3,IF(Sheet!JF46="Очень сильно/Extremely ",4,""))))</f>
        <v>3</v>
      </c>
      <c r="JG46">
        <f>IF(Sheet!JG46="Совсем нет/Not at all",1,IF(Sheet!JH46="Немного/A little",2,IF(Sheet!JI46="Довольно сильно/Quite a bit ",3,IF(Sheet!JJ46="Очень сильно/Extremely ",4,""))))</f>
        <v>3</v>
      </c>
      <c r="JK46">
        <f>IF(Sheet!JK46="Совсем нет/Not at all",1,IF(Sheet!JL46="Немного/A little",2,IF(Sheet!JM46="Довольно сильно/Quite a bit ",3,IF(Sheet!JN46="Очень сильно/Extremely ",4,""))))</f>
        <v>3</v>
      </c>
      <c r="JO46">
        <f>IF(Sheet!JO46="Совсем нет/Not at all",1,IF(Sheet!JP46="Немного/A little",2,IF(Sheet!JQ46="Довольно сильно/Quite a bit",3,IF(Sheet!JR46="Очень сильно/Extremely",4,""))))</f>
        <v>2</v>
      </c>
      <c r="JS46">
        <f>IF(Sheet!JS46="Совсем нет/Not at all",1,IF(Sheet!JT46="Немного/A little",2,IF(Sheet!JU46="Довольно сильно/Quite a bit",3,IF(Sheet!JV46="Очень сильно/Extremely",4,""))))</f>
        <v>2</v>
      </c>
      <c r="JW46">
        <f>IF(Sheet!JW46="Совсем нет/Not at all",1,IF(Sheet!JX46="Немного/A little",2,IF(Sheet!JY46="Довольно сильно/Quite a bit",3,IF(Sheet!JZ46="Очень сильно/Extremely",4,""))))</f>
        <v>2</v>
      </c>
      <c r="KA46">
        <f>IF(Sheet!KA46="Совсем нет/Not at all",1,IF(Sheet!KB46="Немного/A little",2,IF(Sheet!KC46="Довольно сильно/Quite a bit",3,IF(Sheet!KD46="Очень сильно/Extremely",4,""))))</f>
        <v>4</v>
      </c>
      <c r="KE46">
        <f>IF(Sheet!KE46="Совсем нет/Not at all",1,IF(Sheet!KF46="Немного/A little",2,IF(Sheet!KG46="Довольно сильно/Quite a bit",3,IF(Sheet!KH46="Очень сильно/Extremely",4,""))))</f>
        <v>1</v>
      </c>
      <c r="KI46">
        <f>IF(Sheet!KI46="Совсем нет/Not at all",1,IF(Sheet!KJ46="Немного/A little",2,IF(Sheet!KK46="Довольно сильно/Quite a bit",3,IF(Sheet!KL46="Очень сильно/Extremely",4,""))))</f>
        <v>3</v>
      </c>
      <c r="KM46">
        <f>IF(Sheet!KM46="Совсем нет/Not at all",1,IF(Sheet!KN46="Немного/A little",2,IF(Sheet!KO46="Довольно сильно/Quite a bit",3,IF(Sheet!KP46="Очень сильно/Extremely",4,""))))</f>
        <v>4</v>
      </c>
      <c r="KQ46">
        <f>IF(Sheet!KQ46="Совсем нет/Not at all",1,IF(Sheet!KR46="Немного/A little",2,IF(Sheet!KS46="Довольно сильно/Quite a bit",3,IF(Sheet!KT46="Очень сильно/Extremely",4,""))))</f>
        <v>3</v>
      </c>
    </row>
    <row r="47" spans="1:306">
      <c r="A47" t="str">
        <f>Sheet!A47</f>
        <v>UD002</v>
      </c>
      <c r="GW47" s="27">
        <f>SUM(GY47,HC47,HG47,HK47,HO47,HS47,HW47,IA47,IE47,II47,IM47,IQ47,IU47,IY47,JC47,JG47,JK47,JO47,JS47,JW47,KA47,KE47,KI47,KM47,KQ47)/25</f>
        <v>3.2</v>
      </c>
      <c r="GY47">
        <f>IF(Sheet!GY47="Совсем нет/Not at all",1,IF(Sheet!GZ47="Немного/A little",2,IF(Sheet!HA47="Довольно сильно/Quite a bit",3,IF(Sheet!HB47="Очень сильно/Extremely",4,""))))</f>
        <v>4</v>
      </c>
      <c r="HC47">
        <f>IF(Sheet!HC47="Совсем нет/Not at all",1,IF(Sheet!HD47="Немного/A little",2,IF(Sheet!HE47="Довольно сильно/Quite a bit",3,IF(Sheet!HF47="Очень сильно/Extremely",4,""))))</f>
        <v>2</v>
      </c>
      <c r="HG47">
        <f>IF(Sheet!HG47="Совсем нет/Not at all",1,IF(Sheet!HH47="Немного/A little",2,IF(Sheet!HI47="Довольно сильно/Quite a bit",3,IF(Sheet!HJ47="Очень сильно/Extremely",4,""))))</f>
        <v>1</v>
      </c>
      <c r="HK47">
        <f>IF(Sheet!HK47="Совсем нет/Not at all",1,IF(Sheet!HL47="Немного/A little",2,IF(Sheet!HM47="Довольно сильно/Quite a bit",3,IF(Sheet!HN47="Очень сильно/Extremely",4,""))))</f>
        <v>4</v>
      </c>
      <c r="HO47">
        <f>IF(Sheet!HO47="Совсем нет/Not at all",1,IF(Sheet!HP47="Немного/A little",2,IF(Sheet!HQ47="Довольно сильно/Quite a bit",3,IF(Sheet!HR47="Очень сильно/Extremely",4,""))))</f>
        <v>4</v>
      </c>
      <c r="HS47">
        <f>IF(Sheet!HS47="Совсем нет/Not at all",1,IF(Sheet!HT47="Немного/A little",2,IF(Sheet!HU47="Довольно сильно/Quite a bit",3,IF(Sheet!HV47="Очень сильно/Extremely",4,""))))</f>
        <v>4</v>
      </c>
      <c r="HW47">
        <f>IF(Sheet!HW47="Совсем нет/Not at all",1,IF(Sheet!HX47="Немного/A little",2,IF(Sheet!HY47="Довольно сильно/Quite a bit",3,IF(Sheet!HZ47="Очень сильно/Extremely",4,""))))</f>
        <v>4</v>
      </c>
      <c r="IA47">
        <f>IF(Sheet!IA47="Совсем нет/Not at all",1,IF(Sheet!IB47="Немного/A little",2,IF(Sheet!IC47="Довольно сильно/Quite a bit",3,IF(Sheet!ID47="Очень сильно/Extremely",4,""))))</f>
        <v>4</v>
      </c>
      <c r="IE47">
        <f>IF(Sheet!IE47="Совсем нет/Not at all",1,IF(Sheet!IF47="Немного/A little",2,IF(Sheet!IG47="Довольно сильно/Quite a bit",3,IF(Sheet!IH47="Очень сильно/Extremely",4,""))))</f>
        <v>3</v>
      </c>
      <c r="II47">
        <f>IF(Sheet!II47="Совсем нет/Not at all",1,IF(Sheet!IJ47="Немного/A little",2,IF(Sheet!IK47="Довольно сильно/Quite a bit",3,IF(Sheet!IL47="Очень сильно/Extremely",4,""))))</f>
        <v>2</v>
      </c>
      <c r="IM47">
        <f>IF(Sheet!IM47="Совсем нет/Not at all",1,IF(Sheet!IN47="Немного/A little",2,IF(Sheet!IO47="Довольно сильно/Quite a bit",3,IF(Sheet!IP47="Очень сильно/Extremely",4,""))))</f>
        <v>4</v>
      </c>
      <c r="IQ47">
        <f>IF(Sheet!IQ47="Совсем нет/Not at all",1,IF(Sheet!IR47="Немного/A little",2,IF(Sheet!IS47="Довольно сильно/Quite a bit ",3,IF(Sheet!IT47="Очень сильно/Extremely ",4,""))))</f>
        <v>2</v>
      </c>
      <c r="IU47">
        <f>IF(Sheet!IU47="Совсем нет/Not at all",1,IF(Sheet!IV47="Немного/A little",2,IF(Sheet!IW47="Довольно сильно/Quite a bit ",3,IF(Sheet!IX47="Очень сильно/Extremely ",4,""))))</f>
        <v>4</v>
      </c>
      <c r="IY47">
        <f>IF(Sheet!IY47="Совсем нет/Not at all",1,IF(Sheet!IZ47="Немного/A little",2,IF(Sheet!JA47="Довольно сильно/Quite a bit ",3,IF(Sheet!JB47="Очень сильно/Extremely ",4,""))))</f>
        <v>4</v>
      </c>
      <c r="JC47">
        <f>IF(Sheet!JC47="Совсем нет/Not at all",1,IF(Sheet!JD47="Немного/A little",2,IF(Sheet!JE47="Довольно сильно/Quite a bit ",3,IF(Sheet!JF47="Очень сильно/Extremely ",4,""))))</f>
        <v>3</v>
      </c>
      <c r="JG47">
        <f>IF(Sheet!JG47="Совсем нет/Not at all",1,IF(Sheet!JH47="Немного/A little",2,IF(Sheet!JI47="Довольно сильно/Quite a bit ",3,IF(Sheet!JJ47="Очень сильно/Extremely ",4,""))))</f>
        <v>4</v>
      </c>
      <c r="JK47">
        <f>IF(Sheet!JK47="Совсем нет/Not at all",1,IF(Sheet!JL47="Немного/A little",2,IF(Sheet!JM47="Довольно сильно/Quite a bit ",3,IF(Sheet!JN47="Очень сильно/Extremely ",4,""))))</f>
        <v>4</v>
      </c>
      <c r="JO47" t="str">
        <f>IF(Sheet!JO47="Совсем нет/Not at all",1,IF(Sheet!JP47="Немного/A little",2,IF(Sheet!JQ47="Довольно сильно/Quite a bit",3,IF(Sheet!JR47="Очень сильно/Extremely",4,""))))</f>
        <v/>
      </c>
      <c r="JS47">
        <f>IF(Sheet!JS47="Совсем нет/Not at all",1,IF(Sheet!JT47="Немного/A little",2,IF(Sheet!JU47="Довольно сильно/Quite a bit",3,IF(Sheet!JV47="Очень сильно/Extremely",4,""))))</f>
        <v>4</v>
      </c>
      <c r="JW47">
        <f>IF(Sheet!JW47="Совсем нет/Not at all",1,IF(Sheet!JX47="Немного/A little",2,IF(Sheet!JY47="Довольно сильно/Quite a bit",3,IF(Sheet!JZ47="Очень сильно/Extremely",4,""))))</f>
        <v>4</v>
      </c>
      <c r="KA47">
        <f>IF(Sheet!KA47="Совсем нет/Not at all",1,IF(Sheet!KB47="Немного/A little",2,IF(Sheet!KC47="Довольно сильно/Quite a bit",3,IF(Sheet!KD47="Очень сильно/Extremely",4,""))))</f>
        <v>4</v>
      </c>
      <c r="KE47">
        <f>IF(Sheet!KE47="Совсем нет/Not at all",1,IF(Sheet!KF47="Немного/A little",2,IF(Sheet!KG47="Довольно сильно/Quite a bit",3,IF(Sheet!KH47="Очень сильно/Extremely",4,""))))</f>
        <v>1</v>
      </c>
      <c r="KI47">
        <f>IF(Sheet!KI47="Совсем нет/Not at all",1,IF(Sheet!KJ47="Немного/A little",2,IF(Sheet!KK47="Довольно сильно/Quite a bit",3,IF(Sheet!KL47="Очень сильно/Extremely",4,""))))</f>
        <v>3</v>
      </c>
      <c r="KM47">
        <f>IF(Sheet!KM47="Совсем нет/Not at all",1,IF(Sheet!KN47="Немного/A little",2,IF(Sheet!KO47="Довольно сильно/Quite a bit",3,IF(Sheet!KP47="Очень сильно/Extremely",4,""))))</f>
        <v>3</v>
      </c>
      <c r="KQ47">
        <f>IF(Sheet!KQ47="Совсем нет/Not at all",1,IF(Sheet!KR47="Немного/A little",2,IF(Sheet!KS47="Довольно сильно/Quite a bit",3,IF(Sheet!KT47="Очень сильно/Extremely",4,""))))</f>
        <v>4</v>
      </c>
    </row>
    <row r="48" spans="1:306">
      <c r="A48" t="str">
        <f>Sheet!A48</f>
        <v>KI001</v>
      </c>
      <c r="GW48" s="27">
        <f>SUM(GY48,HC48,HG48,HK48,HO48,HS48,HW48,IA48,IE48,II48,IM48,IQ48,IU48,IY48,JC48,JG48,JK48,JO48,JS48,JW48,KA48,KE48,KI48,KM48,KQ48)/25</f>
        <v>1.64</v>
      </c>
      <c r="GY48">
        <f>IF(Sheet!GY48="Совсем нет/Not at all",1,IF(Sheet!GZ48="Немного/A little",2,IF(Sheet!HA48="Довольно сильно/Quite a bit",3,IF(Sheet!HB48="Очень сильно/Extremely",4,""))))</f>
        <v>1</v>
      </c>
      <c r="HC48">
        <f>IF(Sheet!HC48="Совсем нет/Not at all",1,IF(Sheet!HD48="Немного/A little",2,IF(Sheet!HE48="Довольно сильно/Quite a bit",3,IF(Sheet!HF48="Очень сильно/Extremely",4,""))))</f>
        <v>1</v>
      </c>
      <c r="HG48">
        <f>IF(Sheet!HG48="Совсем нет/Not at all",1,IF(Sheet!HH48="Немного/A little",2,IF(Sheet!HI48="Довольно сильно/Quite a bit",3,IF(Sheet!HJ48="Очень сильно/Extremely",4,""))))</f>
        <v>2</v>
      </c>
      <c r="HK48">
        <f>IF(Sheet!HK48="Совсем нет/Not at all",1,IF(Sheet!HL48="Немного/A little",2,IF(Sheet!HM48="Довольно сильно/Quite a bit",3,IF(Sheet!HN48="Очень сильно/Extremely",4,""))))</f>
        <v>3</v>
      </c>
      <c r="HO48">
        <f>IF(Sheet!HO48="Совсем нет/Not at all",1,IF(Sheet!HP48="Немного/A little",2,IF(Sheet!HQ48="Довольно сильно/Quite a bit",3,IF(Sheet!HR48="Очень сильно/Extremely",4,""))))</f>
        <v>1</v>
      </c>
      <c r="HS48">
        <f>IF(Sheet!HS48="Совсем нет/Not at all",1,IF(Sheet!HT48="Немного/A little",2,IF(Sheet!HU48="Довольно сильно/Quite a bit",3,IF(Sheet!HV48="Очень сильно/Extremely",4,""))))</f>
        <v>3</v>
      </c>
      <c r="HW48">
        <f>IF(Sheet!HW48="Совсем нет/Not at all",1,IF(Sheet!HX48="Немного/A little",2,IF(Sheet!HY48="Довольно сильно/Quite a bit",3,IF(Sheet!HZ48="Очень сильно/Extremely",4,""))))</f>
        <v>2</v>
      </c>
      <c r="IA48">
        <f>IF(Sheet!IA48="Совсем нет/Not at all",1,IF(Sheet!IB48="Немного/A little",2,IF(Sheet!IC48="Довольно сильно/Quite a bit",3,IF(Sheet!ID48="Очень сильно/Extremely",4,""))))</f>
        <v>2</v>
      </c>
      <c r="IE48">
        <f>IF(Sheet!IE48="Совсем нет/Not at all",1,IF(Sheet!IF48="Немного/A little",2,IF(Sheet!IG48="Довольно сильно/Quite a bit",3,IF(Sheet!IH48="Очень сильно/Extremely",4,""))))</f>
        <v>3</v>
      </c>
      <c r="II48">
        <f>IF(Sheet!II48="Совсем нет/Not at all",1,IF(Sheet!IJ48="Немного/A little",2,IF(Sheet!IK48="Довольно сильно/Quite a bit",3,IF(Sheet!IL48="Очень сильно/Extremely",4,""))))</f>
        <v>4</v>
      </c>
      <c r="IM48">
        <f>IF(Sheet!IM48="Совсем нет/Not at all",1,IF(Sheet!IN48="Немного/A little",2,IF(Sheet!IO48="Довольно сильно/Quite a bit",3,IF(Sheet!IP48="Очень сильно/Extremely",4,""))))</f>
        <v>1</v>
      </c>
      <c r="IQ48">
        <f>IF(Sheet!IQ48="Совсем нет/Not at all",1,IF(Sheet!IR48="Немного/A little",2,IF(Sheet!IS48="Довольно сильно/Quite a bit ",3,IF(Sheet!IT48="Очень сильно/Extremely ",4,""))))</f>
        <v>1</v>
      </c>
      <c r="IU48">
        <f>IF(Sheet!IU48="Совсем нет/Not at all",1,IF(Sheet!IV48="Немного/A little",2,IF(Sheet!IW48="Довольно сильно/Quite a bit ",3,IF(Sheet!IX48="Очень сильно/Extremely ",4,""))))</f>
        <v>1</v>
      </c>
      <c r="IY48">
        <f>IF(Sheet!IY48="Совсем нет/Not at all",1,IF(Sheet!IZ48="Немного/A little",2,IF(Sheet!JA48="Довольно сильно/Quite a bit ",3,IF(Sheet!JB48="Очень сильно/Extremely ",4,""))))</f>
        <v>2</v>
      </c>
      <c r="JC48">
        <f>IF(Sheet!JC48="Совсем нет/Not at all",1,IF(Sheet!JD48="Немного/A little",2,IF(Sheet!JE48="Довольно сильно/Quite a bit ",3,IF(Sheet!JF48="Очень сильно/Extremely ",4,""))))</f>
        <v>1</v>
      </c>
      <c r="JG48">
        <f>IF(Sheet!JG48="Совсем нет/Not at all",1,IF(Sheet!JH48="Немного/A little",2,IF(Sheet!JI48="Довольно сильно/Quite a bit ",3,IF(Sheet!JJ48="Очень сильно/Extremely ",4,""))))</f>
        <v>1</v>
      </c>
      <c r="JK48">
        <f>IF(Sheet!JK48="Совсем нет/Not at all",1,IF(Sheet!JL48="Немного/A little",2,IF(Sheet!JM48="Довольно сильно/Quite a bit ",3,IF(Sheet!JN48="Очень сильно/Extremely ",4,""))))</f>
        <v>2</v>
      </c>
      <c r="JO48">
        <f>IF(Sheet!JO48="Совсем нет/Not at all",1,IF(Sheet!JP48="Немного/A little",2,IF(Sheet!JQ48="Довольно сильно/Quite a bit",3,IF(Sheet!JR48="Очень сильно/Extremely",4,""))))</f>
        <v>1</v>
      </c>
      <c r="JS48">
        <f>IF(Sheet!JS48="Совсем нет/Not at all",1,IF(Sheet!JT48="Немного/A little",2,IF(Sheet!JU48="Довольно сильно/Quite a bit",3,IF(Sheet!JV48="Очень сильно/Extremely",4,""))))</f>
        <v>1</v>
      </c>
      <c r="JW48">
        <f>IF(Sheet!JW48="Совсем нет/Not at all",1,IF(Sheet!JX48="Немного/A little",2,IF(Sheet!JY48="Довольно сильно/Quite a bit",3,IF(Sheet!JZ48="Очень сильно/Extremely",4,""))))</f>
        <v>1</v>
      </c>
      <c r="KA48">
        <f>IF(Sheet!KA48="Совсем нет/Not at all",1,IF(Sheet!KB48="Немного/A little",2,IF(Sheet!KC48="Довольно сильно/Quite a bit",3,IF(Sheet!KD48="Очень сильно/Extremely",4,""))))</f>
        <v>2</v>
      </c>
      <c r="KE48">
        <f>IF(Sheet!KE48="Совсем нет/Not at all",1,IF(Sheet!KF48="Немного/A little",2,IF(Sheet!KG48="Довольно сильно/Quite a bit",3,IF(Sheet!KH48="Очень сильно/Extremely",4,""))))</f>
        <v>2</v>
      </c>
      <c r="KI48">
        <f>IF(Sheet!KI48="Совсем нет/Not at all",1,IF(Sheet!KJ48="Немного/A little",2,IF(Sheet!KK48="Довольно сильно/Quite a bit",3,IF(Sheet!KL48="Очень сильно/Extremely",4,""))))</f>
        <v>1</v>
      </c>
      <c r="KM48">
        <f>IF(Sheet!KM48="Совсем нет/Not at all",1,IF(Sheet!KN48="Немного/A little",2,IF(Sheet!KO48="Довольно сильно/Quite a bit",3,IF(Sheet!KP48="Очень сильно/Extremely",4,""))))</f>
        <v>1</v>
      </c>
      <c r="KQ48">
        <f>IF(Sheet!KQ48="Совсем нет/Not at all",1,IF(Sheet!KR48="Немного/A little",2,IF(Sheet!KS48="Довольно сильно/Quite a bit",3,IF(Sheet!KT48="Очень сильно/Extremely",4,""))))</f>
        <v>1</v>
      </c>
    </row>
    <row r="49" spans="1:303">
      <c r="A49" t="str">
        <f>Sheet!A49</f>
        <v>MO001</v>
      </c>
      <c r="GW49" s="27">
        <f>SUM(GY49,HC49,HG49,HK49,HO49,HS49,HW49,IA49,IE49,II49,IM49,IQ49,IU49,IY49,JC49,JG49,JK49,JO49,JS49,JW49,KA49,KE49,KI49,KM49,KQ49)/25</f>
        <v>2.48</v>
      </c>
      <c r="GY49">
        <f>IF(Sheet!GY49="Совсем нет/Not at all",1,IF(Sheet!GZ49="Немного/A little",2,IF(Sheet!HA49="Довольно сильно/Quite a bit",3,IF(Sheet!HB49="Очень сильно/Extremely",4,""))))</f>
        <v>2</v>
      </c>
      <c r="HC49">
        <f>IF(Sheet!HC49="Совсем нет/Not at all",1,IF(Sheet!HD49="Немного/A little",2,IF(Sheet!HE49="Довольно сильно/Quite a bit",3,IF(Sheet!HF49="Очень сильно/Extremely",4,""))))</f>
        <v>2</v>
      </c>
      <c r="HG49">
        <f>IF(Sheet!HG49="Совсем нет/Not at all",1,IF(Sheet!HH49="Немного/A little",2,IF(Sheet!HI49="Довольно сильно/Quite a bit",3,IF(Sheet!HJ49="Очень сильно/Extremely",4,""))))</f>
        <v>1</v>
      </c>
      <c r="HK49">
        <f>IF(Sheet!HK49="Совсем нет/Not at all",1,IF(Sheet!HL49="Немного/A little",2,IF(Sheet!HM49="Довольно сильно/Quite a bit",3,IF(Sheet!HN49="Очень сильно/Extremely",4,""))))</f>
        <v>3</v>
      </c>
      <c r="HO49">
        <f>IF(Sheet!HO49="Совсем нет/Not at all",1,IF(Sheet!HP49="Немного/A little",2,IF(Sheet!HQ49="Довольно сильно/Quite a bit",3,IF(Sheet!HR49="Очень сильно/Extremely",4,""))))</f>
        <v>3</v>
      </c>
      <c r="HS49">
        <f>IF(Sheet!HS49="Совсем нет/Not at all",1,IF(Sheet!HT49="Немного/A little",2,IF(Sheet!HU49="Довольно сильно/Quite a bit",3,IF(Sheet!HV49="Очень сильно/Extremely",4,""))))</f>
        <v>3</v>
      </c>
      <c r="HW49">
        <f>IF(Sheet!HW49="Совсем нет/Not at all",1,IF(Sheet!HX49="Немного/A little",2,IF(Sheet!HY49="Довольно сильно/Quite a bit",3,IF(Sheet!HZ49="Очень сильно/Extremely",4,""))))</f>
        <v>3</v>
      </c>
      <c r="IA49">
        <f>IF(Sheet!IA49="Совсем нет/Not at all",1,IF(Sheet!IB49="Немного/A little",2,IF(Sheet!IC49="Довольно сильно/Quite a bit",3,IF(Sheet!ID49="Очень сильно/Extremely",4,""))))</f>
        <v>3</v>
      </c>
      <c r="IE49">
        <f>IF(Sheet!IE49="Совсем нет/Not at all",1,IF(Sheet!IF49="Немного/A little",2,IF(Sheet!IG49="Довольно сильно/Quite a bit",3,IF(Sheet!IH49="Очень сильно/Extremely",4,""))))</f>
        <v>3</v>
      </c>
      <c r="II49">
        <f>IF(Sheet!II49="Совсем нет/Not at all",1,IF(Sheet!IJ49="Немного/A little",2,IF(Sheet!IK49="Довольно сильно/Quite a bit",3,IF(Sheet!IL49="Очень сильно/Extremely",4,""))))</f>
        <v>3</v>
      </c>
      <c r="IM49">
        <f>IF(Sheet!IM49="Совсем нет/Not at all",1,IF(Sheet!IN49="Немного/A little",2,IF(Sheet!IO49="Довольно сильно/Quite a bit",3,IF(Sheet!IP49="Очень сильно/Extremely",4,""))))</f>
        <v>2</v>
      </c>
      <c r="IQ49">
        <f>IF(Sheet!IQ49="Совсем нет/Not at all",1,IF(Sheet!IR49="Немного/A little",2,IF(Sheet!IS49="Довольно сильно/Quite a bit ",3,IF(Sheet!IT49="Очень сильно/Extremely ",4,""))))</f>
        <v>1</v>
      </c>
      <c r="IU49">
        <f>IF(Sheet!IU49="Совсем нет/Not at all",1,IF(Sheet!IV49="Немного/A little",2,IF(Sheet!IW49="Довольно сильно/Quite a bit ",3,IF(Sheet!IX49="Очень сильно/Extremely ",4,""))))</f>
        <v>3</v>
      </c>
      <c r="IY49">
        <f>IF(Sheet!IY49="Совсем нет/Not at all",1,IF(Sheet!IZ49="Немного/A little",2,IF(Sheet!JA49="Довольно сильно/Quite a bit ",3,IF(Sheet!JB49="Очень сильно/Extremely ",4,""))))</f>
        <v>4</v>
      </c>
      <c r="JC49">
        <f>IF(Sheet!JC49="Совсем нет/Not at all",1,IF(Sheet!JD49="Немного/A little",2,IF(Sheet!JE49="Довольно сильно/Quite a bit ",3,IF(Sheet!JF49="Очень сильно/Extremely ",4,""))))</f>
        <v>3</v>
      </c>
      <c r="JG49">
        <f>IF(Sheet!JG49="Совсем нет/Not at all",1,IF(Sheet!JH49="Немного/A little",2,IF(Sheet!JI49="Довольно сильно/Quite a bit ",3,IF(Sheet!JJ49="Очень сильно/Extremely ",4,""))))</f>
        <v>3</v>
      </c>
      <c r="JK49">
        <f>IF(Sheet!JK49="Совсем нет/Not at all",1,IF(Sheet!JL49="Немного/A little",2,IF(Sheet!JM49="Довольно сильно/Quite a bit ",3,IF(Sheet!JN49="Очень сильно/Extremely ",4,""))))</f>
        <v>3</v>
      </c>
      <c r="JO49" t="str">
        <f>IF(Sheet!JO49="Совсем нет/Not at all",1,IF(Sheet!JP49="Немного/A little",2,IF(Sheet!JQ49="Довольно сильно/Quite a bit",3,IF(Sheet!JR49="Очень сильно/Extremely",4,""))))</f>
        <v/>
      </c>
      <c r="JS49">
        <f>IF(Sheet!JS49="Совсем нет/Not at all",1,IF(Sheet!JT49="Немного/A little",2,IF(Sheet!JU49="Довольно сильно/Quite a bit",3,IF(Sheet!JV49="Очень сильно/Extremely",4,""))))</f>
        <v>3</v>
      </c>
      <c r="JW49">
        <f>IF(Sheet!JW49="Совсем нет/Not at all",1,IF(Sheet!JX49="Немного/A little",2,IF(Sheet!JY49="Довольно сильно/Quite a bit",3,IF(Sheet!JZ49="Очень сильно/Extremely",4,""))))</f>
        <v>3</v>
      </c>
      <c r="KA49">
        <f>IF(Sheet!KA49="Совсем нет/Not at all",1,IF(Sheet!KB49="Немного/A little",2,IF(Sheet!KC49="Довольно сильно/Quite a bit",3,IF(Sheet!KD49="Очень сильно/Extremely",4,""))))</f>
        <v>4</v>
      </c>
      <c r="KE49">
        <f>IF(Sheet!KE49="Совсем нет/Not at all",1,IF(Sheet!KF49="Немного/A little",2,IF(Sheet!KG49="Довольно сильно/Quite a bit",3,IF(Sheet!KH49="Очень сильно/Extremely",4,""))))</f>
        <v>1</v>
      </c>
      <c r="KI49">
        <f>IF(Sheet!KI49="Совсем нет/Not at all",1,IF(Sheet!KJ49="Немного/A little",2,IF(Sheet!KK49="Довольно сильно/Quite a bit",3,IF(Sheet!KL49="Очень сильно/Extremely",4,""))))</f>
        <v>3</v>
      </c>
      <c r="KM49">
        <f>IF(Sheet!KM49="Совсем нет/Not at all",1,IF(Sheet!KN49="Немного/A little",2,IF(Sheet!KO49="Довольно сильно/Quite a bit",3,IF(Sheet!KP49="Очень сильно/Extremely",4,""))))</f>
        <v>1</v>
      </c>
      <c r="KQ49">
        <f>IF(Sheet!KQ49="Совсем нет/Not at all",1,IF(Sheet!KR49="Немного/A little",2,IF(Sheet!KS49="Довольно сильно/Quite a bit",3,IF(Sheet!KT49="Очень сильно/Extremely",4,""))))</f>
        <v>2</v>
      </c>
    </row>
    <row r="50" spans="1:303">
      <c r="A50" t="str">
        <f>Sheet!A50</f>
        <v>RU001</v>
      </c>
      <c r="GW50" s="27">
        <f>SUM(GY50,HC50,HG50,HK50,HO50,HS50,HW50,IA50,IE50,II50,IM50,IQ50,IU50,IY50,JC50,JG50,JK50,JO50,JS50,JW50,KA50,KE50,KI50,KM50,KQ50)/25</f>
        <v>2.3199999999999998</v>
      </c>
      <c r="GY50">
        <f>IF(Sheet!GY50="Совсем нет/Not at all",1,IF(Sheet!GZ50="Немного/A little",2,IF(Sheet!HA50="Довольно сильно/Quite a bit",3,IF(Sheet!HB50="Очень сильно/Extremely",4,""))))</f>
        <v>2</v>
      </c>
      <c r="HC50">
        <f>IF(Sheet!HC50="Совсем нет/Not at all",1,IF(Sheet!HD50="Немного/A little",2,IF(Sheet!HE50="Довольно сильно/Quite a bit",3,IF(Sheet!HF50="Очень сильно/Extremely",4,""))))</f>
        <v>2</v>
      </c>
      <c r="HG50">
        <f>IF(Sheet!HG50="Совсем нет/Not at all",1,IF(Sheet!HH50="Немного/A little",2,IF(Sheet!HI50="Довольно сильно/Quite a bit",3,IF(Sheet!HJ50="Очень сильно/Extremely",4,""))))</f>
        <v>1</v>
      </c>
      <c r="HK50">
        <f>IF(Sheet!HK50="Совсем нет/Not at all",1,IF(Sheet!HL50="Немного/A little",2,IF(Sheet!HM50="Довольно сильно/Quite a bit",3,IF(Sheet!HN50="Очень сильно/Extremely",4,""))))</f>
        <v>4</v>
      </c>
      <c r="HO50">
        <f>IF(Sheet!HO50="Совсем нет/Not at all",1,IF(Sheet!HP50="Немного/A little",2,IF(Sheet!HQ50="Довольно сильно/Quite a bit",3,IF(Sheet!HR50="Очень сильно/Extremely",4,""))))</f>
        <v>4</v>
      </c>
      <c r="HS50">
        <f>IF(Sheet!HS50="Совсем нет/Not at all",1,IF(Sheet!HT50="Немного/A little",2,IF(Sheet!HU50="Довольно сильно/Quite a bit",3,IF(Sheet!HV50="Очень сильно/Extremely",4,""))))</f>
        <v>2</v>
      </c>
      <c r="HW50">
        <f>IF(Sheet!HW50="Совсем нет/Not at all",1,IF(Sheet!HX50="Немного/A little",2,IF(Sheet!HY50="Довольно сильно/Quite a bit",3,IF(Sheet!HZ50="Очень сильно/Extremely",4,""))))</f>
        <v>4</v>
      </c>
      <c r="IA50">
        <f>IF(Sheet!IA50="Совсем нет/Not at all",1,IF(Sheet!IB50="Немного/A little",2,IF(Sheet!IC50="Довольно сильно/Quite a bit",3,IF(Sheet!ID50="Очень сильно/Extremely",4,""))))</f>
        <v>2</v>
      </c>
      <c r="IE50">
        <f>IF(Sheet!IE50="Совсем нет/Not at all",1,IF(Sheet!IF50="Немного/A little",2,IF(Sheet!IG50="Довольно сильно/Quite a bit",3,IF(Sheet!IH50="Очень сильно/Extremely",4,""))))</f>
        <v>2</v>
      </c>
      <c r="II50">
        <f>IF(Sheet!II50="Совсем нет/Not at all",1,IF(Sheet!IJ50="Немного/A little",2,IF(Sheet!IK50="Довольно сильно/Quite a bit",3,IF(Sheet!IL50="Очень сильно/Extremely",4,""))))</f>
        <v>1</v>
      </c>
      <c r="IM50">
        <f>IF(Sheet!IM50="Совсем нет/Not at all",1,IF(Sheet!IN50="Немного/A little",2,IF(Sheet!IO50="Довольно сильно/Quite a bit",3,IF(Sheet!IP50="Очень сильно/Extremely",4,""))))</f>
        <v>3</v>
      </c>
      <c r="IQ50">
        <f>IF(Sheet!IQ50="Совсем нет/Not at all",1,IF(Sheet!IR50="Немного/A little",2,IF(Sheet!IS50="Довольно сильно/Quite a bit ",3,IF(Sheet!IT50="Очень сильно/Extremely ",4,""))))</f>
        <v>3</v>
      </c>
      <c r="IU50">
        <f>IF(Sheet!IU50="Совсем нет/Not at all",1,IF(Sheet!IV50="Немного/A little",2,IF(Sheet!IW50="Довольно сильно/Quite a bit ",3,IF(Sheet!IX50="Очень сильно/Extremely ",4,""))))</f>
        <v>4</v>
      </c>
      <c r="IY50">
        <f>IF(Sheet!IY50="Совсем нет/Not at all",1,IF(Sheet!IZ50="Немного/A little",2,IF(Sheet!JA50="Довольно сильно/Quite a bit ",3,IF(Sheet!JB50="Очень сильно/Extremely ",4,""))))</f>
        <v>2</v>
      </c>
      <c r="JC50">
        <f>IF(Sheet!JC50="Совсем нет/Not at all",1,IF(Sheet!JD50="Немного/A little",2,IF(Sheet!JE50="Довольно сильно/Quite a bit ",3,IF(Sheet!JF50="Очень сильно/Extremely ",4,""))))</f>
        <v>3</v>
      </c>
      <c r="JG50">
        <f>IF(Sheet!JG50="Совсем нет/Not at all",1,IF(Sheet!JH50="Немного/A little",2,IF(Sheet!JI50="Довольно сильно/Quite a bit ",3,IF(Sheet!JJ50="Очень сильно/Extremely ",4,""))))</f>
        <v>2</v>
      </c>
      <c r="JK50">
        <f>IF(Sheet!JK50="Совсем нет/Not at all",1,IF(Sheet!JL50="Немного/A little",2,IF(Sheet!JM50="Довольно сильно/Quite a bit ",3,IF(Sheet!JN50="Очень сильно/Extremely ",4,""))))</f>
        <v>3</v>
      </c>
      <c r="JO50">
        <f>IF(Sheet!JO50="Совсем нет/Not at all",1,IF(Sheet!JP50="Немного/A little",2,IF(Sheet!JQ50="Довольно сильно/Quite a bit",3,IF(Sheet!JR50="Очень сильно/Extremely",4,""))))</f>
        <v>1</v>
      </c>
      <c r="JS50">
        <f>IF(Sheet!JS50="Совсем нет/Not at all",1,IF(Sheet!JT50="Немного/A little",2,IF(Sheet!JU50="Довольно сильно/Quite a bit",3,IF(Sheet!JV50="Очень сильно/Extremely",4,""))))</f>
        <v>2</v>
      </c>
      <c r="JW50">
        <f>IF(Sheet!JW50="Совсем нет/Not at all",1,IF(Sheet!JX50="Немного/A little",2,IF(Sheet!JY50="Довольно сильно/Quite a bit",3,IF(Sheet!JZ50="Очень сильно/Extremely",4,""))))</f>
        <v>2</v>
      </c>
      <c r="KA50">
        <f>IF(Sheet!KA50="Совсем нет/Not at all",1,IF(Sheet!KB50="Немного/A little",2,IF(Sheet!KC50="Довольно сильно/Quite a bit",3,IF(Sheet!KD50="Очень сильно/Extremely",4,""))))</f>
        <v>4</v>
      </c>
      <c r="KE50">
        <f>IF(Sheet!KE50="Совсем нет/Not at all",1,IF(Sheet!KF50="Немного/A little",2,IF(Sheet!KG50="Довольно сильно/Quite a bit",3,IF(Sheet!KH50="Очень сильно/Extremely",4,""))))</f>
        <v>1</v>
      </c>
      <c r="KI50">
        <f>IF(Sheet!KI50="Совсем нет/Not at all",1,IF(Sheet!KJ50="Немного/A little",2,IF(Sheet!KK50="Довольно сильно/Quite a bit",3,IF(Sheet!KL50="Очень сильно/Extremely",4,""))))</f>
        <v>2</v>
      </c>
      <c r="KM50">
        <f>IF(Sheet!KM50="Совсем нет/Not at all",1,IF(Sheet!KN50="Немного/A little",2,IF(Sheet!KO50="Довольно сильно/Quite a bit",3,IF(Sheet!KP50="Очень сильно/Extremely",4,""))))</f>
        <v>1</v>
      </c>
      <c r="KQ50">
        <f>IF(Sheet!KQ50="Совсем нет/Not at all",1,IF(Sheet!KR50="Немного/A little",2,IF(Sheet!KS50="Довольно сильно/Quite a bit",3,IF(Sheet!KT50="Очень сильно/Extremely",4,""))))</f>
        <v>1</v>
      </c>
    </row>
    <row r="51" spans="1:303">
      <c r="A51" t="str">
        <f>Sheet!A51</f>
        <v>CU002</v>
      </c>
      <c r="GW51" s="27">
        <f>SUM(GY51,HC51,HG51,HK51,HO51,HS51,HW51,IA51,IE51,II51,IM51,IQ51,IU51,IY51,JC51,JG51,JK51,JO51,JS51,JW51,KA51,KE51,KI51,KM51,KQ51)/25</f>
        <v>1.96</v>
      </c>
      <c r="GY51">
        <f>IF(Sheet!GY51="Совсем нет/Not at all",1,IF(Sheet!GZ51="Немного/A little",2,IF(Sheet!HA51="Довольно сильно/Quite a bit",3,IF(Sheet!HB51="Очень сильно/Extremely",4,""))))</f>
        <v>2</v>
      </c>
      <c r="HC51">
        <f>IF(Sheet!HC51="Совсем нет/Not at all",1,IF(Sheet!HD51="Немного/A little",2,IF(Sheet!HE51="Довольно сильно/Quite a bit",3,IF(Sheet!HF51="Очень сильно/Extremely",4,""))))</f>
        <v>1</v>
      </c>
      <c r="HG51">
        <f>IF(Sheet!HG51="Совсем нет/Not at all",1,IF(Sheet!HH51="Немного/A little",2,IF(Sheet!HI51="Довольно сильно/Quite a bit",3,IF(Sheet!HJ51="Очень сильно/Extremely",4,""))))</f>
        <v>2</v>
      </c>
      <c r="HK51">
        <f>IF(Sheet!HK51="Совсем нет/Not at all",1,IF(Sheet!HL51="Немного/A little",2,IF(Sheet!HM51="Довольно сильно/Quite a bit",3,IF(Sheet!HN51="Очень сильно/Extremely",4,""))))</f>
        <v>2</v>
      </c>
      <c r="HO51">
        <f>IF(Sheet!HO51="Совсем нет/Not at all",1,IF(Sheet!HP51="Немного/A little",2,IF(Sheet!HQ51="Довольно сильно/Quite a bit",3,IF(Sheet!HR51="Очень сильно/Extremely",4,""))))</f>
        <v>2</v>
      </c>
      <c r="HS51">
        <f>IF(Sheet!HS51="Совсем нет/Not at all",1,IF(Sheet!HT51="Немного/A little",2,IF(Sheet!HU51="Довольно сильно/Quite a bit",3,IF(Sheet!HV51="Очень сильно/Extremely",4,""))))</f>
        <v>2</v>
      </c>
      <c r="HW51">
        <f>IF(Sheet!HW51="Совсем нет/Not at all",1,IF(Sheet!HX51="Немного/A little",2,IF(Sheet!HY51="Довольно сильно/Quite a bit",3,IF(Sheet!HZ51="Очень сильно/Extremely",4,""))))</f>
        <v>3</v>
      </c>
      <c r="IA51">
        <f>IF(Sheet!IA51="Совсем нет/Not at all",1,IF(Sheet!IB51="Немного/A little",2,IF(Sheet!IC51="Довольно сильно/Quite a bit",3,IF(Sheet!ID51="Очень сильно/Extremely",4,""))))</f>
        <v>2</v>
      </c>
      <c r="IE51">
        <f>IF(Sheet!IE51="Совсем нет/Not at all",1,IF(Sheet!IF51="Немного/A little",2,IF(Sheet!IG51="Довольно сильно/Quite a bit",3,IF(Sheet!IH51="Очень сильно/Extremely",4,""))))</f>
        <v>2</v>
      </c>
      <c r="II51">
        <f>IF(Sheet!II51="Совсем нет/Not at all",1,IF(Sheet!IJ51="Немного/A little",2,IF(Sheet!IK51="Довольно сильно/Quite a bit",3,IF(Sheet!IL51="Очень сильно/Extremely",4,""))))</f>
        <v>3</v>
      </c>
      <c r="IM51">
        <f>IF(Sheet!IM51="Совсем нет/Not at all",1,IF(Sheet!IN51="Немного/A little",2,IF(Sheet!IO51="Довольно сильно/Quite a bit",3,IF(Sheet!IP51="Очень сильно/Extremely",4,""))))</f>
        <v>1</v>
      </c>
      <c r="IQ51">
        <f>IF(Sheet!IQ51="Совсем нет/Not at all",1,IF(Sheet!IR51="Немного/A little",2,IF(Sheet!IS51="Довольно сильно/Quite a bit ",3,IF(Sheet!IT51="Очень сильно/Extremely ",4,""))))</f>
        <v>1</v>
      </c>
      <c r="IU51">
        <f>IF(Sheet!IU51="Совсем нет/Not at all",1,IF(Sheet!IV51="Немного/A little",2,IF(Sheet!IW51="Довольно сильно/Quite a bit ",3,IF(Sheet!IX51="Очень сильно/Extremely ",4,""))))</f>
        <v>2</v>
      </c>
      <c r="IY51">
        <f>IF(Sheet!IY51="Совсем нет/Not at all",1,IF(Sheet!IZ51="Немного/A little",2,IF(Sheet!JA51="Довольно сильно/Quite a bit ",3,IF(Sheet!JB51="Очень сильно/Extremely ",4,""))))</f>
        <v>3</v>
      </c>
      <c r="JC51">
        <f>IF(Sheet!JC51="Совсем нет/Not at all",1,IF(Sheet!JD51="Немного/A little",2,IF(Sheet!JE51="Довольно сильно/Quite a bit ",3,IF(Sheet!JF51="Очень сильно/Extremely ",4,""))))</f>
        <v>2</v>
      </c>
      <c r="JG51">
        <f>IF(Sheet!JG51="Совсем нет/Not at all",1,IF(Sheet!JH51="Немного/A little",2,IF(Sheet!JI51="Довольно сильно/Quite a bit ",3,IF(Sheet!JJ51="Очень сильно/Extremely ",4,""))))</f>
        <v>2</v>
      </c>
      <c r="JK51">
        <f>IF(Sheet!JK51="Совсем нет/Not at all",1,IF(Sheet!JL51="Немного/A little",2,IF(Sheet!JM51="Довольно сильно/Quite a bit ",3,IF(Sheet!JN51="Очень сильно/Extremely ",4,""))))</f>
        <v>3</v>
      </c>
      <c r="JO51" t="str">
        <f>IF(Sheet!JO51="Совсем нет/Not at all",1,IF(Sheet!JP51="Немного/A little",2,IF(Sheet!JQ51="Довольно сильно/Quite a bit",3,IF(Sheet!JR51="Очень сильно/Extremely",4,""))))</f>
        <v/>
      </c>
      <c r="JS51">
        <f>IF(Sheet!JS51="Совсем нет/Not at all",1,IF(Sheet!JT51="Немного/A little",2,IF(Sheet!JU51="Довольно сильно/Quite a bit",3,IF(Sheet!JV51="Очень сильно/Extremely",4,""))))</f>
        <v>3</v>
      </c>
      <c r="JW51">
        <f>IF(Sheet!JW51="Совсем нет/Not at all",1,IF(Sheet!JX51="Немного/A little",2,IF(Sheet!JY51="Довольно сильно/Quite a bit",3,IF(Sheet!JZ51="Очень сильно/Extremely",4,""))))</f>
        <v>3</v>
      </c>
      <c r="KA51">
        <f>IF(Sheet!KA51="Совсем нет/Not at all",1,IF(Sheet!KB51="Немного/A little",2,IF(Sheet!KC51="Довольно сильно/Quite a bit",3,IF(Sheet!KD51="Очень сильно/Extremely",4,""))))</f>
        <v>2</v>
      </c>
      <c r="KE51">
        <f>IF(Sheet!KE51="Совсем нет/Not at all",1,IF(Sheet!KF51="Немного/A little",2,IF(Sheet!KG51="Довольно сильно/Quite a bit",3,IF(Sheet!KH51="Очень сильно/Extremely",4,""))))</f>
        <v>1</v>
      </c>
      <c r="KI51">
        <f>IF(Sheet!KI51="Совсем нет/Not at all",1,IF(Sheet!KJ51="Немного/A little",2,IF(Sheet!KK51="Довольно сильно/Quite a bit",3,IF(Sheet!KL51="Очень сильно/Extremely",4,""))))</f>
        <v>2</v>
      </c>
      <c r="KM51">
        <f>IF(Sheet!KM51="Совсем нет/Not at all",1,IF(Sheet!KN51="Немного/A little",2,IF(Sheet!KO51="Довольно сильно/Quite a bit",3,IF(Sheet!KP51="Очень сильно/Extremely",4,""))))</f>
        <v>1</v>
      </c>
      <c r="KQ51">
        <f>IF(Sheet!KQ51="Совсем нет/Not at all",1,IF(Sheet!KR51="Немного/A little",2,IF(Sheet!KS51="Довольно сильно/Quite a bit",3,IF(Sheet!KT51="Очень сильно/Extremely",4,""))))</f>
        <v>2</v>
      </c>
    </row>
    <row r="52" spans="1:303">
      <c r="A52" t="str">
        <f>Sheet!A52</f>
        <v>OD001</v>
      </c>
      <c r="GW52" s="27">
        <f>SUM(GY52,HC52,HG52,HK52,HO52,HS52,HW52,IA52,IE52,II52,IM52,IQ52,IU52,IY52,JC52,JG52,JK52,JO52,JS52,JW52,KA52,KE52,KI52,KM52,KQ52)/25</f>
        <v>2.4</v>
      </c>
      <c r="GY52">
        <f>IF(Sheet!GY52="Совсем нет/Not at all",1,IF(Sheet!GZ52="Немного/A little",2,IF(Sheet!HA52="Довольно сильно/Quite a bit",3,IF(Sheet!HB52="Очень сильно/Extremely",4,""))))</f>
        <v>2</v>
      </c>
      <c r="HC52">
        <f>IF(Sheet!HC52="Совсем нет/Not at all",1,IF(Sheet!HD52="Немного/A little",2,IF(Sheet!HE52="Довольно сильно/Quite a bit",3,IF(Sheet!HF52="Очень сильно/Extremely",4,""))))</f>
        <v>2</v>
      </c>
      <c r="HG52">
        <f>IF(Sheet!HG52="Совсем нет/Not at all",1,IF(Sheet!HH52="Немного/A little",2,IF(Sheet!HI52="Довольно сильно/Quite a bit",3,IF(Sheet!HJ52="Очень сильно/Extremely",4,""))))</f>
        <v>2</v>
      </c>
      <c r="HK52">
        <f>IF(Sheet!HK52="Совсем нет/Not at all",1,IF(Sheet!HL52="Немного/A little",2,IF(Sheet!HM52="Довольно сильно/Quite a bit",3,IF(Sheet!HN52="Очень сильно/Extremely",4,""))))</f>
        <v>3</v>
      </c>
      <c r="HO52">
        <f>IF(Sheet!HO52="Совсем нет/Not at all",1,IF(Sheet!HP52="Немного/A little",2,IF(Sheet!HQ52="Довольно сильно/Quite a bit",3,IF(Sheet!HR52="Очень сильно/Extremely",4,""))))</f>
        <v>2</v>
      </c>
      <c r="HS52">
        <f>IF(Sheet!HS52="Совсем нет/Not at all",1,IF(Sheet!HT52="Немного/A little",2,IF(Sheet!HU52="Довольно сильно/Quite a bit",3,IF(Sheet!HV52="Очень сильно/Extremely",4,""))))</f>
        <v>2</v>
      </c>
      <c r="HW52">
        <f>IF(Sheet!HW52="Совсем нет/Not at all",1,IF(Sheet!HX52="Немного/A little",2,IF(Sheet!HY52="Довольно сильно/Quite a bit",3,IF(Sheet!HZ52="Очень сильно/Extremely",4,""))))</f>
        <v>3</v>
      </c>
      <c r="IA52">
        <f>IF(Sheet!IA52="Совсем нет/Not at all",1,IF(Sheet!IB52="Немного/A little",2,IF(Sheet!IC52="Довольно сильно/Quite a bit",3,IF(Sheet!ID52="Очень сильно/Extremely",4,""))))</f>
        <v>2</v>
      </c>
      <c r="IE52">
        <f>IF(Sheet!IE52="Совсем нет/Not at all",1,IF(Sheet!IF52="Немного/A little",2,IF(Sheet!IG52="Довольно сильно/Quite a bit",3,IF(Sheet!IH52="Очень сильно/Extremely",4,""))))</f>
        <v>2</v>
      </c>
      <c r="II52">
        <f>IF(Sheet!II52="Совсем нет/Not at all",1,IF(Sheet!IJ52="Немного/A little",2,IF(Sheet!IK52="Довольно сильно/Quite a bit",3,IF(Sheet!IL52="Очень сильно/Extremely",4,""))))</f>
        <v>3</v>
      </c>
      <c r="IM52">
        <f>IF(Sheet!IM52="Совсем нет/Not at all",1,IF(Sheet!IN52="Немного/A little",2,IF(Sheet!IO52="Довольно сильно/Quite a bit",3,IF(Sheet!IP52="Очень сильно/Extremely",4,""))))</f>
        <v>3</v>
      </c>
      <c r="IQ52">
        <f>IF(Sheet!IQ52="Совсем нет/Not at all",1,IF(Sheet!IR52="Немного/A little",2,IF(Sheet!IS52="Довольно сильно/Quite a bit ",3,IF(Sheet!IT52="Очень сильно/Extremely ",4,""))))</f>
        <v>3</v>
      </c>
      <c r="IU52">
        <f>IF(Sheet!IU52="Совсем нет/Not at all",1,IF(Sheet!IV52="Немного/A little",2,IF(Sheet!IW52="Довольно сильно/Quite a bit ",3,IF(Sheet!IX52="Очень сильно/Extremely ",4,""))))</f>
        <v>3</v>
      </c>
      <c r="IY52">
        <f>IF(Sheet!IY52="Совсем нет/Not at all",1,IF(Sheet!IZ52="Немного/A little",2,IF(Sheet!JA52="Довольно сильно/Quite a bit ",3,IF(Sheet!JB52="Очень сильно/Extremely ",4,""))))</f>
        <v>2</v>
      </c>
      <c r="JC52">
        <f>IF(Sheet!JC52="Совсем нет/Not at all",1,IF(Sheet!JD52="Немного/A little",2,IF(Sheet!JE52="Довольно сильно/Quite a bit ",3,IF(Sheet!JF52="Очень сильно/Extremely ",4,""))))</f>
        <v>3</v>
      </c>
      <c r="JG52">
        <f>IF(Sheet!JG52="Совсем нет/Not at all",1,IF(Sheet!JH52="Немного/A little",2,IF(Sheet!JI52="Довольно сильно/Quite a bit ",3,IF(Sheet!JJ52="Очень сильно/Extremely ",4,""))))</f>
        <v>3</v>
      </c>
      <c r="JK52">
        <f>IF(Sheet!JK52="Совсем нет/Not at all",1,IF(Sheet!JL52="Немного/A little",2,IF(Sheet!JM52="Довольно сильно/Quite a bit ",3,IF(Sheet!JN52="Очень сильно/Extremely ",4,""))))</f>
        <v>3</v>
      </c>
      <c r="JO52" t="str">
        <f>IF(Sheet!JO52="Совсем нет/Not at all",1,IF(Sheet!JP52="Немного/A little",2,IF(Sheet!JQ52="Довольно сильно/Quite a bit",3,IF(Sheet!JR52="Очень сильно/Extremely",4,""))))</f>
        <v/>
      </c>
      <c r="JS52">
        <f>IF(Sheet!JS52="Совсем нет/Not at all",1,IF(Sheet!JT52="Немного/A little",2,IF(Sheet!JU52="Довольно сильно/Quite a bit",3,IF(Sheet!JV52="Очень сильно/Extremely",4,""))))</f>
        <v>2</v>
      </c>
      <c r="JW52">
        <f>IF(Sheet!JW52="Совсем нет/Not at all",1,IF(Sheet!JX52="Немного/A little",2,IF(Sheet!JY52="Довольно сильно/Quite a bit",3,IF(Sheet!JZ52="Очень сильно/Extremely",4,""))))</f>
        <v>3</v>
      </c>
      <c r="KA52">
        <f>IF(Sheet!KA52="Совсем нет/Not at all",1,IF(Sheet!KB52="Немного/A little",2,IF(Sheet!KC52="Довольно сильно/Quite a bit",3,IF(Sheet!KD52="Очень сильно/Extremely",4,""))))</f>
        <v>3</v>
      </c>
      <c r="KE52">
        <f>IF(Sheet!KE52="Совсем нет/Not at all",1,IF(Sheet!KF52="Немного/A little",2,IF(Sheet!KG52="Довольно сильно/Quite a bit",3,IF(Sheet!KH52="Очень сильно/Extremely",4,""))))</f>
        <v>1</v>
      </c>
      <c r="KI52">
        <f>IF(Sheet!KI52="Совсем нет/Not at all",1,IF(Sheet!KJ52="Немного/A little",2,IF(Sheet!KK52="Довольно сильно/Quite a bit",3,IF(Sheet!KL52="Очень сильно/Extremely",4,""))))</f>
        <v>3</v>
      </c>
      <c r="KM52">
        <f>IF(Sheet!KM52="Совсем нет/Not at all",1,IF(Sheet!KN52="Немного/A little",2,IF(Sheet!KO52="Довольно сильно/Quite a bit",3,IF(Sheet!KP52="Очень сильно/Extremely",4,""))))</f>
        <v>3</v>
      </c>
      <c r="KQ52">
        <f>IF(Sheet!KQ52="Совсем нет/Not at all",1,IF(Sheet!KR52="Немного/A little",2,IF(Sheet!KS52="Довольно сильно/Quite a bit",3,IF(Sheet!KT52="Очень сильно/Extremely",4,""))))</f>
        <v>2</v>
      </c>
    </row>
    <row r="53" spans="1:303">
      <c r="A53" t="str">
        <f>Sheet!A53</f>
        <v>RE001</v>
      </c>
      <c r="GW53" s="27">
        <f>SUM(GY53,HC53,HG53,HK53,HO53,HS53,HW53,IA53,IE53,II53,IM53,IQ53,IU53,IY53,JC53,JG53,JK53,JO53,JS53,JW53,KA53,KE53,KI53,KM53,KQ53)/25</f>
        <v>2</v>
      </c>
      <c r="GY53">
        <f>IF(Sheet!GY53="Совсем нет/Not at all",1,IF(Sheet!GZ53="Немного/A little",2,IF(Sheet!HA53="Довольно сильно/Quite a bit",3,IF(Sheet!HB53="Очень сильно/Extremely",4,""))))</f>
        <v>1</v>
      </c>
      <c r="HC53">
        <f>IF(Sheet!HC53="Совсем нет/Not at all",1,IF(Sheet!HD53="Немного/A little",2,IF(Sheet!HE53="Довольно сильно/Quite a bit",3,IF(Sheet!HF53="Очень сильно/Extremely",4,""))))</f>
        <v>1</v>
      </c>
      <c r="HG53">
        <f>IF(Sheet!HG53="Совсем нет/Not at all",1,IF(Sheet!HH53="Немного/A little",2,IF(Sheet!HI53="Довольно сильно/Quite a bit",3,IF(Sheet!HJ53="Очень сильно/Extremely",4,""))))</f>
        <v>1</v>
      </c>
      <c r="HK53">
        <f>IF(Sheet!HK53="Совсем нет/Not at all",1,IF(Sheet!HL53="Немного/A little",2,IF(Sheet!HM53="Довольно сильно/Quite a bit",3,IF(Sheet!HN53="Очень сильно/Extremely",4,""))))</f>
        <v>2</v>
      </c>
      <c r="HO53">
        <f>IF(Sheet!HO53="Совсем нет/Not at all",1,IF(Sheet!HP53="Немного/A little",2,IF(Sheet!HQ53="Довольно сильно/Quite a bit",3,IF(Sheet!HR53="Очень сильно/Extremely",4,""))))</f>
        <v>2</v>
      </c>
      <c r="HS53">
        <f>IF(Sheet!HS53="Совсем нет/Not at all",1,IF(Sheet!HT53="Немного/A little",2,IF(Sheet!HU53="Довольно сильно/Quite a bit",3,IF(Sheet!HV53="Очень сильно/Extremely",4,""))))</f>
        <v>4</v>
      </c>
      <c r="HW53">
        <f>IF(Sheet!HW53="Совсем нет/Not at all",1,IF(Sheet!HX53="Немного/A little",2,IF(Sheet!HY53="Довольно сильно/Quite a bit",3,IF(Sheet!HZ53="Очень сильно/Extremely",4,""))))</f>
        <v>4</v>
      </c>
      <c r="IA53">
        <f>IF(Sheet!IA53="Совсем нет/Not at all",1,IF(Sheet!IB53="Немного/A little",2,IF(Sheet!IC53="Довольно сильно/Quite a bit",3,IF(Sheet!ID53="Очень сильно/Extremely",4,""))))</f>
        <v>1</v>
      </c>
      <c r="IE53">
        <f>IF(Sheet!IE53="Совсем нет/Not at all",1,IF(Sheet!IF53="Немного/A little",2,IF(Sheet!IG53="Довольно сильно/Quite a bit",3,IF(Sheet!IH53="Очень сильно/Extremely",4,""))))</f>
        <v>4</v>
      </c>
      <c r="II53">
        <f>IF(Sheet!II53="Совсем нет/Not at all",1,IF(Sheet!IJ53="Немного/A little",2,IF(Sheet!IK53="Довольно сильно/Quite a bit",3,IF(Sheet!IL53="Очень сильно/Extremely",4,""))))</f>
        <v>2</v>
      </c>
      <c r="IM53">
        <f>IF(Sheet!IM53="Совсем нет/Not at all",1,IF(Sheet!IN53="Немного/A little",2,IF(Sheet!IO53="Довольно сильно/Quite a bit",3,IF(Sheet!IP53="Очень сильно/Extremely",4,""))))</f>
        <v>1</v>
      </c>
      <c r="IQ53">
        <f>IF(Sheet!IQ53="Совсем нет/Not at all",1,IF(Sheet!IR53="Немного/A little",2,IF(Sheet!IS53="Довольно сильно/Quite a bit ",3,IF(Sheet!IT53="Очень сильно/Extremely ",4,""))))</f>
        <v>4</v>
      </c>
      <c r="IU53">
        <f>IF(Sheet!IU53="Совсем нет/Not at all",1,IF(Sheet!IV53="Немного/A little",2,IF(Sheet!IW53="Довольно сильно/Quite a bit ",3,IF(Sheet!IX53="Очень сильно/Extremely ",4,""))))</f>
        <v>4</v>
      </c>
      <c r="IY53">
        <f>IF(Sheet!IY53="Совсем нет/Not at all",1,IF(Sheet!IZ53="Немного/A little",2,IF(Sheet!JA53="Довольно сильно/Quite a bit ",3,IF(Sheet!JB53="Очень сильно/Extremely ",4,""))))</f>
        <v>4</v>
      </c>
      <c r="JC53">
        <f>IF(Sheet!JC53="Совсем нет/Not at all",1,IF(Sheet!JD53="Немного/A little",2,IF(Sheet!JE53="Довольно сильно/Quite a bit ",3,IF(Sheet!JF53="Очень сильно/Extremely ",4,""))))</f>
        <v>1</v>
      </c>
      <c r="JG53">
        <f>IF(Sheet!JG53="Совсем нет/Not at all",1,IF(Sheet!JH53="Немного/A little",2,IF(Sheet!JI53="Довольно сильно/Quite a bit ",3,IF(Sheet!JJ53="Очень сильно/Extremely ",4,""))))</f>
        <v>4</v>
      </c>
      <c r="JK53">
        <f>IF(Sheet!JK53="Совсем нет/Not at all",1,IF(Sheet!JL53="Немного/A little",2,IF(Sheet!JM53="Довольно сильно/Quite a bit ",3,IF(Sheet!JN53="Очень сильно/Extremely ",4,""))))</f>
        <v>2</v>
      </c>
      <c r="JO53" t="str">
        <f>IF(Sheet!JO53="Совсем нет/Not at all",1,IF(Sheet!JP53="Немного/A little",2,IF(Sheet!JQ53="Довольно сильно/Quite a bit",3,IF(Sheet!JR53="Очень сильно/Extremely",4,""))))</f>
        <v/>
      </c>
      <c r="JS53">
        <f>IF(Sheet!JS53="Совсем нет/Not at all",1,IF(Sheet!JT53="Немного/A little",2,IF(Sheet!JU53="Довольно сильно/Quite a bit",3,IF(Sheet!JV53="Очень сильно/Extremely",4,""))))</f>
        <v>2</v>
      </c>
      <c r="JW53">
        <f>IF(Sheet!JW53="Совсем нет/Not at all",1,IF(Sheet!JX53="Немного/A little",2,IF(Sheet!JY53="Довольно сильно/Quite a bit",3,IF(Sheet!JZ53="Очень сильно/Extremely",4,""))))</f>
        <v>1</v>
      </c>
      <c r="KA53">
        <f>IF(Sheet!KA53="Совсем нет/Not at all",1,IF(Sheet!KB53="Немного/A little",2,IF(Sheet!KC53="Довольно сильно/Quite a bit",3,IF(Sheet!KD53="Очень сильно/Extremely",4,""))))</f>
        <v>1</v>
      </c>
      <c r="KE53">
        <f>IF(Sheet!KE53="Совсем нет/Not at all",1,IF(Sheet!KF53="Немного/A little",2,IF(Sheet!KG53="Довольно сильно/Quite a bit",3,IF(Sheet!KH53="Очень сильно/Extremely",4,""))))</f>
        <v>1</v>
      </c>
      <c r="KI53">
        <f>IF(Sheet!KI53="Совсем нет/Not at all",1,IF(Sheet!KJ53="Немного/A little",2,IF(Sheet!KK53="Довольно сильно/Quite a bit",3,IF(Sheet!KL53="Очень сильно/Extremely",4,""))))</f>
        <v>1</v>
      </c>
      <c r="KM53">
        <f>IF(Sheet!KM53="Совсем нет/Not at all",1,IF(Sheet!KN53="Немного/A little",2,IF(Sheet!KO53="Довольно сильно/Quite a bit",3,IF(Sheet!KP53="Очень сильно/Extremely",4,""))))</f>
        <v>1</v>
      </c>
      <c r="KQ53">
        <f>IF(Sheet!KQ53="Совсем нет/Not at all",1,IF(Sheet!KR53="Немного/A little",2,IF(Sheet!KS53="Довольно сильно/Quite a bit",3,IF(Sheet!KT53="Очень сильно/Extremely",4,""))))</f>
        <v>1</v>
      </c>
    </row>
    <row r="54" spans="1:303">
      <c r="A54" t="str">
        <f>Sheet!A54</f>
        <v>CF001</v>
      </c>
      <c r="GW54" s="27">
        <f>SUM(GY54,HC54,HG54,HK54,HO54,HS54,HW54,IA54,IE54,II54,IM54,IQ54,IU54,IY54,JC54,JG54,JK54,JO54,JS54,JW54,KA54,KE54,KI54,KM54,KQ54)/25</f>
        <v>2.6</v>
      </c>
      <c r="GY54">
        <f>IF(Sheet!GY54="Совсем нет/Not at all",1,IF(Sheet!GZ54="Немного/A little",2,IF(Sheet!HA54="Довольно сильно/Quite a bit",3,IF(Sheet!HB54="Очень сильно/Extremely",4,""))))</f>
        <v>3</v>
      </c>
      <c r="HC54">
        <f>IF(Sheet!HC54="Совсем нет/Not at all",1,IF(Sheet!HD54="Немного/A little",2,IF(Sheet!HE54="Довольно сильно/Quite a bit",3,IF(Sheet!HF54="Очень сильно/Extremely",4,""))))</f>
        <v>2</v>
      </c>
      <c r="HG54">
        <f>IF(Sheet!HG54="Совсем нет/Not at all",1,IF(Sheet!HH54="Немного/A little",2,IF(Sheet!HI54="Довольно сильно/Quite a bit",3,IF(Sheet!HJ54="Очень сильно/Extremely",4,""))))</f>
        <v>3</v>
      </c>
      <c r="HK54">
        <f>IF(Sheet!HK54="Совсем нет/Not at all",1,IF(Sheet!HL54="Немного/A little",2,IF(Sheet!HM54="Довольно сильно/Quite a bit",3,IF(Sheet!HN54="Очень сильно/Extremely",4,""))))</f>
        <v>3</v>
      </c>
      <c r="HO54">
        <f>IF(Sheet!HO54="Совсем нет/Not at all",1,IF(Sheet!HP54="Немного/A little",2,IF(Sheet!HQ54="Довольно сильно/Quite a bit",3,IF(Sheet!HR54="Очень сильно/Extremely",4,""))))</f>
        <v>4</v>
      </c>
      <c r="HS54">
        <f>IF(Sheet!HS54="Совсем нет/Not at all",1,IF(Sheet!HT54="Немного/A little",2,IF(Sheet!HU54="Довольно сильно/Quite a bit",3,IF(Sheet!HV54="Очень сильно/Extremely",4,""))))</f>
        <v>2</v>
      </c>
      <c r="HW54">
        <f>IF(Sheet!HW54="Совсем нет/Not at all",1,IF(Sheet!HX54="Немного/A little",2,IF(Sheet!HY54="Довольно сильно/Quite a bit",3,IF(Sheet!HZ54="Очень сильно/Extremely",4,""))))</f>
        <v>1</v>
      </c>
      <c r="IA54">
        <f>IF(Sheet!IA54="Совсем нет/Not at all",1,IF(Sheet!IB54="Немного/A little",2,IF(Sheet!IC54="Довольно сильно/Quite a bit",3,IF(Sheet!ID54="Очень сильно/Extremely",4,""))))</f>
        <v>4</v>
      </c>
      <c r="IE54">
        <f>IF(Sheet!IE54="Совсем нет/Not at all",1,IF(Sheet!IF54="Немного/A little",2,IF(Sheet!IG54="Довольно сильно/Quite a bit",3,IF(Sheet!IH54="Очень сильно/Extremely",4,""))))</f>
        <v>4</v>
      </c>
      <c r="II54">
        <f>IF(Sheet!II54="Совсем нет/Not at all",1,IF(Sheet!IJ54="Немного/A little",2,IF(Sheet!IK54="Довольно сильно/Quite a bit",3,IF(Sheet!IL54="Очень сильно/Extremely",4,""))))</f>
        <v>1</v>
      </c>
      <c r="IM54">
        <f>IF(Sheet!IM54="Совсем нет/Not at all",1,IF(Sheet!IN54="Немного/A little",2,IF(Sheet!IO54="Довольно сильно/Quite a bit",3,IF(Sheet!IP54="Очень сильно/Extremely",4,""))))</f>
        <v>2</v>
      </c>
      <c r="IQ54">
        <f>IF(Sheet!IQ54="Совсем нет/Not at all",1,IF(Sheet!IR54="Немного/A little",2,IF(Sheet!IS54="Довольно сильно/Quite a bit ",3,IF(Sheet!IT54="Очень сильно/Extremely ",4,""))))</f>
        <v>4</v>
      </c>
      <c r="IU54">
        <f>IF(Sheet!IU54="Совсем нет/Not at all",1,IF(Sheet!IV54="Немного/A little",2,IF(Sheet!IW54="Довольно сильно/Quite a bit ",3,IF(Sheet!IX54="Очень сильно/Extremely ",4,""))))</f>
        <v>4</v>
      </c>
      <c r="IY54">
        <f>IF(Sheet!IY54="Совсем нет/Not at all",1,IF(Sheet!IZ54="Немного/A little",2,IF(Sheet!JA54="Довольно сильно/Quite a bit ",3,IF(Sheet!JB54="Очень сильно/Extremely ",4,""))))</f>
        <v>4</v>
      </c>
      <c r="JC54">
        <f>IF(Sheet!JC54="Совсем нет/Not at all",1,IF(Sheet!JD54="Немного/A little",2,IF(Sheet!JE54="Довольно сильно/Quite a bit ",3,IF(Sheet!JF54="Очень сильно/Extremely ",4,""))))</f>
        <v>3</v>
      </c>
      <c r="JG54">
        <f>IF(Sheet!JG54="Совсем нет/Not at all",1,IF(Sheet!JH54="Немного/A little",2,IF(Sheet!JI54="Довольно сильно/Quite a bit ",3,IF(Sheet!JJ54="Очень сильно/Extremely ",4,""))))</f>
        <v>3</v>
      </c>
      <c r="JK54">
        <f>IF(Sheet!JK54="Совсем нет/Not at all",1,IF(Sheet!JL54="Немного/A little",2,IF(Sheet!JM54="Довольно сильно/Quite a bit ",3,IF(Sheet!JN54="Очень сильно/Extremely ",4,""))))</f>
        <v>3</v>
      </c>
      <c r="JO54">
        <f>IF(Sheet!JO54="Совсем нет/Not at all",1,IF(Sheet!JP54="Немного/A little",2,IF(Sheet!JQ54="Довольно сильно/Quite a bit",3,IF(Sheet!JR54="Очень сильно/Extremely",4,""))))</f>
        <v>1</v>
      </c>
      <c r="JS54">
        <f>IF(Sheet!JS54="Совсем нет/Not at all",1,IF(Sheet!JT54="Немного/A little",2,IF(Sheet!JU54="Довольно сильно/Quite a bit",3,IF(Sheet!JV54="Очень сильно/Extremely",4,""))))</f>
        <v>2</v>
      </c>
      <c r="JW54">
        <f>IF(Sheet!JW54="Совсем нет/Not at all",1,IF(Sheet!JX54="Немного/A little",2,IF(Sheet!JY54="Довольно сильно/Quite a bit",3,IF(Sheet!JZ54="Очень сильно/Extremely",4,""))))</f>
        <v>4</v>
      </c>
      <c r="KA54">
        <f>IF(Sheet!KA54="Совсем нет/Not at all",1,IF(Sheet!KB54="Немного/A little",2,IF(Sheet!KC54="Довольно сильно/Quite a bit",3,IF(Sheet!KD54="Очень сильно/Extremely",4,""))))</f>
        <v>3</v>
      </c>
      <c r="KE54">
        <f>IF(Sheet!KE54="Совсем нет/Not at all",1,IF(Sheet!KF54="Немного/A little",2,IF(Sheet!KG54="Довольно сильно/Quite a bit",3,IF(Sheet!KH54="Очень сильно/Extremely",4,""))))</f>
        <v>1</v>
      </c>
      <c r="KI54">
        <f>IF(Sheet!KI54="Совсем нет/Not at all",1,IF(Sheet!KJ54="Немного/A little",2,IF(Sheet!KK54="Довольно сильно/Quite a bit",3,IF(Sheet!KL54="Очень сильно/Extremely",4,""))))</f>
        <v>2</v>
      </c>
      <c r="KM54">
        <f>IF(Sheet!KM54="Совсем нет/Not at all",1,IF(Sheet!KN54="Немного/A little",2,IF(Sheet!KO54="Довольно сильно/Quite a bit",3,IF(Sheet!KP54="Очень сильно/Extremely",4,""))))</f>
        <v>1</v>
      </c>
      <c r="KQ54">
        <f>IF(Sheet!KQ54="Совсем нет/Not at all",1,IF(Sheet!KR54="Немного/A little",2,IF(Sheet!KS54="Довольно сильно/Quite a bit",3,IF(Sheet!KT54="Очень сильно/Extremely",4,""))))</f>
        <v>1</v>
      </c>
    </row>
    <row r="55" spans="1:303">
      <c r="A55" t="str">
        <f>Sheet!A55</f>
        <v>RM001</v>
      </c>
      <c r="GW55" s="27">
        <f>SUM(GY55,HC55,HG55,HK55,HO55,HS55,HW55,IA55,IE55,II55,IM55,IQ55,IU55,IY55,JC55,JG55,JK55,JO55,JS55,JW55,KA55,KE55,KI55,KM55,KQ55)/25</f>
        <v>2.04</v>
      </c>
      <c r="GY55">
        <f>IF(Sheet!GY55="Совсем нет/Not at all",1,IF(Sheet!GZ55="Немного/A little",2,IF(Sheet!HA55="Довольно сильно/Quite a bit",3,IF(Sheet!HB55="Очень сильно/Extremely",4,""))))</f>
        <v>2</v>
      </c>
      <c r="HC55">
        <f>IF(Sheet!HC55="Совсем нет/Not at all",1,IF(Sheet!HD55="Немного/A little",2,IF(Sheet!HE55="Довольно сильно/Quite a bit",3,IF(Sheet!HF55="Очень сильно/Extremely",4,""))))</f>
        <v>2</v>
      </c>
      <c r="HG55">
        <f>IF(Sheet!HG55="Совсем нет/Not at all",1,IF(Sheet!HH55="Немного/A little",2,IF(Sheet!HI55="Довольно сильно/Quite a bit",3,IF(Sheet!HJ55="Очень сильно/Extremely",4,""))))</f>
        <v>2</v>
      </c>
      <c r="HK55">
        <f>IF(Sheet!HK55="Совсем нет/Not at all",1,IF(Sheet!HL55="Немного/A little",2,IF(Sheet!HM55="Довольно сильно/Quite a bit",3,IF(Sheet!HN55="Очень сильно/Extremely",4,""))))</f>
        <v>3</v>
      </c>
      <c r="HO55">
        <f>IF(Sheet!HO55="Совсем нет/Not at all",1,IF(Sheet!HP55="Немного/A little",2,IF(Sheet!HQ55="Довольно сильно/Quite a bit",3,IF(Sheet!HR55="Очень сильно/Extremely",4,""))))</f>
        <v>3</v>
      </c>
      <c r="HS55">
        <f>IF(Sheet!HS55="Совсем нет/Not at all",1,IF(Sheet!HT55="Немного/A little",2,IF(Sheet!HU55="Довольно сильно/Quite a bit",3,IF(Sheet!HV55="Очень сильно/Extremely",4,""))))</f>
        <v>2</v>
      </c>
      <c r="HW55">
        <f>IF(Sheet!HW55="Совсем нет/Not at all",1,IF(Sheet!HX55="Немного/A little",2,IF(Sheet!HY55="Довольно сильно/Quite a bit",3,IF(Sheet!HZ55="Очень сильно/Extremely",4,""))))</f>
        <v>3</v>
      </c>
      <c r="IA55">
        <f>IF(Sheet!IA55="Совсем нет/Not at all",1,IF(Sheet!IB55="Немного/A little",2,IF(Sheet!IC55="Довольно сильно/Quite a bit",3,IF(Sheet!ID55="Очень сильно/Extremely",4,""))))</f>
        <v>3</v>
      </c>
      <c r="IE55">
        <f>IF(Sheet!IE55="Совсем нет/Not at all",1,IF(Sheet!IF55="Немного/A little",2,IF(Sheet!IG55="Довольно сильно/Quite a bit",3,IF(Sheet!IH55="Очень сильно/Extremely",4,""))))</f>
        <v>2</v>
      </c>
      <c r="II55">
        <f>IF(Sheet!II55="Совсем нет/Not at all",1,IF(Sheet!IJ55="Немного/A little",2,IF(Sheet!IK55="Довольно сильно/Quite a bit",3,IF(Sheet!IL55="Очень сильно/Extremely",4,""))))</f>
        <v>1</v>
      </c>
      <c r="IM55">
        <f>IF(Sheet!IM55="Совсем нет/Not at all",1,IF(Sheet!IN55="Немного/A little",2,IF(Sheet!IO55="Довольно сильно/Quite a bit",3,IF(Sheet!IP55="Очень сильно/Extremely",4,""))))</f>
        <v>3</v>
      </c>
      <c r="IQ55">
        <f>IF(Sheet!IQ55="Совсем нет/Not at all",1,IF(Sheet!IR55="Немного/A little",2,IF(Sheet!IS55="Довольно сильно/Quite a bit ",3,IF(Sheet!IT55="Очень сильно/Extremely ",4,""))))</f>
        <v>1</v>
      </c>
      <c r="IU55">
        <f>IF(Sheet!IU55="Совсем нет/Not at all",1,IF(Sheet!IV55="Немного/A little",2,IF(Sheet!IW55="Довольно сильно/Quite a bit ",3,IF(Sheet!IX55="Очень сильно/Extremely ",4,""))))</f>
        <v>2</v>
      </c>
      <c r="IY55">
        <f>IF(Sheet!IY55="Совсем нет/Not at all",1,IF(Sheet!IZ55="Немного/A little",2,IF(Sheet!JA55="Довольно сильно/Quite a bit ",3,IF(Sheet!JB55="Очень сильно/Extremely ",4,""))))</f>
        <v>3</v>
      </c>
      <c r="JC55">
        <f>IF(Sheet!JC55="Совсем нет/Not at all",1,IF(Sheet!JD55="Немного/A little",2,IF(Sheet!JE55="Довольно сильно/Quite a bit ",3,IF(Sheet!JF55="Очень сильно/Extremely ",4,""))))</f>
        <v>3</v>
      </c>
      <c r="JG55">
        <f>IF(Sheet!JG55="Совсем нет/Not at all",1,IF(Sheet!JH55="Немного/A little",2,IF(Sheet!JI55="Довольно сильно/Quite a bit ",3,IF(Sheet!JJ55="Очень сильно/Extremely ",4,""))))</f>
        <v>2</v>
      </c>
      <c r="JK55">
        <f>IF(Sheet!JK55="Совсем нет/Not at all",1,IF(Sheet!JL55="Немного/A little",2,IF(Sheet!JM55="Довольно сильно/Quite a bit ",3,IF(Sheet!JN55="Очень сильно/Extremely ",4,""))))</f>
        <v>1</v>
      </c>
      <c r="JO55">
        <f>IF(Sheet!JO55="Совсем нет/Not at all",1,IF(Sheet!JP55="Немного/A little",2,IF(Sheet!JQ55="Довольно сильно/Quite a bit",3,IF(Sheet!JR55="Очень сильно/Extremely",4,""))))</f>
        <v>1</v>
      </c>
      <c r="JS55">
        <f>IF(Sheet!JS55="Совсем нет/Not at all",1,IF(Sheet!JT55="Немного/A little",2,IF(Sheet!JU55="Довольно сильно/Quite a bit",3,IF(Sheet!JV55="Очень сильно/Extremely",4,""))))</f>
        <v>2</v>
      </c>
      <c r="JW55">
        <f>IF(Sheet!JW55="Совсем нет/Not at all",1,IF(Sheet!JX55="Немного/A little",2,IF(Sheet!JY55="Довольно сильно/Quite a bit",3,IF(Sheet!JZ55="Очень сильно/Extremely",4,""))))</f>
        <v>2</v>
      </c>
      <c r="KA55">
        <f>IF(Sheet!KA55="Совсем нет/Not at all",1,IF(Sheet!KB55="Немного/A little",2,IF(Sheet!KC55="Довольно сильно/Quite a bit",3,IF(Sheet!KD55="Очень сильно/Extremely",4,""))))</f>
        <v>3</v>
      </c>
      <c r="KE55">
        <f>IF(Sheet!KE55="Совсем нет/Not at all",1,IF(Sheet!KF55="Немного/A little",2,IF(Sheet!KG55="Довольно сильно/Quite a bit",3,IF(Sheet!KH55="Очень сильно/Extremely",4,""))))</f>
        <v>1</v>
      </c>
      <c r="KI55">
        <f>IF(Sheet!KI55="Совсем нет/Not at all",1,IF(Sheet!KJ55="Немного/A little",2,IF(Sheet!KK55="Довольно сильно/Quite a bit",3,IF(Sheet!KL55="Очень сильно/Extremely",4,""))))</f>
        <v>2</v>
      </c>
      <c r="KM55">
        <f>IF(Sheet!KM55="Совсем нет/Not at all",1,IF(Sheet!KN55="Немного/A little",2,IF(Sheet!KO55="Довольно сильно/Quite a bit",3,IF(Sheet!KP55="Очень сильно/Extremely",4,""))))</f>
        <v>1</v>
      </c>
      <c r="KQ55">
        <f>IF(Sheet!KQ55="Совсем нет/Not at all",1,IF(Sheet!KR55="Немного/A little",2,IF(Sheet!KS55="Довольно сильно/Quite a bit",3,IF(Sheet!KT55="Очень сильно/Extremely",4,""))))</f>
        <v>1</v>
      </c>
    </row>
    <row r="56" spans="1:303">
      <c r="A56" t="str">
        <f>Sheet!A56</f>
        <v>KO002</v>
      </c>
      <c r="GW56" s="27">
        <f>SUM(GY56,HC56,HG56,HK56,HO56,HS56,HW56,IA56,IE56,II56,IM56,IQ56,IU56,IY56,JC56,JG56,JK56,JO56,JS56,JW56,KA56,KE56,KI56,KM56,KQ56)/25</f>
        <v>2.68</v>
      </c>
      <c r="GY56">
        <f>IF(Sheet!GY56="Совсем нет/Not at all",1,IF(Sheet!GZ56="Немного/A little",2,IF(Sheet!HA56="Довольно сильно/Quite a bit",3,IF(Sheet!HB56="Очень сильно/Extremely",4,""))))</f>
        <v>3</v>
      </c>
      <c r="HC56">
        <f>IF(Sheet!HC56="Совсем нет/Not at all",1,IF(Sheet!HD56="Немного/A little",2,IF(Sheet!HE56="Довольно сильно/Quite a bit",3,IF(Sheet!HF56="Очень сильно/Extremely",4,""))))</f>
        <v>2</v>
      </c>
      <c r="HG56">
        <f>IF(Sheet!HG56="Совсем нет/Not at all",1,IF(Sheet!HH56="Немного/A little",2,IF(Sheet!HI56="Довольно сильно/Quite a bit",3,IF(Sheet!HJ56="Очень сильно/Extremely",4,""))))</f>
        <v>3</v>
      </c>
      <c r="HK56">
        <f>IF(Sheet!HK56="Совсем нет/Not at all",1,IF(Sheet!HL56="Немного/A little",2,IF(Sheet!HM56="Довольно сильно/Quite a bit",3,IF(Sheet!HN56="Очень сильно/Extremely",4,""))))</f>
        <v>2</v>
      </c>
      <c r="HO56">
        <f>IF(Sheet!HO56="Совсем нет/Not at all",1,IF(Sheet!HP56="Немного/A little",2,IF(Sheet!HQ56="Довольно сильно/Quite a bit",3,IF(Sheet!HR56="Очень сильно/Extremely",4,""))))</f>
        <v>3</v>
      </c>
      <c r="HS56">
        <f>IF(Sheet!HS56="Совсем нет/Not at all",1,IF(Sheet!HT56="Немного/A little",2,IF(Sheet!HU56="Довольно сильно/Quite a bit",3,IF(Sheet!HV56="Очень сильно/Extremely",4,""))))</f>
        <v>3</v>
      </c>
      <c r="HW56">
        <f>IF(Sheet!HW56="Совсем нет/Not at all",1,IF(Sheet!HX56="Немного/A little",2,IF(Sheet!HY56="Довольно сильно/Quite a bit",3,IF(Sheet!HZ56="Очень сильно/Extremely",4,""))))</f>
        <v>3</v>
      </c>
      <c r="IA56">
        <f>IF(Sheet!IA56="Совсем нет/Not at all",1,IF(Sheet!IB56="Немного/A little",2,IF(Sheet!IC56="Довольно сильно/Quite a bit",3,IF(Sheet!ID56="Очень сильно/Extremely",4,""))))</f>
        <v>3</v>
      </c>
      <c r="IE56">
        <f>IF(Sheet!IE56="Совсем нет/Not at all",1,IF(Sheet!IF56="Немного/A little",2,IF(Sheet!IG56="Довольно сильно/Quite a bit",3,IF(Sheet!IH56="Очень сильно/Extremely",4,""))))</f>
        <v>3</v>
      </c>
      <c r="II56">
        <f>IF(Sheet!II56="Совсем нет/Not at all",1,IF(Sheet!IJ56="Немного/A little",2,IF(Sheet!IK56="Довольно сильно/Quite a bit",3,IF(Sheet!IL56="Очень сильно/Extremely",4,""))))</f>
        <v>2</v>
      </c>
      <c r="IM56">
        <f>IF(Sheet!IM56="Совсем нет/Not at all",1,IF(Sheet!IN56="Немного/A little",2,IF(Sheet!IO56="Довольно сильно/Quite a bit",3,IF(Sheet!IP56="Очень сильно/Extremely",4,""))))</f>
        <v>4</v>
      </c>
      <c r="IQ56">
        <f>IF(Sheet!IQ56="Совсем нет/Not at all",1,IF(Sheet!IR56="Немного/A little",2,IF(Sheet!IS56="Довольно сильно/Quite a bit ",3,IF(Sheet!IT56="Очень сильно/Extremely ",4,""))))</f>
        <v>2</v>
      </c>
      <c r="IU56">
        <f>IF(Sheet!IU56="Совсем нет/Not at all",1,IF(Sheet!IV56="Немного/A little",2,IF(Sheet!IW56="Довольно сильно/Quite a bit ",3,IF(Sheet!IX56="Очень сильно/Extremely ",4,""))))</f>
        <v>2</v>
      </c>
      <c r="IY56">
        <f>IF(Sheet!IY56="Совсем нет/Not at all",1,IF(Sheet!IZ56="Немного/A little",2,IF(Sheet!JA56="Довольно сильно/Quite a bit ",3,IF(Sheet!JB56="Очень сильно/Extremely ",4,""))))</f>
        <v>3</v>
      </c>
      <c r="JC56">
        <f>IF(Sheet!JC56="Совсем нет/Not at all",1,IF(Sheet!JD56="Немного/A little",2,IF(Sheet!JE56="Довольно сильно/Quite a bit ",3,IF(Sheet!JF56="Очень сильно/Extremely ",4,""))))</f>
        <v>3</v>
      </c>
      <c r="JG56">
        <f>IF(Sheet!JG56="Совсем нет/Not at all",1,IF(Sheet!JH56="Немного/A little",2,IF(Sheet!JI56="Довольно сильно/Quite a bit ",3,IF(Sheet!JJ56="Очень сильно/Extremely ",4,""))))</f>
        <v>3</v>
      </c>
      <c r="JK56">
        <f>IF(Sheet!JK56="Совсем нет/Not at all",1,IF(Sheet!JL56="Немного/A little",2,IF(Sheet!JM56="Довольно сильно/Quite a bit ",3,IF(Sheet!JN56="Очень сильно/Extremely ",4,""))))</f>
        <v>3</v>
      </c>
      <c r="JO56">
        <f>IF(Sheet!JO56="Совсем нет/Not at all",1,IF(Sheet!JP56="Немного/A little",2,IF(Sheet!JQ56="Довольно сильно/Quite a bit",3,IF(Sheet!JR56="Очень сильно/Extremely",4,""))))</f>
        <v>2</v>
      </c>
      <c r="JS56">
        <f>IF(Sheet!JS56="Совсем нет/Not at all",1,IF(Sheet!JT56="Немного/A little",2,IF(Sheet!JU56="Довольно сильно/Quite a bit",3,IF(Sheet!JV56="Очень сильно/Extremely",4,""))))</f>
        <v>1</v>
      </c>
      <c r="JW56">
        <f>IF(Sheet!JW56="Совсем нет/Not at all",1,IF(Sheet!JX56="Немного/A little",2,IF(Sheet!JY56="Довольно сильно/Quite a bit",3,IF(Sheet!JZ56="Очень сильно/Extremely",4,""))))</f>
        <v>2</v>
      </c>
      <c r="KA56">
        <f>IF(Sheet!KA56="Совсем нет/Not at all",1,IF(Sheet!KB56="Немного/A little",2,IF(Sheet!KC56="Довольно сильно/Quite a bit",3,IF(Sheet!KD56="Очень сильно/Extremely",4,""))))</f>
        <v>3</v>
      </c>
      <c r="KE56">
        <f>IF(Sheet!KE56="Совсем нет/Not at all",1,IF(Sheet!KF56="Немного/A little",2,IF(Sheet!KG56="Довольно сильно/Quite a bit",3,IF(Sheet!KH56="Очень сильно/Extremely",4,""))))</f>
        <v>4</v>
      </c>
      <c r="KI56">
        <f>IF(Sheet!KI56="Совсем нет/Not at all",1,IF(Sheet!KJ56="Немного/A little",2,IF(Sheet!KK56="Довольно сильно/Quite a bit",3,IF(Sheet!KL56="Очень сильно/Extremely",4,""))))</f>
        <v>4</v>
      </c>
      <c r="KM56">
        <f>IF(Sheet!KM56="Совсем нет/Not at all",1,IF(Sheet!KN56="Немного/A little",2,IF(Sheet!KO56="Довольно сильно/Quite a bit",3,IF(Sheet!KP56="Очень сильно/Extremely",4,""))))</f>
        <v>3</v>
      </c>
      <c r="KQ56">
        <f>IF(Sheet!KQ56="Совсем нет/Not at all",1,IF(Sheet!KR56="Немного/A little",2,IF(Sheet!KS56="Довольно сильно/Quite a bit",3,IF(Sheet!KT56="Очень сильно/Extremely",4,""))))</f>
        <v>1</v>
      </c>
    </row>
    <row r="57" spans="1:303">
      <c r="A57" t="str">
        <f>Sheet!A57</f>
        <v>Cu 001</v>
      </c>
      <c r="GW57" s="27">
        <f>SUM(GY57,HC57,HG57,HK57,HO57,HS57,HW57,IA57,IE57,II57,IM57,IQ57,IU57,IY57,JC57,JG57,JK57,JO57,JS57,JW57,KA57,KE57,KI57,KM57,KQ57)/25</f>
        <v>1.1200000000000001</v>
      </c>
      <c r="GY57">
        <f>IF(Sheet!GY57="Совсем нет/Not at all",1,IF(Sheet!GZ57="Немного/A little",2,IF(Sheet!HA57="Довольно сильно/Quite a bit",3,IF(Sheet!HB57="Очень сильно/Extremely",4,""))))</f>
        <v>1</v>
      </c>
      <c r="HC57">
        <f>IF(Sheet!HC57="Совсем нет/Not at all",1,IF(Sheet!HD57="Немного/A little",2,IF(Sheet!HE57="Довольно сильно/Quite a bit",3,IF(Sheet!HF57="Очень сильно/Extremely",4,""))))</f>
        <v>1</v>
      </c>
      <c r="HG57">
        <f>IF(Sheet!HG57="Совсем нет/Not at all",1,IF(Sheet!HH57="Немного/A little",2,IF(Sheet!HI57="Довольно сильно/Quite a bit",3,IF(Sheet!HJ57="Очень сильно/Extremely",4,""))))</f>
        <v>1</v>
      </c>
      <c r="HK57">
        <f>IF(Sheet!HK57="Совсем нет/Not at all",1,IF(Sheet!HL57="Немного/A little",2,IF(Sheet!HM57="Довольно сильно/Quite a bit",3,IF(Sheet!HN57="Очень сильно/Extremely",4,""))))</f>
        <v>2</v>
      </c>
      <c r="HO57">
        <f>IF(Sheet!HO57="Совсем нет/Not at all",1,IF(Sheet!HP57="Немного/A little",2,IF(Sheet!HQ57="Довольно сильно/Quite a bit",3,IF(Sheet!HR57="Очень сильно/Extremely",4,""))))</f>
        <v>1</v>
      </c>
      <c r="HS57">
        <f>IF(Sheet!HS57="Совсем нет/Not at all",1,IF(Sheet!HT57="Немного/A little",2,IF(Sheet!HU57="Довольно сильно/Quite a bit",3,IF(Sheet!HV57="Очень сильно/Extremely",4,""))))</f>
        <v>1</v>
      </c>
      <c r="HW57">
        <f>IF(Sheet!HW57="Совсем нет/Not at all",1,IF(Sheet!HX57="Немного/A little",2,IF(Sheet!HY57="Довольно сильно/Quite a bit",3,IF(Sheet!HZ57="Очень сильно/Extremely",4,""))))</f>
        <v>1</v>
      </c>
      <c r="IA57">
        <f>IF(Sheet!IA57="Совсем нет/Not at all",1,IF(Sheet!IB57="Немного/A little",2,IF(Sheet!IC57="Довольно сильно/Quite a bit",3,IF(Sheet!ID57="Очень сильно/Extremely",4,""))))</f>
        <v>1</v>
      </c>
      <c r="IE57">
        <f>IF(Sheet!IE57="Совсем нет/Not at all",1,IF(Sheet!IF57="Немного/A little",2,IF(Sheet!IG57="Довольно сильно/Quite a bit",3,IF(Sheet!IH57="Очень сильно/Extremely",4,""))))</f>
        <v>1</v>
      </c>
      <c r="II57">
        <f>IF(Sheet!II57="Совсем нет/Not at all",1,IF(Sheet!IJ57="Немного/A little",2,IF(Sheet!IK57="Довольно сильно/Quite a bit",3,IF(Sheet!IL57="Очень сильно/Extremely",4,""))))</f>
        <v>1</v>
      </c>
      <c r="IM57">
        <f>IF(Sheet!IM57="Совсем нет/Not at all",1,IF(Sheet!IN57="Немного/A little",2,IF(Sheet!IO57="Довольно сильно/Quite a bit",3,IF(Sheet!IP57="Очень сильно/Extremely",4,""))))</f>
        <v>1</v>
      </c>
      <c r="IQ57">
        <f>IF(Sheet!IQ57="Совсем нет/Not at all",1,IF(Sheet!IR57="Немного/A little",2,IF(Sheet!IS57="Довольно сильно/Quite a bit ",3,IF(Sheet!IT57="Очень сильно/Extremely ",4,""))))</f>
        <v>1</v>
      </c>
      <c r="IU57">
        <f>IF(Sheet!IU57="Совсем нет/Not at all",1,IF(Sheet!IV57="Немного/A little",2,IF(Sheet!IW57="Довольно сильно/Quite a bit ",3,IF(Sheet!IX57="Очень сильно/Extremely ",4,""))))</f>
        <v>1</v>
      </c>
      <c r="IY57">
        <f>IF(Sheet!IY57="Совсем нет/Not at all",1,IF(Sheet!IZ57="Немного/A little",2,IF(Sheet!JA57="Довольно сильно/Quite a bit ",3,IF(Sheet!JB57="Очень сильно/Extremely ",4,""))))</f>
        <v>2</v>
      </c>
      <c r="JC57">
        <f>IF(Sheet!JC57="Совсем нет/Not at all",1,IF(Sheet!JD57="Немного/A little",2,IF(Sheet!JE57="Довольно сильно/Quite a bit ",3,IF(Sheet!JF57="Очень сильно/Extremely ",4,""))))</f>
        <v>1</v>
      </c>
      <c r="JG57">
        <f>IF(Sheet!JG57="Совсем нет/Not at all",1,IF(Sheet!JH57="Немного/A little",2,IF(Sheet!JI57="Довольно сильно/Quite a bit ",3,IF(Sheet!JJ57="Очень сильно/Extremely ",4,""))))</f>
        <v>1</v>
      </c>
      <c r="JK57">
        <f>IF(Sheet!JK57="Совсем нет/Not at all",1,IF(Sheet!JL57="Немного/A little",2,IF(Sheet!JM57="Довольно сильно/Quite a bit ",3,IF(Sheet!JN57="Очень сильно/Extremely ",4,""))))</f>
        <v>1</v>
      </c>
      <c r="JO57">
        <f>IF(Sheet!JO57="Совсем нет/Not at all",1,IF(Sheet!JP57="Немного/A little",2,IF(Sheet!JQ57="Довольно сильно/Quite a bit",3,IF(Sheet!JR57="Очень сильно/Extremely",4,""))))</f>
        <v>1</v>
      </c>
      <c r="JS57">
        <f>IF(Sheet!JS57="Совсем нет/Not at all",1,IF(Sheet!JT57="Немного/A little",2,IF(Sheet!JU57="Довольно сильно/Quite a bit",3,IF(Sheet!JV57="Очень сильно/Extremely",4,""))))</f>
        <v>1</v>
      </c>
      <c r="JW57">
        <f>IF(Sheet!JW57="Совсем нет/Not at all",1,IF(Sheet!JX57="Немного/A little",2,IF(Sheet!JY57="Довольно сильно/Quite a bit",3,IF(Sheet!JZ57="Очень сильно/Extremely",4,""))))</f>
        <v>1</v>
      </c>
      <c r="KA57">
        <f>IF(Sheet!KA57="Совсем нет/Not at all",1,IF(Sheet!KB57="Немного/A little",2,IF(Sheet!KC57="Довольно сильно/Quite a bit",3,IF(Sheet!KD57="Очень сильно/Extremely",4,""))))</f>
        <v>2</v>
      </c>
      <c r="KE57">
        <f>IF(Sheet!KE57="Совсем нет/Not at all",1,IF(Sheet!KF57="Немного/A little",2,IF(Sheet!KG57="Довольно сильно/Quite a bit",3,IF(Sheet!KH57="Очень сильно/Extremely",4,""))))</f>
        <v>1</v>
      </c>
      <c r="KI57">
        <f>IF(Sheet!KI57="Совсем нет/Not at all",1,IF(Sheet!KJ57="Немного/A little",2,IF(Sheet!KK57="Довольно сильно/Quite a bit",3,IF(Sheet!KL57="Очень сильно/Extremely",4,""))))</f>
        <v>1</v>
      </c>
      <c r="KM57">
        <f>IF(Sheet!KM57="Совсем нет/Not at all",1,IF(Sheet!KN57="Немного/A little",2,IF(Sheet!KO57="Довольно сильно/Quite a bit",3,IF(Sheet!KP57="Очень сильно/Extremely",4,""))))</f>
        <v>1</v>
      </c>
      <c r="KQ57">
        <f>IF(Sheet!KQ57="Совсем нет/Not at all",1,IF(Sheet!KR57="Немного/A little",2,IF(Sheet!KS57="Довольно сильно/Quite a bit",3,IF(Sheet!KT57="Очень сильно/Extremely",4,""))))</f>
        <v>1</v>
      </c>
    </row>
    <row r="58" spans="1:303">
      <c r="A58" t="str">
        <f>Sheet!A58</f>
        <v>XO001</v>
      </c>
      <c r="GW58" s="27">
        <f>SUM(GY58,HC58,HG58,HK58,HO58,HS58,HW58,IA58,IE58,II58,IM58,IQ58,IU58,IY58,JC58,JG58,JK58,JO58,JS58,JW58,KA58,KE58,KI58,KM58,KQ58)/25</f>
        <v>1.64</v>
      </c>
      <c r="GY58">
        <f>IF(Sheet!GY58="Совсем нет/Not at all",1,IF(Sheet!GZ58="Немного/A little",2,IF(Sheet!HA58="Довольно сильно/Quite a bit",3,IF(Sheet!HB58="Очень сильно/Extremely",4,""))))</f>
        <v>2</v>
      </c>
      <c r="HC58">
        <f>IF(Sheet!HC58="Совсем нет/Not at all",1,IF(Sheet!HD58="Немного/A little",2,IF(Sheet!HE58="Довольно сильно/Quite a bit",3,IF(Sheet!HF58="Очень сильно/Extremely",4,""))))</f>
        <v>1</v>
      </c>
      <c r="HG58">
        <f>IF(Sheet!HG58="Совсем нет/Not at all",1,IF(Sheet!HH58="Немного/A little",2,IF(Sheet!HI58="Довольно сильно/Quite a bit",3,IF(Sheet!HJ58="Очень сильно/Extremely",4,""))))</f>
        <v>2</v>
      </c>
      <c r="HK58">
        <f>IF(Sheet!HK58="Совсем нет/Not at all",1,IF(Sheet!HL58="Немного/A little",2,IF(Sheet!HM58="Довольно сильно/Quite a bit",3,IF(Sheet!HN58="Очень сильно/Extremely",4,""))))</f>
        <v>2</v>
      </c>
      <c r="HO58">
        <f>IF(Sheet!HO58="Совсем нет/Not at all",1,IF(Sheet!HP58="Немного/A little",2,IF(Sheet!HQ58="Довольно сильно/Quite a bit",3,IF(Sheet!HR58="Очень сильно/Extremely",4,""))))</f>
        <v>2</v>
      </c>
      <c r="HS58">
        <f>IF(Sheet!HS58="Совсем нет/Not at all",1,IF(Sheet!HT58="Немного/A little",2,IF(Sheet!HU58="Довольно сильно/Quite a bit",3,IF(Sheet!HV58="Очень сильно/Extremely",4,""))))</f>
        <v>1</v>
      </c>
      <c r="HW58">
        <f>IF(Sheet!HW58="Совсем нет/Not at all",1,IF(Sheet!HX58="Немного/A little",2,IF(Sheet!HY58="Довольно сильно/Quite a bit",3,IF(Sheet!HZ58="Очень сильно/Extremely",4,""))))</f>
        <v>2</v>
      </c>
      <c r="IA58">
        <f>IF(Sheet!IA58="Совсем нет/Not at all",1,IF(Sheet!IB58="Немного/A little",2,IF(Sheet!IC58="Довольно сильно/Quite a bit",3,IF(Sheet!ID58="Очень сильно/Extremely",4,""))))</f>
        <v>3</v>
      </c>
      <c r="IE58">
        <f>IF(Sheet!IE58="Совсем нет/Not at all",1,IF(Sheet!IF58="Немного/A little",2,IF(Sheet!IG58="Довольно сильно/Quite a bit",3,IF(Sheet!IH58="Очень сильно/Extremely",4,""))))</f>
        <v>3</v>
      </c>
      <c r="II58">
        <f>IF(Sheet!II58="Совсем нет/Not at all",1,IF(Sheet!IJ58="Немного/A little",2,IF(Sheet!IK58="Довольно сильно/Quite a bit",3,IF(Sheet!IL58="Очень сильно/Extremely",4,""))))</f>
        <v>4</v>
      </c>
      <c r="IM58">
        <f>IF(Sheet!IM58="Совсем нет/Not at all",1,IF(Sheet!IN58="Немного/A little",2,IF(Sheet!IO58="Довольно сильно/Quite a bit",3,IF(Sheet!IP58="Очень сильно/Extremely",4,""))))</f>
        <v>1</v>
      </c>
      <c r="IQ58">
        <f>IF(Sheet!IQ58="Совсем нет/Not at all",1,IF(Sheet!IR58="Немного/A little",2,IF(Sheet!IS58="Довольно сильно/Quite a bit ",3,IF(Sheet!IT58="Очень сильно/Extremely ",4,""))))</f>
        <v>1</v>
      </c>
      <c r="IU58">
        <f>IF(Sheet!IU58="Совсем нет/Not at all",1,IF(Sheet!IV58="Немного/A little",2,IF(Sheet!IW58="Довольно сильно/Quite a bit ",3,IF(Sheet!IX58="Очень сильно/Extremely ",4,""))))</f>
        <v>2</v>
      </c>
      <c r="IY58">
        <f>IF(Sheet!IY58="Совсем нет/Not at all",1,IF(Sheet!IZ58="Немного/A little",2,IF(Sheet!JA58="Довольно сильно/Quite a bit ",3,IF(Sheet!JB58="Очень сильно/Extremely ",4,""))))</f>
        <v>2</v>
      </c>
      <c r="JC58">
        <f>IF(Sheet!JC58="Совсем нет/Not at all",1,IF(Sheet!JD58="Немного/A little",2,IF(Sheet!JE58="Довольно сильно/Quite a bit ",3,IF(Sheet!JF58="Очень сильно/Extremely ",4,""))))</f>
        <v>1</v>
      </c>
      <c r="JG58">
        <f>IF(Sheet!JG58="Совсем нет/Not at all",1,IF(Sheet!JH58="Немного/A little",2,IF(Sheet!JI58="Довольно сильно/Quite a bit ",3,IF(Sheet!JJ58="Очень сильно/Extremely ",4,""))))</f>
        <v>1</v>
      </c>
      <c r="JK58">
        <f>IF(Sheet!JK58="Совсем нет/Not at all",1,IF(Sheet!JL58="Немного/A little",2,IF(Sheet!JM58="Довольно сильно/Quite a bit ",3,IF(Sheet!JN58="Очень сильно/Extremely ",4,""))))</f>
        <v>3</v>
      </c>
      <c r="JO58" t="str">
        <f>IF(Sheet!JO58="Совсем нет/Not at all",1,IF(Sheet!JP58="Немного/A little",2,IF(Sheet!JQ58="Довольно сильно/Quite a bit",3,IF(Sheet!JR58="Очень сильно/Extremely",4,""))))</f>
        <v/>
      </c>
      <c r="JS58">
        <f>IF(Sheet!JS58="Совсем нет/Not at all",1,IF(Sheet!JT58="Немного/A little",2,IF(Sheet!JU58="Довольно сильно/Quite a bit",3,IF(Sheet!JV58="Очень сильно/Extremely",4,""))))</f>
        <v>1</v>
      </c>
      <c r="JW58">
        <f>IF(Sheet!JW58="Совсем нет/Not at all",1,IF(Sheet!JX58="Немного/A little",2,IF(Sheet!JY58="Довольно сильно/Quite a bit",3,IF(Sheet!JZ58="Очень сильно/Extremely",4,""))))</f>
        <v>1</v>
      </c>
      <c r="KA58">
        <f>IF(Sheet!KA58="Совсем нет/Not at all",1,IF(Sheet!KB58="Немного/A little",2,IF(Sheet!KC58="Довольно сильно/Quite a bit",3,IF(Sheet!KD58="Очень сильно/Extremely",4,""))))</f>
        <v>1</v>
      </c>
      <c r="KE58">
        <f>IF(Sheet!KE58="Совсем нет/Not at all",1,IF(Sheet!KF58="Немного/A little",2,IF(Sheet!KG58="Довольно сильно/Quite a bit",3,IF(Sheet!KH58="Очень сильно/Extremely",4,""))))</f>
        <v>2</v>
      </c>
      <c r="KI58">
        <f>IF(Sheet!KI58="Совсем нет/Not at all",1,IF(Sheet!KJ58="Немного/A little",2,IF(Sheet!KK58="Довольно сильно/Quite a bit",3,IF(Sheet!KL58="Очень сильно/Extremely",4,""))))</f>
        <v>1</v>
      </c>
      <c r="KM58">
        <f>IF(Sheet!KM58="Совсем нет/Not at all",1,IF(Sheet!KN58="Немного/A little",2,IF(Sheet!KO58="Довольно сильно/Quite a bit",3,IF(Sheet!KP58="Очень сильно/Extremely",4,""))))</f>
        <v>1</v>
      </c>
      <c r="KQ58">
        <f>IF(Sheet!KQ58="Совсем нет/Not at all",1,IF(Sheet!KR58="Немного/A little",2,IF(Sheet!KS58="Довольно сильно/Quite a bit",3,IF(Sheet!KT58="Очень сильно/Extremely",4,""))))</f>
        <v>1</v>
      </c>
    </row>
    <row r="59" spans="1:303">
      <c r="A59" t="str">
        <f>Sheet!A59</f>
        <v>CN001</v>
      </c>
      <c r="GW59" s="27">
        <f>SUM(GY59,HC59,HG59,HK59,HO59,HS59,HW59,IA59,IE59,II59,IM59,IQ59,IU59,IY59,JC59,JG59,JK59,JO59,JS59,JW59,KA59,KE59,KI59,KM59,KQ59)/25</f>
        <v>2.12</v>
      </c>
      <c r="GY59">
        <f>IF(Sheet!GY59="Совсем нет/Not at all",1,IF(Sheet!GZ59="Немного/A little",2,IF(Sheet!HA59="Довольно сильно/Quite a bit",3,IF(Sheet!HB59="Очень сильно/Extremely",4,""))))</f>
        <v>2</v>
      </c>
      <c r="HC59">
        <f>IF(Sheet!HC59="Совсем нет/Not at all",1,IF(Sheet!HD59="Немного/A little",2,IF(Sheet!HE59="Довольно сильно/Quite a bit",3,IF(Sheet!HF59="Очень сильно/Extremely",4,""))))</f>
        <v>2</v>
      </c>
      <c r="HG59">
        <f>IF(Sheet!HG59="Совсем нет/Not at all",1,IF(Sheet!HH59="Немного/A little",2,IF(Sheet!HI59="Довольно сильно/Quite a bit",3,IF(Sheet!HJ59="Очень сильно/Extremely",4,""))))</f>
        <v>1</v>
      </c>
      <c r="HK59">
        <f>IF(Sheet!HK59="Совсем нет/Not at all",1,IF(Sheet!HL59="Немного/A little",2,IF(Sheet!HM59="Довольно сильно/Quite a bit",3,IF(Sheet!HN59="Очень сильно/Extremely",4,""))))</f>
        <v>3</v>
      </c>
      <c r="HO59">
        <f>IF(Sheet!HO59="Совсем нет/Not at all",1,IF(Sheet!HP59="Немного/A little",2,IF(Sheet!HQ59="Довольно сильно/Quite a bit",3,IF(Sheet!HR59="Очень сильно/Extremely",4,""))))</f>
        <v>1</v>
      </c>
      <c r="HS59">
        <f>IF(Sheet!HS59="Совсем нет/Not at all",1,IF(Sheet!HT59="Немного/A little",2,IF(Sheet!HU59="Довольно сильно/Quite a bit",3,IF(Sheet!HV59="Очень сильно/Extremely",4,""))))</f>
        <v>2</v>
      </c>
      <c r="HW59">
        <f>IF(Sheet!HW59="Совсем нет/Not at all",1,IF(Sheet!HX59="Немного/A little",2,IF(Sheet!HY59="Довольно сильно/Quite a bit",3,IF(Sheet!HZ59="Очень сильно/Extremely",4,""))))</f>
        <v>2</v>
      </c>
      <c r="IA59">
        <f>IF(Sheet!IA59="Совсем нет/Not at all",1,IF(Sheet!IB59="Немного/A little",2,IF(Sheet!IC59="Довольно сильно/Quite a bit",3,IF(Sheet!ID59="Очень сильно/Extremely",4,""))))</f>
        <v>3</v>
      </c>
      <c r="IE59">
        <f>IF(Sheet!IE59="Совсем нет/Not at all",1,IF(Sheet!IF59="Немного/A little",2,IF(Sheet!IG59="Довольно сильно/Quite a bit",3,IF(Sheet!IH59="Очень сильно/Extremely",4,""))))</f>
        <v>3</v>
      </c>
      <c r="II59">
        <f>IF(Sheet!II59="Совсем нет/Not at all",1,IF(Sheet!IJ59="Немного/A little",2,IF(Sheet!IK59="Довольно сильно/Quite a bit",3,IF(Sheet!IL59="Очень сильно/Extremely",4,""))))</f>
        <v>3</v>
      </c>
      <c r="IM59">
        <f>IF(Sheet!IM59="Совсем нет/Not at all",1,IF(Sheet!IN59="Немного/A little",2,IF(Sheet!IO59="Довольно сильно/Quite a bit",3,IF(Sheet!IP59="Очень сильно/Extremely",4,""))))</f>
        <v>2</v>
      </c>
      <c r="IQ59">
        <f>IF(Sheet!IQ59="Совсем нет/Not at all",1,IF(Sheet!IR59="Немного/A little",2,IF(Sheet!IS59="Довольно сильно/Quite a bit ",3,IF(Sheet!IT59="Очень сильно/Extremely ",4,""))))</f>
        <v>1</v>
      </c>
      <c r="IU59">
        <f>IF(Sheet!IU59="Совсем нет/Not at all",1,IF(Sheet!IV59="Немного/A little",2,IF(Sheet!IW59="Довольно сильно/Quite a bit ",3,IF(Sheet!IX59="Очень сильно/Extremely ",4,""))))</f>
        <v>2</v>
      </c>
      <c r="IY59">
        <f>IF(Sheet!IY59="Совсем нет/Not at all",1,IF(Sheet!IZ59="Немного/A little",2,IF(Sheet!JA59="Довольно сильно/Quite a bit ",3,IF(Sheet!JB59="Очень сильно/Extremely ",4,""))))</f>
        <v>3</v>
      </c>
      <c r="JC59">
        <f>IF(Sheet!JC59="Совсем нет/Not at all",1,IF(Sheet!JD59="Немного/A little",2,IF(Sheet!JE59="Довольно сильно/Quite a bit ",3,IF(Sheet!JF59="Очень сильно/Extremely ",4,""))))</f>
        <v>2</v>
      </c>
      <c r="JG59">
        <f>IF(Sheet!JG59="Совсем нет/Not at all",1,IF(Sheet!JH59="Немного/A little",2,IF(Sheet!JI59="Довольно сильно/Quite a bit ",3,IF(Sheet!JJ59="Очень сильно/Extremely ",4,""))))</f>
        <v>2</v>
      </c>
      <c r="JK59">
        <f>IF(Sheet!JK59="Совсем нет/Not at all",1,IF(Sheet!JL59="Немного/A little",2,IF(Sheet!JM59="Довольно сильно/Quite a bit ",3,IF(Sheet!JN59="Очень сильно/Extremely ",4,""))))</f>
        <v>2</v>
      </c>
      <c r="JO59" t="str">
        <f>IF(Sheet!JO59="Совсем нет/Not at all",1,IF(Sheet!JP59="Немного/A little",2,IF(Sheet!JQ59="Довольно сильно/Quite a bit",3,IF(Sheet!JR59="Очень сильно/Extremely",4,""))))</f>
        <v/>
      </c>
      <c r="JS59">
        <f>IF(Sheet!JS59="Совсем нет/Not at all",1,IF(Sheet!JT59="Немного/A little",2,IF(Sheet!JU59="Довольно сильно/Quite a bit",3,IF(Sheet!JV59="Очень сильно/Extremely",4,""))))</f>
        <v>3</v>
      </c>
      <c r="JW59">
        <f>IF(Sheet!JW59="Совсем нет/Not at all",1,IF(Sheet!JX59="Немного/A little",2,IF(Sheet!JY59="Довольно сильно/Quite a bit",3,IF(Sheet!JZ59="Очень сильно/Extremely",4,""))))</f>
        <v>4</v>
      </c>
      <c r="KA59">
        <f>IF(Sheet!KA59="Совсем нет/Not at all",1,IF(Sheet!KB59="Немного/A little",2,IF(Sheet!KC59="Довольно сильно/Quite a bit",3,IF(Sheet!KD59="Очень сильно/Extremely",4,""))))</f>
        <v>2</v>
      </c>
      <c r="KE59">
        <f>IF(Sheet!KE59="Совсем нет/Not at all",1,IF(Sheet!KF59="Немного/A little",2,IF(Sheet!KG59="Довольно сильно/Quite a bit",3,IF(Sheet!KH59="Очень сильно/Extremely",4,""))))</f>
        <v>1</v>
      </c>
      <c r="KI59">
        <f>IF(Sheet!KI59="Совсем нет/Not at all",1,IF(Sheet!KJ59="Немного/A little",2,IF(Sheet!KK59="Довольно сильно/Quite a bit",3,IF(Sheet!KL59="Очень сильно/Extremely",4,""))))</f>
        <v>4</v>
      </c>
      <c r="KM59">
        <f>IF(Sheet!KM59="Совсем нет/Not at all",1,IF(Sheet!KN59="Немного/A little",2,IF(Sheet!KO59="Довольно сильно/Quite a bit",3,IF(Sheet!KP59="Очень сильно/Extremely",4,""))))</f>
        <v>2</v>
      </c>
      <c r="KQ59">
        <f>IF(Sheet!KQ59="Совсем нет/Not at all",1,IF(Sheet!KR59="Немного/A little",2,IF(Sheet!KS59="Довольно сильно/Quite a bit",3,IF(Sheet!KT59="Очень сильно/Extremely",4,""))))</f>
        <v>1</v>
      </c>
    </row>
    <row r="60" spans="1:303">
      <c r="A60" t="str">
        <f>Sheet!A60</f>
        <v>CR001</v>
      </c>
      <c r="GW60" s="27">
        <f>SUM(GY60,HC60,HG60,HK60,HO60,HS60,HW60,IA60,IE60,II60,IM60,IQ60,IU60,IY60,JC60,JG60,JK60,JO60,JS60,JW60,KA60,KE60,KI60,KM60,KQ60)/25</f>
        <v>1.76</v>
      </c>
      <c r="GY60">
        <f>IF(Sheet!GY60="Совсем нет/Not at all",1,IF(Sheet!GZ60="Немного/A little",2,IF(Sheet!HA60="Довольно сильно/Quite a bit",3,IF(Sheet!HB60="Очень сильно/Extremely",4,""))))</f>
        <v>2</v>
      </c>
      <c r="HC60">
        <f>IF(Sheet!HC60="Совсем нет/Not at all",1,IF(Sheet!HD60="Немного/A little",2,IF(Sheet!HE60="Довольно сильно/Quite a bit",3,IF(Sheet!HF60="Очень сильно/Extremely",4,""))))</f>
        <v>1</v>
      </c>
      <c r="HG60">
        <f>IF(Sheet!HG60="Совсем нет/Not at all",1,IF(Sheet!HH60="Немного/A little",2,IF(Sheet!HI60="Довольно сильно/Quite a bit",3,IF(Sheet!HJ60="Очень сильно/Extremely",4,""))))</f>
        <v>1</v>
      </c>
      <c r="HK60">
        <f>IF(Sheet!HK60="Совсем нет/Not at all",1,IF(Sheet!HL60="Немного/A little",2,IF(Sheet!HM60="Довольно сильно/Quite a bit",3,IF(Sheet!HN60="Очень сильно/Extremely",4,""))))</f>
        <v>2</v>
      </c>
      <c r="HO60">
        <f>IF(Sheet!HO60="Совсем нет/Not at all",1,IF(Sheet!HP60="Немного/A little",2,IF(Sheet!HQ60="Довольно сильно/Quite a bit",3,IF(Sheet!HR60="Очень сильно/Extremely",4,""))))</f>
        <v>1</v>
      </c>
      <c r="HS60">
        <f>IF(Sheet!HS60="Совсем нет/Not at all",1,IF(Sheet!HT60="Немного/A little",2,IF(Sheet!HU60="Довольно сильно/Quite a bit",3,IF(Sheet!HV60="Очень сильно/Extremely",4,""))))</f>
        <v>2</v>
      </c>
      <c r="HW60">
        <f>IF(Sheet!HW60="Совсем нет/Not at all",1,IF(Sheet!HX60="Немного/A little",2,IF(Sheet!HY60="Довольно сильно/Quite a bit",3,IF(Sheet!HZ60="Очень сильно/Extremely",4,""))))</f>
        <v>3</v>
      </c>
      <c r="IA60">
        <f>IF(Sheet!IA60="Совсем нет/Not at all",1,IF(Sheet!IB60="Немного/A little",2,IF(Sheet!IC60="Довольно сильно/Quite a bit",3,IF(Sheet!ID60="Очень сильно/Extremely",4,""))))</f>
        <v>4</v>
      </c>
      <c r="IE60">
        <f>IF(Sheet!IE60="Совсем нет/Not at all",1,IF(Sheet!IF60="Немного/A little",2,IF(Sheet!IG60="Довольно сильно/Quite a bit",3,IF(Sheet!IH60="Очень сильно/Extremely",4,""))))</f>
        <v>2</v>
      </c>
      <c r="II60">
        <f>IF(Sheet!II60="Совсем нет/Not at all",1,IF(Sheet!IJ60="Немного/A little",2,IF(Sheet!IK60="Довольно сильно/Quite a bit",3,IF(Sheet!IL60="Очень сильно/Extremely",4,""))))</f>
        <v>3</v>
      </c>
      <c r="IM60">
        <f>IF(Sheet!IM60="Совсем нет/Not at all",1,IF(Sheet!IN60="Немного/A little",2,IF(Sheet!IO60="Довольно сильно/Quite a bit",3,IF(Sheet!IP60="Очень сильно/Extremely",4,""))))</f>
        <v>1</v>
      </c>
      <c r="IQ60">
        <f>IF(Sheet!IQ60="Совсем нет/Not at all",1,IF(Sheet!IR60="Немного/A little",2,IF(Sheet!IS60="Довольно сильно/Quite a bit ",3,IF(Sheet!IT60="Очень сильно/Extremely ",4,""))))</f>
        <v>1</v>
      </c>
      <c r="IU60">
        <f>IF(Sheet!IU60="Совсем нет/Not at all",1,IF(Sheet!IV60="Немного/A little",2,IF(Sheet!IW60="Довольно сильно/Quite a bit ",3,IF(Sheet!IX60="Очень сильно/Extremely ",4,""))))</f>
        <v>2</v>
      </c>
      <c r="IY60">
        <f>IF(Sheet!IY60="Совсем нет/Not at all",1,IF(Sheet!IZ60="Немного/A little",2,IF(Sheet!JA60="Довольно сильно/Quite a bit ",3,IF(Sheet!JB60="Очень сильно/Extremely ",4,""))))</f>
        <v>4</v>
      </c>
      <c r="JC60">
        <f>IF(Sheet!JC60="Совсем нет/Not at all",1,IF(Sheet!JD60="Немного/A little",2,IF(Sheet!JE60="Довольно сильно/Quite a bit ",3,IF(Sheet!JF60="Очень сильно/Extremely ",4,""))))</f>
        <v>1</v>
      </c>
      <c r="JG60">
        <f>IF(Sheet!JG60="Совсем нет/Not at all",1,IF(Sheet!JH60="Немного/A little",2,IF(Sheet!JI60="Довольно сильно/Quite a bit ",3,IF(Sheet!JJ60="Очень сильно/Extremely ",4,""))))</f>
        <v>1</v>
      </c>
      <c r="JK60">
        <f>IF(Sheet!JK60="Совсем нет/Not at all",1,IF(Sheet!JL60="Немного/A little",2,IF(Sheet!JM60="Довольно сильно/Quite a bit ",3,IF(Sheet!JN60="Очень сильно/Extremely ",4,""))))</f>
        <v>1</v>
      </c>
      <c r="JO60">
        <f>IF(Sheet!JO60="Совсем нет/Not at all",1,IF(Sheet!JP60="Немного/A little",2,IF(Sheet!JQ60="Довольно сильно/Quite a bit",3,IF(Sheet!JR60="Очень сильно/Extremely",4,""))))</f>
        <v>1</v>
      </c>
      <c r="JS60">
        <f>IF(Sheet!JS60="Совсем нет/Not at all",1,IF(Sheet!JT60="Немного/A little",2,IF(Sheet!JU60="Довольно сильно/Quite a bit",3,IF(Sheet!JV60="Очень сильно/Extremely",4,""))))</f>
        <v>1</v>
      </c>
      <c r="JW60">
        <f>IF(Sheet!JW60="Совсем нет/Not at all",1,IF(Sheet!JX60="Немного/A little",2,IF(Sheet!JY60="Довольно сильно/Quite a bit",3,IF(Sheet!JZ60="Очень сильно/Extremely",4,""))))</f>
        <v>1</v>
      </c>
      <c r="KA60">
        <f>IF(Sheet!KA60="Совсем нет/Not at all",1,IF(Sheet!KB60="Немного/A little",2,IF(Sheet!KC60="Довольно сильно/Quite a bit",3,IF(Sheet!KD60="Очень сильно/Extremely",4,""))))</f>
        <v>3</v>
      </c>
      <c r="KE60">
        <f>IF(Sheet!KE60="Совсем нет/Not at all",1,IF(Sheet!KF60="Немного/A little",2,IF(Sheet!KG60="Довольно сильно/Quite a bit",3,IF(Sheet!KH60="Очень сильно/Extremely",4,""))))</f>
        <v>1</v>
      </c>
      <c r="KI60">
        <f>IF(Sheet!KI60="Совсем нет/Not at all",1,IF(Sheet!KJ60="Немного/A little",2,IF(Sheet!KK60="Довольно сильно/Quite a bit",3,IF(Sheet!KL60="Очень сильно/Extremely",4,""))))</f>
        <v>3</v>
      </c>
      <c r="KM60">
        <f>IF(Sheet!KM60="Совсем нет/Not at all",1,IF(Sheet!KN60="Немного/A little",2,IF(Sheet!KO60="Довольно сильно/Quite a bit",3,IF(Sheet!KP60="Очень сильно/Extremely",4,""))))</f>
        <v>1</v>
      </c>
      <c r="KQ60">
        <f>IF(Sheet!KQ60="Совсем нет/Not at all",1,IF(Sheet!KR60="Немного/A little",2,IF(Sheet!KS60="Довольно сильно/Quite a bit",3,IF(Sheet!KT60="Очень сильно/Extremely",4,""))))</f>
        <v>1</v>
      </c>
    </row>
    <row r="61" spans="1:303">
      <c r="A61" t="str">
        <f>Sheet!A61</f>
        <v>CI001</v>
      </c>
      <c r="GW61" s="27">
        <f>SUM(GY61,HC61,HG61,HK61,HO61,HS61,HW61,IA61,IE61,II61,IM61,IQ61,IU61,IY61,JC61,JG61,JK61,JO61,JS61,JW61,KA61,KE61,KI61,KM61,KQ61)/25</f>
        <v>2.6</v>
      </c>
      <c r="GY61">
        <f>IF(Sheet!GY61="Совсем нет/Not at all",1,IF(Sheet!GZ61="Немного/A little",2,IF(Sheet!HA61="Довольно сильно/Quite a bit",3,IF(Sheet!HB61="Очень сильно/Extremely",4,""))))</f>
        <v>2</v>
      </c>
      <c r="HC61">
        <f>IF(Sheet!HC61="Совсем нет/Not at all",1,IF(Sheet!HD61="Немного/A little",2,IF(Sheet!HE61="Довольно сильно/Quite a bit",3,IF(Sheet!HF61="Очень сильно/Extremely",4,""))))</f>
        <v>4</v>
      </c>
      <c r="HG61">
        <f>IF(Sheet!HG61="Совсем нет/Not at all",1,IF(Sheet!HH61="Немного/A little",2,IF(Sheet!HI61="Довольно сильно/Quite a bit",3,IF(Sheet!HJ61="Очень сильно/Extremely",4,""))))</f>
        <v>2</v>
      </c>
      <c r="HK61">
        <f>IF(Sheet!HK61="Совсем нет/Not at all",1,IF(Sheet!HL61="Немного/A little",2,IF(Sheet!HM61="Довольно сильно/Quite a bit",3,IF(Sheet!HN61="Очень сильно/Extremely",4,""))))</f>
        <v>3</v>
      </c>
      <c r="HO61">
        <f>IF(Sheet!HO61="Совсем нет/Not at all",1,IF(Sheet!HP61="Немного/A little",2,IF(Sheet!HQ61="Довольно сильно/Quite a bit",3,IF(Sheet!HR61="Очень сильно/Extremely",4,""))))</f>
        <v>2</v>
      </c>
      <c r="HS61">
        <f>IF(Sheet!HS61="Совсем нет/Not at all",1,IF(Sheet!HT61="Немного/A little",2,IF(Sheet!HU61="Довольно сильно/Quite a bit",3,IF(Sheet!HV61="Очень сильно/Extremely",4,""))))</f>
        <v>4</v>
      </c>
      <c r="HW61">
        <f>IF(Sheet!HW61="Совсем нет/Not at all",1,IF(Sheet!HX61="Немного/A little",2,IF(Sheet!HY61="Довольно сильно/Quite a bit",3,IF(Sheet!HZ61="Очень сильно/Extremely",4,""))))</f>
        <v>3</v>
      </c>
      <c r="IA61">
        <f>IF(Sheet!IA61="Совсем нет/Not at all",1,IF(Sheet!IB61="Немного/A little",2,IF(Sheet!IC61="Довольно сильно/Quite a bit",3,IF(Sheet!ID61="Очень сильно/Extremely",4,""))))</f>
        <v>3</v>
      </c>
      <c r="IE61">
        <f>IF(Sheet!IE61="Совсем нет/Not at all",1,IF(Sheet!IF61="Немного/A little",2,IF(Sheet!IG61="Довольно сильно/Quite a bit",3,IF(Sheet!IH61="Очень сильно/Extremely",4,""))))</f>
        <v>3</v>
      </c>
      <c r="II61">
        <f>IF(Sheet!II61="Совсем нет/Not at all",1,IF(Sheet!IJ61="Немного/A little",2,IF(Sheet!IK61="Довольно сильно/Quite a bit",3,IF(Sheet!IL61="Очень сильно/Extremely",4,""))))</f>
        <v>4</v>
      </c>
      <c r="IM61">
        <f>IF(Sheet!IM61="Совсем нет/Not at all",1,IF(Sheet!IN61="Немного/A little",2,IF(Sheet!IO61="Довольно сильно/Quite a bit",3,IF(Sheet!IP61="Очень сильно/Extremely",4,""))))</f>
        <v>4</v>
      </c>
      <c r="IQ61">
        <f>IF(Sheet!IQ61="Совсем нет/Not at all",1,IF(Sheet!IR61="Немного/A little",2,IF(Sheet!IS61="Довольно сильно/Quite a bit ",3,IF(Sheet!IT61="Очень сильно/Extremely ",4,""))))</f>
        <v>1</v>
      </c>
      <c r="IU61">
        <f>IF(Sheet!IU61="Совсем нет/Not at all",1,IF(Sheet!IV61="Немного/A little",2,IF(Sheet!IW61="Довольно сильно/Quite a bit ",3,IF(Sheet!IX61="Очень сильно/Extremely ",4,""))))</f>
        <v>2</v>
      </c>
      <c r="IY61">
        <f>IF(Sheet!IY61="Совсем нет/Not at all",1,IF(Sheet!IZ61="Немного/A little",2,IF(Sheet!JA61="Довольно сильно/Quite a bit ",3,IF(Sheet!JB61="Очень сильно/Extremely ",4,""))))</f>
        <v>2</v>
      </c>
      <c r="JC61">
        <f>IF(Sheet!JC61="Совсем нет/Not at all",1,IF(Sheet!JD61="Немного/A little",2,IF(Sheet!JE61="Довольно сильно/Quite a bit ",3,IF(Sheet!JF61="Очень сильно/Extremely ",4,""))))</f>
        <v>3</v>
      </c>
      <c r="JG61">
        <f>IF(Sheet!JG61="Совсем нет/Not at all",1,IF(Sheet!JH61="Немного/A little",2,IF(Sheet!JI61="Довольно сильно/Quite a bit ",3,IF(Sheet!JJ61="Очень сильно/Extremely ",4,""))))</f>
        <v>4</v>
      </c>
      <c r="JK61">
        <f>IF(Sheet!JK61="Совсем нет/Not at all",1,IF(Sheet!JL61="Немного/A little",2,IF(Sheet!JM61="Довольно сильно/Quite a bit ",3,IF(Sheet!JN61="Очень сильно/Extremely ",4,""))))</f>
        <v>2</v>
      </c>
      <c r="JO61">
        <f>IF(Sheet!JO61="Совсем нет/Not at all",1,IF(Sheet!JP61="Немного/A little",2,IF(Sheet!JQ61="Довольно сильно/Quite a bit",3,IF(Sheet!JR61="Очень сильно/Extremely",4,""))))</f>
        <v>1</v>
      </c>
      <c r="JS61">
        <f>IF(Sheet!JS61="Совсем нет/Not at all",1,IF(Sheet!JT61="Немного/A little",2,IF(Sheet!JU61="Довольно сильно/Quite a bit",3,IF(Sheet!JV61="Очень сильно/Extremely",4,""))))</f>
        <v>1</v>
      </c>
      <c r="JW61">
        <f>IF(Sheet!JW61="Совсем нет/Not at all",1,IF(Sheet!JX61="Немного/A little",2,IF(Sheet!JY61="Довольно сильно/Quite a bit",3,IF(Sheet!JZ61="Очень сильно/Extremely",4,""))))</f>
        <v>2</v>
      </c>
      <c r="KA61">
        <f>IF(Sheet!KA61="Совсем нет/Not at all",1,IF(Sheet!KB61="Немного/A little",2,IF(Sheet!KC61="Довольно сильно/Quite a bit",3,IF(Sheet!KD61="Очень сильно/Extremely",4,""))))</f>
        <v>4</v>
      </c>
      <c r="KE61">
        <f>IF(Sheet!KE61="Совсем нет/Not at all",1,IF(Sheet!KF61="Немного/A little",2,IF(Sheet!KG61="Довольно сильно/Quite a bit",3,IF(Sheet!KH61="Очень сильно/Extremely",4,""))))</f>
        <v>2</v>
      </c>
      <c r="KI61">
        <f>IF(Sheet!KI61="Совсем нет/Not at all",1,IF(Sheet!KJ61="Немного/A little",2,IF(Sheet!KK61="Довольно сильно/Quite a bit",3,IF(Sheet!KL61="Очень сильно/Extremely",4,""))))</f>
        <v>3</v>
      </c>
      <c r="KM61">
        <f>IF(Sheet!KM61="Совсем нет/Not at all",1,IF(Sheet!KN61="Немного/A little",2,IF(Sheet!KO61="Довольно сильно/Quite a bit",3,IF(Sheet!KP61="Очень сильно/Extremely",4,""))))</f>
        <v>1</v>
      </c>
      <c r="KQ61">
        <f>IF(Sheet!KQ61="Совсем нет/Not at all",1,IF(Sheet!KR61="Немного/A little",2,IF(Sheet!KS61="Довольно сильно/Quite a bit",3,IF(Sheet!KT61="Очень сильно/Extremely",4,""))))</f>
        <v>3</v>
      </c>
    </row>
    <row r="62" spans="1:303">
      <c r="A62" t="str">
        <f>Sheet!A62</f>
        <v>CD001</v>
      </c>
      <c r="GW62" s="27">
        <f>SUM(GY62,HC62,HG62,HK62,HO62,HS62,HW62,IA62,IE62,II62,IM62,IQ62,IU62,IY62,JC62,JG62,JK62,JO62,JS62,JW62,KA62,KE62,KI62,KM62,KQ62)/25</f>
        <v>1.8</v>
      </c>
      <c r="GY62">
        <f>IF(Sheet!GY62="Совсем нет/Not at all",1,IF(Sheet!GZ62="Немного/A little",2,IF(Sheet!HA62="Довольно сильно/Quite a bit",3,IF(Sheet!HB62="Очень сильно/Extremely",4,""))))</f>
        <v>2</v>
      </c>
      <c r="HC62">
        <f>IF(Sheet!HC62="Совсем нет/Not at all",1,IF(Sheet!HD62="Немного/A little",2,IF(Sheet!HE62="Довольно сильно/Quite a bit",3,IF(Sheet!HF62="Очень сильно/Extremely",4,""))))</f>
        <v>2</v>
      </c>
      <c r="HG62">
        <f>IF(Sheet!HG62="Совсем нет/Not at all",1,IF(Sheet!HH62="Немного/A little",2,IF(Sheet!HI62="Довольно сильно/Quite a bit",3,IF(Sheet!HJ62="Очень сильно/Extremely",4,""))))</f>
        <v>1</v>
      </c>
      <c r="HK62">
        <f>IF(Sheet!HK62="Совсем нет/Not at all",1,IF(Sheet!HL62="Немного/A little",2,IF(Sheet!HM62="Довольно сильно/Quite a bit",3,IF(Sheet!HN62="Очень сильно/Extremely",4,""))))</f>
        <v>1</v>
      </c>
      <c r="HO62">
        <f>IF(Sheet!HO62="Совсем нет/Not at all",1,IF(Sheet!HP62="Немного/A little",2,IF(Sheet!HQ62="Довольно сильно/Quite a bit",3,IF(Sheet!HR62="Очень сильно/Extremely",4,""))))</f>
        <v>2</v>
      </c>
      <c r="HS62">
        <f>IF(Sheet!HS62="Совсем нет/Not at all",1,IF(Sheet!HT62="Немного/A little",2,IF(Sheet!HU62="Довольно сильно/Quite a bit",3,IF(Sheet!HV62="Очень сильно/Extremely",4,""))))</f>
        <v>2</v>
      </c>
      <c r="HW62">
        <f>IF(Sheet!HW62="Совсем нет/Not at all",1,IF(Sheet!HX62="Немного/A little",2,IF(Sheet!HY62="Довольно сильно/Quite a bit",3,IF(Sheet!HZ62="Очень сильно/Extremely",4,""))))</f>
        <v>2</v>
      </c>
      <c r="IA62">
        <f>IF(Sheet!IA62="Совсем нет/Not at all",1,IF(Sheet!IB62="Немного/A little",2,IF(Sheet!IC62="Довольно сильно/Quite a bit",3,IF(Sheet!ID62="Очень сильно/Extremely",4,""))))</f>
        <v>3</v>
      </c>
      <c r="IE62">
        <f>IF(Sheet!IE62="Совсем нет/Not at all",1,IF(Sheet!IF62="Немного/A little",2,IF(Sheet!IG62="Довольно сильно/Quite a bit",3,IF(Sheet!IH62="Очень сильно/Extremely",4,""))))</f>
        <v>3</v>
      </c>
      <c r="II62">
        <f>IF(Sheet!II62="Совсем нет/Not at all",1,IF(Sheet!IJ62="Немного/A little",2,IF(Sheet!IK62="Довольно сильно/Quite a bit",3,IF(Sheet!IL62="Очень сильно/Extremely",4,""))))</f>
        <v>2</v>
      </c>
      <c r="IM62">
        <f>IF(Sheet!IM62="Совсем нет/Not at all",1,IF(Sheet!IN62="Немного/A little",2,IF(Sheet!IO62="Довольно сильно/Quite a bit",3,IF(Sheet!IP62="Очень сильно/Extremely",4,""))))</f>
        <v>2</v>
      </c>
      <c r="IQ62">
        <f>IF(Sheet!IQ62="Совсем нет/Not at all",1,IF(Sheet!IR62="Немного/A little",2,IF(Sheet!IS62="Довольно сильно/Quite a bit ",3,IF(Sheet!IT62="Очень сильно/Extremely ",4,""))))</f>
        <v>1</v>
      </c>
      <c r="IU62">
        <f>IF(Sheet!IU62="Совсем нет/Not at all",1,IF(Sheet!IV62="Немного/A little",2,IF(Sheet!IW62="Довольно сильно/Quite a bit ",3,IF(Sheet!IX62="Очень сильно/Extremely ",4,""))))</f>
        <v>2</v>
      </c>
      <c r="IY62">
        <f>IF(Sheet!IY62="Совсем нет/Not at all",1,IF(Sheet!IZ62="Немного/A little",2,IF(Sheet!JA62="Довольно сильно/Quite a bit ",3,IF(Sheet!JB62="Очень сильно/Extremely ",4,""))))</f>
        <v>3</v>
      </c>
      <c r="JC62">
        <f>IF(Sheet!JC62="Совсем нет/Not at all",1,IF(Sheet!JD62="Немного/A little",2,IF(Sheet!JE62="Довольно сильно/Quite a bit ",3,IF(Sheet!JF62="Очень сильно/Extremely ",4,""))))</f>
        <v>2</v>
      </c>
      <c r="JG62">
        <f>IF(Sheet!JG62="Совсем нет/Not at all",1,IF(Sheet!JH62="Немного/A little",2,IF(Sheet!JI62="Довольно сильно/Quite a bit ",3,IF(Sheet!JJ62="Очень сильно/Extremely ",4,""))))</f>
        <v>1</v>
      </c>
      <c r="JK62">
        <f>IF(Sheet!JK62="Совсем нет/Not at all",1,IF(Sheet!JL62="Немного/A little",2,IF(Sheet!JM62="Довольно сильно/Quite a bit ",3,IF(Sheet!JN62="Очень сильно/Extremely ",4,""))))</f>
        <v>2</v>
      </c>
      <c r="JO62">
        <f>IF(Sheet!JO62="Совсем нет/Not at all",1,IF(Sheet!JP62="Немного/A little",2,IF(Sheet!JQ62="Довольно сильно/Quite a bit",3,IF(Sheet!JR62="Очень сильно/Extremely",4,""))))</f>
        <v>2</v>
      </c>
      <c r="JS62">
        <f>IF(Sheet!JS62="Совсем нет/Not at all",1,IF(Sheet!JT62="Немного/A little",2,IF(Sheet!JU62="Довольно сильно/Quite a bit",3,IF(Sheet!JV62="Очень сильно/Extremely",4,""))))</f>
        <v>2</v>
      </c>
      <c r="JW62">
        <f>IF(Sheet!JW62="Совсем нет/Not at all",1,IF(Sheet!JX62="Немного/A little",2,IF(Sheet!JY62="Довольно сильно/Quite a bit",3,IF(Sheet!JZ62="Очень сильно/Extremely",4,""))))</f>
        <v>2</v>
      </c>
      <c r="KA62">
        <f>IF(Sheet!KA62="Совсем нет/Not at all",1,IF(Sheet!KB62="Немного/A little",2,IF(Sheet!KC62="Довольно сильно/Quite a bit",3,IF(Sheet!KD62="Очень сильно/Extremely",4,""))))</f>
        <v>1</v>
      </c>
      <c r="KE62">
        <f>IF(Sheet!KE62="Совсем нет/Not at all",1,IF(Sheet!KF62="Немного/A little",2,IF(Sheet!KG62="Довольно сильно/Quite a bit",3,IF(Sheet!KH62="Очень сильно/Extremely",4,""))))</f>
        <v>1</v>
      </c>
      <c r="KI62">
        <f>IF(Sheet!KI62="Совсем нет/Not at all",1,IF(Sheet!KJ62="Немного/A little",2,IF(Sheet!KK62="Довольно сильно/Quite a bit",3,IF(Sheet!KL62="Очень сильно/Extremely",4,""))))</f>
        <v>2</v>
      </c>
      <c r="KM62">
        <f>IF(Sheet!KM62="Совсем нет/Not at all",1,IF(Sheet!KN62="Немного/A little",2,IF(Sheet!KO62="Довольно сильно/Quite a bit",3,IF(Sheet!KP62="Очень сильно/Extremely",4,""))))</f>
        <v>1</v>
      </c>
      <c r="KQ62">
        <f>IF(Sheet!KQ62="Совсем нет/Not at all",1,IF(Sheet!KR62="Немного/A little",2,IF(Sheet!KS62="Довольно сильно/Quite a bit",3,IF(Sheet!KT62="Очень сильно/Extremely",4,""))))</f>
        <v>1</v>
      </c>
    </row>
    <row r="63" spans="1:303">
      <c r="A63" t="str">
        <f>Sheet!A63</f>
        <v>KP001</v>
      </c>
      <c r="GW63" s="27">
        <f>SUM(GY63,HC63,HG63,HK63,HO63,HS63,HW63,IA63,IE63,II63,IM63,IQ63,IU63,IY63,JC63,JG63,JK63,JO63,JS63,JW63,KA63,KE63,KI63,KM63,KQ63)/25</f>
        <v>1.32</v>
      </c>
      <c r="GY63">
        <f>IF(Sheet!GY63="Совсем нет/Not at all",1,IF(Sheet!GZ63="Немного/A little",2,IF(Sheet!HA63="Довольно сильно/Quite a bit",3,IF(Sheet!HB63="Очень сильно/Extremely",4,""))))</f>
        <v>1</v>
      </c>
      <c r="HC63">
        <f>IF(Sheet!HC63="Совсем нет/Not at all",1,IF(Sheet!HD63="Немного/A little",2,IF(Sheet!HE63="Довольно сильно/Quite a bit",3,IF(Sheet!HF63="Очень сильно/Extremely",4,""))))</f>
        <v>1</v>
      </c>
      <c r="HG63">
        <f>IF(Sheet!HG63="Совсем нет/Not at all",1,IF(Sheet!HH63="Немного/A little",2,IF(Sheet!HI63="Довольно сильно/Quite a bit",3,IF(Sheet!HJ63="Очень сильно/Extremely",4,""))))</f>
        <v>1</v>
      </c>
      <c r="HK63">
        <f>IF(Sheet!HK63="Совсем нет/Not at all",1,IF(Sheet!HL63="Немного/A little",2,IF(Sheet!HM63="Довольно сильно/Quite a bit",3,IF(Sheet!HN63="Очень сильно/Extremely",4,""))))</f>
        <v>1</v>
      </c>
      <c r="HO63">
        <f>IF(Sheet!HO63="Совсем нет/Not at all",1,IF(Sheet!HP63="Немного/A little",2,IF(Sheet!HQ63="Довольно сильно/Quite a bit",3,IF(Sheet!HR63="Очень сильно/Extremely",4,""))))</f>
        <v>1</v>
      </c>
      <c r="HS63">
        <f>IF(Sheet!HS63="Совсем нет/Not at all",1,IF(Sheet!HT63="Немного/A little",2,IF(Sheet!HU63="Довольно сильно/Quite a bit",3,IF(Sheet!HV63="Очень сильно/Extremely",4,""))))</f>
        <v>1</v>
      </c>
      <c r="HW63">
        <f>IF(Sheet!HW63="Совсем нет/Not at all",1,IF(Sheet!HX63="Немного/A little",2,IF(Sheet!HY63="Довольно сильно/Quite a bit",3,IF(Sheet!HZ63="Очень сильно/Extremely",4,""))))</f>
        <v>3</v>
      </c>
      <c r="IA63">
        <f>IF(Sheet!IA63="Совсем нет/Not at all",1,IF(Sheet!IB63="Немного/A little",2,IF(Sheet!IC63="Довольно сильно/Quite a bit",3,IF(Sheet!ID63="Очень сильно/Extremely",4,""))))</f>
        <v>3</v>
      </c>
      <c r="IE63">
        <f>IF(Sheet!IE63="Совсем нет/Not at all",1,IF(Sheet!IF63="Немного/A little",2,IF(Sheet!IG63="Довольно сильно/Quite a bit",3,IF(Sheet!IH63="Очень сильно/Extremely",4,""))))</f>
        <v>1</v>
      </c>
      <c r="II63">
        <f>IF(Sheet!II63="Совсем нет/Not at all",1,IF(Sheet!IJ63="Немного/A little",2,IF(Sheet!IK63="Довольно сильно/Quite a bit",3,IF(Sheet!IL63="Очень сильно/Extremely",4,""))))</f>
        <v>3</v>
      </c>
      <c r="IM63">
        <f>IF(Sheet!IM63="Совсем нет/Not at all",1,IF(Sheet!IN63="Немного/A little",2,IF(Sheet!IO63="Довольно сильно/Quite a bit",3,IF(Sheet!IP63="Очень сильно/Extremely",4,""))))</f>
        <v>1</v>
      </c>
      <c r="IQ63">
        <f>IF(Sheet!IQ63="Совсем нет/Not at all",1,IF(Sheet!IR63="Немного/A little",2,IF(Sheet!IS63="Довольно сильно/Quite a bit ",3,IF(Sheet!IT63="Очень сильно/Extremely ",4,""))))</f>
        <v>1</v>
      </c>
      <c r="IU63">
        <f>IF(Sheet!IU63="Совсем нет/Not at all",1,IF(Sheet!IV63="Немного/A little",2,IF(Sheet!IW63="Довольно сильно/Quite a bit ",3,IF(Sheet!IX63="Очень сильно/Extremely ",4,""))))</f>
        <v>1</v>
      </c>
      <c r="IY63">
        <f>IF(Sheet!IY63="Совсем нет/Not at all",1,IF(Sheet!IZ63="Немного/A little",2,IF(Sheet!JA63="Довольно сильно/Quite a bit ",3,IF(Sheet!JB63="Очень сильно/Extremely ",4,""))))</f>
        <v>2</v>
      </c>
      <c r="JC63">
        <f>IF(Sheet!JC63="Совсем нет/Not at all",1,IF(Sheet!JD63="Немного/A little",2,IF(Sheet!JE63="Довольно сильно/Quite a bit ",3,IF(Sheet!JF63="Очень сильно/Extremely ",4,""))))</f>
        <v>1</v>
      </c>
      <c r="JG63">
        <f>IF(Sheet!JG63="Совсем нет/Not at all",1,IF(Sheet!JH63="Немного/A little",2,IF(Sheet!JI63="Довольно сильно/Quite a bit ",3,IF(Sheet!JJ63="Очень сильно/Extremely ",4,""))))</f>
        <v>1</v>
      </c>
      <c r="JK63">
        <f>IF(Sheet!JK63="Совсем нет/Not at all",1,IF(Sheet!JL63="Немного/A little",2,IF(Sheet!JM63="Довольно сильно/Quite a bit ",3,IF(Sheet!JN63="Очень сильно/Extremely ",4,""))))</f>
        <v>2</v>
      </c>
      <c r="JO63">
        <f>IF(Sheet!JO63="Совсем нет/Not at all",1,IF(Sheet!JP63="Немного/A little",2,IF(Sheet!JQ63="Довольно сильно/Quite a bit",3,IF(Sheet!JR63="Очень сильно/Extremely",4,""))))</f>
        <v>1</v>
      </c>
      <c r="JS63">
        <f>IF(Sheet!JS63="Совсем нет/Not at all",1,IF(Sheet!JT63="Немного/A little",2,IF(Sheet!JU63="Довольно сильно/Quite a bit",3,IF(Sheet!JV63="Очень сильно/Extremely",4,""))))</f>
        <v>1</v>
      </c>
      <c r="JW63">
        <f>IF(Sheet!JW63="Совсем нет/Not at all",1,IF(Sheet!JX63="Немного/A little",2,IF(Sheet!JY63="Довольно сильно/Quite a bit",3,IF(Sheet!JZ63="Очень сильно/Extremely",4,""))))</f>
        <v>1</v>
      </c>
      <c r="KA63">
        <f>IF(Sheet!KA63="Совсем нет/Not at all",1,IF(Sheet!KB63="Немного/A little",2,IF(Sheet!KC63="Довольно сильно/Quite a bit",3,IF(Sheet!KD63="Очень сильно/Extremely",4,""))))</f>
        <v>1</v>
      </c>
      <c r="KE63">
        <f>IF(Sheet!KE63="Совсем нет/Not at all",1,IF(Sheet!KF63="Немного/A little",2,IF(Sheet!KG63="Довольно сильно/Quite a bit",3,IF(Sheet!KH63="Очень сильно/Extremely",4,""))))</f>
        <v>1</v>
      </c>
      <c r="KI63">
        <f>IF(Sheet!KI63="Совсем нет/Not at all",1,IF(Sheet!KJ63="Немного/A little",2,IF(Sheet!KK63="Довольно сильно/Quite a bit",3,IF(Sheet!KL63="Очень сильно/Extremely",4,""))))</f>
        <v>1</v>
      </c>
      <c r="KM63">
        <f>IF(Sheet!KM63="Совсем нет/Not at all",1,IF(Sheet!KN63="Немного/A little",2,IF(Sheet!KO63="Довольно сильно/Quite a bit",3,IF(Sheet!KP63="Очень сильно/Extremely",4,""))))</f>
        <v>1</v>
      </c>
      <c r="KQ63">
        <f>IF(Sheet!KQ63="Совсем нет/Not at all",1,IF(Sheet!KR63="Немного/A little",2,IF(Sheet!KS63="Довольно сильно/Quite a bit",3,IF(Sheet!KT63="Очень сильно/Extremely",4,""))))</f>
        <v>1</v>
      </c>
    </row>
    <row r="64" spans="1:303">
      <c r="A64" t="str">
        <f>Sheet!A64</f>
        <v>XQ001</v>
      </c>
      <c r="GW64" s="27">
        <f>SUM(GY64,HC64,HG64,HK64,HO64,HS64,HW64,IA64,IE64,II64,IM64,IQ64,IU64,IY64,JC64,JG64,JK64,JO64,JS64,JW64,KA64,KE64,KI64,KM64,KQ64)/25</f>
        <v>1.64</v>
      </c>
      <c r="GY64">
        <f>IF(Sheet!GY64="Совсем нет/Not at all",1,IF(Sheet!GZ64="Немного/A little",2,IF(Sheet!HA64="Довольно сильно/Quite a bit",3,IF(Sheet!HB64="Очень сильно/Extremely",4,""))))</f>
        <v>1</v>
      </c>
      <c r="HC64">
        <f>IF(Sheet!HC64="Совсем нет/Not at all",1,IF(Sheet!HD64="Немного/A little",2,IF(Sheet!HE64="Довольно сильно/Quite a bit",3,IF(Sheet!HF64="Очень сильно/Extremely",4,""))))</f>
        <v>1</v>
      </c>
      <c r="HG64">
        <f>IF(Sheet!HG64="Совсем нет/Not at all",1,IF(Sheet!HH64="Немного/A little",2,IF(Sheet!HI64="Довольно сильно/Quite a bit",3,IF(Sheet!HJ64="Очень сильно/Extremely",4,""))))</f>
        <v>1</v>
      </c>
      <c r="HK64">
        <f>IF(Sheet!HK64="Совсем нет/Not at all",1,IF(Sheet!HL64="Немного/A little",2,IF(Sheet!HM64="Довольно сильно/Quite a bit",3,IF(Sheet!HN64="Очень сильно/Extremely",4,""))))</f>
        <v>4</v>
      </c>
      <c r="HO64">
        <f>IF(Sheet!HO64="Совсем нет/Not at all",1,IF(Sheet!HP64="Немного/A little",2,IF(Sheet!HQ64="Довольно сильно/Quite a bit",3,IF(Sheet!HR64="Очень сильно/Extremely",4,""))))</f>
        <v>3</v>
      </c>
      <c r="HS64">
        <f>IF(Sheet!HS64="Совсем нет/Not at all",1,IF(Sheet!HT64="Немного/A little",2,IF(Sheet!HU64="Довольно сильно/Quite a bit",3,IF(Sheet!HV64="Очень сильно/Extremely",4,""))))</f>
        <v>1</v>
      </c>
      <c r="HW64">
        <f>IF(Sheet!HW64="Совсем нет/Not at all",1,IF(Sheet!HX64="Немного/A little",2,IF(Sheet!HY64="Довольно сильно/Quite a bit",3,IF(Sheet!HZ64="Очень сильно/Extremely",4,""))))</f>
        <v>2</v>
      </c>
      <c r="IA64">
        <f>IF(Sheet!IA64="Совсем нет/Not at all",1,IF(Sheet!IB64="Немного/A little",2,IF(Sheet!IC64="Довольно сильно/Quite a bit",3,IF(Sheet!ID64="Очень сильно/Extremely",4,""))))</f>
        <v>1</v>
      </c>
      <c r="IE64">
        <f>IF(Sheet!IE64="Совсем нет/Not at all",1,IF(Sheet!IF64="Немного/A little",2,IF(Sheet!IG64="Довольно сильно/Quite a bit",3,IF(Sheet!IH64="Очень сильно/Extremely",4,""))))</f>
        <v>3</v>
      </c>
      <c r="II64">
        <f>IF(Sheet!II64="Совсем нет/Not at all",1,IF(Sheet!IJ64="Немного/A little",2,IF(Sheet!IK64="Довольно сильно/Quite a bit",3,IF(Sheet!IL64="Очень сильно/Extremely",4,""))))</f>
        <v>2</v>
      </c>
      <c r="IM64">
        <f>IF(Sheet!IM64="Совсем нет/Not at all",1,IF(Sheet!IN64="Немного/A little",2,IF(Sheet!IO64="Довольно сильно/Quite a bit",3,IF(Sheet!IP64="Очень сильно/Extremely",4,""))))</f>
        <v>1</v>
      </c>
      <c r="IQ64">
        <f>IF(Sheet!IQ64="Совсем нет/Not at all",1,IF(Sheet!IR64="Немного/A little",2,IF(Sheet!IS64="Довольно сильно/Quite a bit ",3,IF(Sheet!IT64="Очень сильно/Extremely ",4,""))))</f>
        <v>1</v>
      </c>
      <c r="IU64">
        <f>IF(Sheet!IU64="Совсем нет/Not at all",1,IF(Sheet!IV64="Немного/A little",2,IF(Sheet!IW64="Довольно сильно/Quite a bit ",3,IF(Sheet!IX64="Очень сильно/Extremely ",4,""))))</f>
        <v>2</v>
      </c>
      <c r="IY64">
        <f>IF(Sheet!IY64="Совсем нет/Not at all",1,IF(Sheet!IZ64="Немного/A little",2,IF(Sheet!JA64="Довольно сильно/Quite a bit ",3,IF(Sheet!JB64="Очень сильно/Extremely ",4,""))))</f>
        <v>3</v>
      </c>
      <c r="JC64">
        <f>IF(Sheet!JC64="Совсем нет/Not at all",1,IF(Sheet!JD64="Немного/A little",2,IF(Sheet!JE64="Довольно сильно/Quite a bit ",3,IF(Sheet!JF64="Очень сильно/Extremely ",4,""))))</f>
        <v>1</v>
      </c>
      <c r="JG64">
        <f>IF(Sheet!JG64="Совсем нет/Not at all",1,IF(Sheet!JH64="Немного/A little",2,IF(Sheet!JI64="Довольно сильно/Quite a bit ",3,IF(Sheet!JJ64="Очень сильно/Extremely ",4,""))))</f>
        <v>2</v>
      </c>
      <c r="JK64">
        <f>IF(Sheet!JK64="Совсем нет/Not at all",1,IF(Sheet!JL64="Немного/A little",2,IF(Sheet!JM64="Довольно сильно/Quite a bit ",3,IF(Sheet!JN64="Очень сильно/Extremely ",4,""))))</f>
        <v>1</v>
      </c>
      <c r="JO64">
        <f>IF(Sheet!JO64="Совсем нет/Not at all",1,IF(Sheet!JP64="Немного/A little",2,IF(Sheet!JQ64="Довольно сильно/Quite a bit",3,IF(Sheet!JR64="Очень сильно/Extremely",4,""))))</f>
        <v>2</v>
      </c>
      <c r="JS64">
        <f>IF(Sheet!JS64="Совсем нет/Not at all",1,IF(Sheet!JT64="Немного/A little",2,IF(Sheet!JU64="Довольно сильно/Quite a bit",3,IF(Sheet!JV64="Очень сильно/Extremely",4,""))))</f>
        <v>1</v>
      </c>
      <c r="JW64">
        <f>IF(Sheet!JW64="Совсем нет/Not at all",1,IF(Sheet!JX64="Немного/A little",2,IF(Sheet!JY64="Довольно сильно/Quite a bit",3,IF(Sheet!JZ64="Очень сильно/Extremely",4,""))))</f>
        <v>1</v>
      </c>
      <c r="KA64">
        <f>IF(Sheet!KA64="Совсем нет/Not at all",1,IF(Sheet!KB64="Немного/A little",2,IF(Sheet!KC64="Довольно сильно/Quite a bit",3,IF(Sheet!KD64="Очень сильно/Extremely",4,""))))</f>
        <v>3</v>
      </c>
      <c r="KE64">
        <f>IF(Sheet!KE64="Совсем нет/Not at all",1,IF(Sheet!KF64="Немного/A little",2,IF(Sheet!KG64="Довольно сильно/Quite a bit",3,IF(Sheet!KH64="Очень сильно/Extremely",4,""))))</f>
        <v>1</v>
      </c>
      <c r="KI64">
        <f>IF(Sheet!KI64="Совсем нет/Not at all",1,IF(Sheet!KJ64="Немного/A little",2,IF(Sheet!KK64="Довольно сильно/Quite a bit",3,IF(Sheet!KL64="Очень сильно/Extremely",4,""))))</f>
        <v>1</v>
      </c>
      <c r="KM64">
        <f>IF(Sheet!KM64="Совсем нет/Not at all",1,IF(Sheet!KN64="Немного/A little",2,IF(Sheet!KO64="Довольно сильно/Quite a bit",3,IF(Sheet!KP64="Очень сильно/Extremely",4,""))))</f>
        <v>1</v>
      </c>
      <c r="KQ64">
        <f>IF(Sheet!KQ64="Совсем нет/Not at all",1,IF(Sheet!KR64="Немного/A little",2,IF(Sheet!KS64="Довольно сильно/Quite a bit",3,IF(Sheet!KT64="Очень сильно/Extremely",4,""))))</f>
        <v>1</v>
      </c>
    </row>
    <row r="65" spans="1:303">
      <c r="A65" t="str">
        <f>Sheet!A65</f>
        <v>EG001</v>
      </c>
      <c r="GW65" s="27">
        <f>SUM(GY65,HC65,HG65,HK65,HO65,HS65,HW65,IA65,IE65,II65,IM65,IQ65,IU65,IY65,JC65,JG65,JK65,JO65,JS65,JW65,KA65,KE65,KI65,KM65,KQ65)/25</f>
        <v>2.2000000000000002</v>
      </c>
      <c r="GY65">
        <f>IF(Sheet!GY65="Совсем нет/Not at all",1,IF(Sheet!GZ65="Немного/A little",2,IF(Sheet!HA65="Довольно сильно/Quite a bit",3,IF(Sheet!HB65="Очень сильно/Extremely",4,""))))</f>
        <v>3</v>
      </c>
      <c r="HC65">
        <f>IF(Sheet!HC65="Совсем нет/Not at all",1,IF(Sheet!HD65="Немного/A little",2,IF(Sheet!HE65="Довольно сильно/Quite a bit",3,IF(Sheet!HF65="Очень сильно/Extremely",4,""))))</f>
        <v>2</v>
      </c>
      <c r="HG65">
        <f>IF(Sheet!HG65="Совсем нет/Not at all",1,IF(Sheet!HH65="Немного/A little",2,IF(Sheet!HI65="Довольно сильно/Quite a bit",3,IF(Sheet!HJ65="Очень сильно/Extremely",4,""))))</f>
        <v>4</v>
      </c>
      <c r="HK65">
        <f>IF(Sheet!HK65="Совсем нет/Not at all",1,IF(Sheet!HL65="Немного/A little",2,IF(Sheet!HM65="Довольно сильно/Quite a bit",3,IF(Sheet!HN65="Очень сильно/Extremely",4,""))))</f>
        <v>2</v>
      </c>
      <c r="HO65">
        <f>IF(Sheet!HO65="Совсем нет/Not at all",1,IF(Sheet!HP65="Немного/A little",2,IF(Sheet!HQ65="Довольно сильно/Quite a bit",3,IF(Sheet!HR65="Очень сильно/Extremely",4,""))))</f>
        <v>3</v>
      </c>
      <c r="HS65">
        <f>IF(Sheet!HS65="Совсем нет/Not at all",1,IF(Sheet!HT65="Немного/A little",2,IF(Sheet!HU65="Довольно сильно/Quite a bit",3,IF(Sheet!HV65="Очень сильно/Extremely",4,""))))</f>
        <v>2</v>
      </c>
      <c r="HW65">
        <f>IF(Sheet!HW65="Совсем нет/Not at all",1,IF(Sheet!HX65="Немного/A little",2,IF(Sheet!HY65="Довольно сильно/Quite a bit",3,IF(Sheet!HZ65="Очень сильно/Extremely",4,""))))</f>
        <v>4</v>
      </c>
      <c r="IA65">
        <f>IF(Sheet!IA65="Совсем нет/Not at all",1,IF(Sheet!IB65="Немного/A little",2,IF(Sheet!IC65="Довольно сильно/Quite a bit",3,IF(Sheet!ID65="Очень сильно/Extremely",4,""))))</f>
        <v>4</v>
      </c>
      <c r="IE65">
        <f>IF(Sheet!IE65="Совсем нет/Not at all",1,IF(Sheet!IF65="Немного/A little",2,IF(Sheet!IG65="Довольно сильно/Quite a bit",3,IF(Sheet!IH65="Очень сильно/Extremely",4,""))))</f>
        <v>2</v>
      </c>
      <c r="II65">
        <f>IF(Sheet!II65="Совсем нет/Not at all",1,IF(Sheet!IJ65="Немного/A little",2,IF(Sheet!IK65="Довольно сильно/Quite a bit",3,IF(Sheet!IL65="Очень сильно/Extremely",4,""))))</f>
        <v>2</v>
      </c>
      <c r="IM65">
        <f>IF(Sheet!IM65="Совсем нет/Not at all",1,IF(Sheet!IN65="Немного/A little",2,IF(Sheet!IO65="Довольно сильно/Quite a bit",3,IF(Sheet!IP65="Очень сильно/Extremely",4,""))))</f>
        <v>2</v>
      </c>
      <c r="IQ65">
        <f>IF(Sheet!IQ65="Совсем нет/Not at all",1,IF(Sheet!IR65="Немного/A little",2,IF(Sheet!IS65="Довольно сильно/Quite a bit ",3,IF(Sheet!IT65="Очень сильно/Extremely ",4,""))))</f>
        <v>3</v>
      </c>
      <c r="IU65">
        <f>IF(Sheet!IU65="Совсем нет/Not at all",1,IF(Sheet!IV65="Немного/A little",2,IF(Sheet!IW65="Довольно сильно/Quite a bit ",3,IF(Sheet!IX65="Очень сильно/Extremely ",4,""))))</f>
        <v>1</v>
      </c>
      <c r="IY65">
        <f>IF(Sheet!IY65="Совсем нет/Not at all",1,IF(Sheet!IZ65="Немного/A little",2,IF(Sheet!JA65="Довольно сильно/Quite a bit ",3,IF(Sheet!JB65="Очень сильно/Extremely ",4,""))))</f>
        <v>1</v>
      </c>
      <c r="JC65">
        <f>IF(Sheet!JC65="Совсем нет/Not at all",1,IF(Sheet!JD65="Немного/A little",2,IF(Sheet!JE65="Довольно сильно/Quite a bit ",3,IF(Sheet!JF65="Очень сильно/Extremely ",4,""))))</f>
        <v>2</v>
      </c>
      <c r="JG65">
        <f>IF(Sheet!JG65="Совсем нет/Not at all",1,IF(Sheet!JH65="Немного/A little",2,IF(Sheet!JI65="Довольно сильно/Quite a bit ",3,IF(Sheet!JJ65="Очень сильно/Extremely ",4,""))))</f>
        <v>2</v>
      </c>
      <c r="JK65">
        <f>IF(Sheet!JK65="Совсем нет/Not at all",1,IF(Sheet!JL65="Немного/A little",2,IF(Sheet!JM65="Довольно сильно/Quite a bit ",3,IF(Sheet!JN65="Очень сильно/Extremely ",4,""))))</f>
        <v>2</v>
      </c>
      <c r="JO65" t="str">
        <f>IF(Sheet!JO65="Совсем нет/Not at all",1,IF(Sheet!JP65="Немного/A little",2,IF(Sheet!JQ65="Довольно сильно/Quite a bit",3,IF(Sheet!JR65="Очень сильно/Extremely",4,""))))</f>
        <v/>
      </c>
      <c r="JS65">
        <f>IF(Sheet!JS65="Совсем нет/Not at all",1,IF(Sheet!JT65="Немного/A little",2,IF(Sheet!JU65="Довольно сильно/Quite a bit",3,IF(Sheet!JV65="Очень сильно/Extremely",4,""))))</f>
        <v>2</v>
      </c>
      <c r="JW65">
        <f>IF(Sheet!JW65="Совсем нет/Not at all",1,IF(Sheet!JX65="Немного/A little",2,IF(Sheet!JY65="Довольно сильно/Quite a bit",3,IF(Sheet!JZ65="Очень сильно/Extremely",4,""))))</f>
        <v>2</v>
      </c>
      <c r="KA65">
        <f>IF(Sheet!KA65="Совсем нет/Not at all",1,IF(Sheet!KB65="Немного/A little",2,IF(Sheet!KC65="Довольно сильно/Quite a bit",3,IF(Sheet!KD65="Очень сильно/Extremely",4,""))))</f>
        <v>1</v>
      </c>
      <c r="KE65">
        <f>IF(Sheet!KE65="Совсем нет/Not at all",1,IF(Sheet!KF65="Немного/A little",2,IF(Sheet!KG65="Довольно сильно/Quite a bit",3,IF(Sheet!KH65="Очень сильно/Extremely",4,""))))</f>
        <v>1</v>
      </c>
      <c r="KI65">
        <f>IF(Sheet!KI65="Совсем нет/Not at all",1,IF(Sheet!KJ65="Немного/A little",2,IF(Sheet!KK65="Довольно сильно/Quite a bit",3,IF(Sheet!KL65="Очень сильно/Extremely",4,""))))</f>
        <v>3</v>
      </c>
      <c r="KM65">
        <f>IF(Sheet!KM65="Совсем нет/Not at all",1,IF(Sheet!KN65="Немного/A little",2,IF(Sheet!KO65="Довольно сильно/Quite a bit",3,IF(Sheet!KP65="Очень сильно/Extremely",4,""))))</f>
        <v>3</v>
      </c>
      <c r="KQ65">
        <f>IF(Sheet!KQ65="Совсем нет/Not at all",1,IF(Sheet!KR65="Немного/A little",2,IF(Sheet!KS65="Довольно сильно/Quite a bit",3,IF(Sheet!KT65="Очень сильно/Extremely",4,""))))</f>
        <v>2</v>
      </c>
    </row>
    <row r="66" spans="1:303">
      <c r="A66" t="str">
        <f>Sheet!A66</f>
        <v xml:space="preserve">ID001 </v>
      </c>
      <c r="GW66" s="27">
        <f>SUM(GY66,HC66,HG66,HK66,HO66,HS66,HW66,IA66,IE66,II66,IM66,IQ66,IU66,IY66,JC66,JG66,JK66,JO66,JS66,JW66,KA66,KE66,KI66,KM66,KQ66)/25</f>
        <v>1.32</v>
      </c>
      <c r="GY66">
        <f>IF(Sheet!GY66="Совсем нет/Not at all",1,IF(Sheet!GZ66="Немного/A little",2,IF(Sheet!HA66="Довольно сильно/Quite a bit",3,IF(Sheet!HB66="Очень сильно/Extremely",4,""))))</f>
        <v>1</v>
      </c>
      <c r="HC66">
        <f>IF(Sheet!HC66="Совсем нет/Not at all",1,IF(Sheet!HD66="Немного/A little",2,IF(Sheet!HE66="Довольно сильно/Quite a bit",3,IF(Sheet!HF66="Очень сильно/Extremely",4,""))))</f>
        <v>1</v>
      </c>
      <c r="HG66">
        <f>IF(Sheet!HG66="Совсем нет/Not at all",1,IF(Sheet!HH66="Немного/A little",2,IF(Sheet!HI66="Довольно сильно/Quite a bit",3,IF(Sheet!HJ66="Очень сильно/Extremely",4,""))))</f>
        <v>1</v>
      </c>
      <c r="HK66">
        <f>IF(Sheet!HK66="Совсем нет/Not at all",1,IF(Sheet!HL66="Немного/A little",2,IF(Sheet!HM66="Довольно сильно/Quite a bit",3,IF(Sheet!HN66="Очень сильно/Extremely",4,""))))</f>
        <v>1</v>
      </c>
      <c r="HO66">
        <f>IF(Sheet!HO66="Совсем нет/Not at all",1,IF(Sheet!HP66="Немного/A little",2,IF(Sheet!HQ66="Довольно сильно/Quite a bit",3,IF(Sheet!HR66="Очень сильно/Extremely",4,""))))</f>
        <v>2</v>
      </c>
      <c r="HS66">
        <f>IF(Sheet!HS66="Совсем нет/Not at all",1,IF(Sheet!HT66="Немного/A little",2,IF(Sheet!HU66="Довольно сильно/Quite a bit",3,IF(Sheet!HV66="Очень сильно/Extremely",4,""))))</f>
        <v>1</v>
      </c>
      <c r="HW66">
        <f>IF(Sheet!HW66="Совсем нет/Not at all",1,IF(Sheet!HX66="Немного/A little",2,IF(Sheet!HY66="Довольно сильно/Quite a bit",3,IF(Sheet!HZ66="Очень сильно/Extremely",4,""))))</f>
        <v>3</v>
      </c>
      <c r="IA66">
        <f>IF(Sheet!IA66="Совсем нет/Not at all",1,IF(Sheet!IB66="Немного/A little",2,IF(Sheet!IC66="Довольно сильно/Quite a bit",3,IF(Sheet!ID66="Очень сильно/Extremely",4,""))))</f>
        <v>3</v>
      </c>
      <c r="IE66">
        <f>IF(Sheet!IE66="Совсем нет/Not at all",1,IF(Sheet!IF66="Немного/A little",2,IF(Sheet!IG66="Довольно сильно/Quite a bit",3,IF(Sheet!IH66="Очень сильно/Extremely",4,""))))</f>
        <v>3</v>
      </c>
      <c r="II66">
        <f>IF(Sheet!II66="Совсем нет/Not at all",1,IF(Sheet!IJ66="Немного/A little",2,IF(Sheet!IK66="Довольно сильно/Quite a bit",3,IF(Sheet!IL66="Очень сильно/Extremely",4,""))))</f>
        <v>1</v>
      </c>
      <c r="IM66">
        <f>IF(Sheet!IM66="Совсем нет/Not at all",1,IF(Sheet!IN66="Немного/A little",2,IF(Sheet!IO66="Довольно сильно/Quite a bit",3,IF(Sheet!IP66="Очень сильно/Extremely",4,""))))</f>
        <v>1</v>
      </c>
      <c r="IQ66">
        <f>IF(Sheet!IQ66="Совсем нет/Not at all",1,IF(Sheet!IR66="Немного/A little",2,IF(Sheet!IS66="Довольно сильно/Quite a bit ",3,IF(Sheet!IT66="Очень сильно/Extremely ",4,""))))</f>
        <v>1</v>
      </c>
      <c r="IU66">
        <f>IF(Sheet!IU66="Совсем нет/Not at all",1,IF(Sheet!IV66="Немного/A little",2,IF(Sheet!IW66="Довольно сильно/Quite a bit ",3,IF(Sheet!IX66="Очень сильно/Extremely ",4,""))))</f>
        <v>1</v>
      </c>
      <c r="IY66">
        <f>IF(Sheet!IY66="Совсем нет/Not at all",1,IF(Sheet!IZ66="Немного/A little",2,IF(Sheet!JA66="Довольно сильно/Quite a bit ",3,IF(Sheet!JB66="Очень сильно/Extremely ",4,""))))</f>
        <v>1</v>
      </c>
      <c r="JC66">
        <f>IF(Sheet!JC66="Совсем нет/Not at all",1,IF(Sheet!JD66="Немного/A little",2,IF(Sheet!JE66="Довольно сильно/Quite a bit ",3,IF(Sheet!JF66="Очень сильно/Extremely ",4,""))))</f>
        <v>1</v>
      </c>
      <c r="JG66">
        <f>IF(Sheet!JG66="Совсем нет/Not at all",1,IF(Sheet!JH66="Немного/A little",2,IF(Sheet!JI66="Довольно сильно/Quite a bit ",3,IF(Sheet!JJ66="Очень сильно/Extremely ",4,""))))</f>
        <v>1</v>
      </c>
      <c r="JK66">
        <f>IF(Sheet!JK66="Совсем нет/Not at all",1,IF(Sheet!JL66="Немного/A little",2,IF(Sheet!JM66="Довольно сильно/Quite a bit ",3,IF(Sheet!JN66="Очень сильно/Extremely ",4,""))))</f>
        <v>1</v>
      </c>
      <c r="JO66">
        <f>IF(Sheet!JO66="Совсем нет/Not at all",1,IF(Sheet!JP66="Немного/A little",2,IF(Sheet!JQ66="Довольно сильно/Quite a bit",3,IF(Sheet!JR66="Очень сильно/Extremely",4,""))))</f>
        <v>1</v>
      </c>
      <c r="JS66">
        <f>IF(Sheet!JS66="Совсем нет/Not at all",1,IF(Sheet!JT66="Немного/A little",2,IF(Sheet!JU66="Довольно сильно/Quite a bit",3,IF(Sheet!JV66="Очень сильно/Extremely",4,""))))</f>
        <v>1</v>
      </c>
      <c r="JW66">
        <f>IF(Sheet!JW66="Совсем нет/Not at all",1,IF(Sheet!JX66="Немного/A little",2,IF(Sheet!JY66="Довольно сильно/Quite a bit",3,IF(Sheet!JZ66="Очень сильно/Extremely",4,""))))</f>
        <v>1</v>
      </c>
      <c r="KA66">
        <f>IF(Sheet!KA66="Совсем нет/Not at all",1,IF(Sheet!KB66="Немного/A little",2,IF(Sheet!KC66="Довольно сильно/Quite a bit",3,IF(Sheet!KD66="Очень сильно/Extremely",4,""))))</f>
        <v>2</v>
      </c>
      <c r="KE66">
        <f>IF(Sheet!KE66="Совсем нет/Not at all",1,IF(Sheet!KF66="Немного/A little",2,IF(Sheet!KG66="Довольно сильно/Quite a bit",3,IF(Sheet!KH66="Очень сильно/Extremely",4,""))))</f>
        <v>1</v>
      </c>
      <c r="KI66">
        <f>IF(Sheet!KI66="Совсем нет/Not at all",1,IF(Sheet!KJ66="Немного/A little",2,IF(Sheet!KK66="Довольно сильно/Quite a bit",3,IF(Sheet!KL66="Очень сильно/Extremely",4,""))))</f>
        <v>1</v>
      </c>
      <c r="KM66">
        <f>IF(Sheet!KM66="Совсем нет/Not at all",1,IF(Sheet!KN66="Немного/A little",2,IF(Sheet!KO66="Довольно сильно/Quite a bit",3,IF(Sheet!KP66="Очень сильно/Extremely",4,""))))</f>
        <v>1</v>
      </c>
      <c r="KQ66">
        <f>IF(Sheet!KQ66="Совсем нет/Not at all",1,IF(Sheet!KR66="Немного/A little",2,IF(Sheet!KS66="Довольно сильно/Quite a bit",3,IF(Sheet!KT66="Очень сильно/Extremely",4,""))))</f>
        <v>1</v>
      </c>
    </row>
    <row r="67" spans="1:303">
      <c r="A67" t="str">
        <f>Sheet!A67</f>
        <v>UN001</v>
      </c>
      <c r="GW67" s="27">
        <f>SUM(GY67,HC67,HG67,HK67,HO67,HS67,HW67,IA67,IE67,II67,IM67,IQ67,IU67,IY67,JC67,JG67,JK67,JO67,JS67,JW67,KA67,KE67,KI67,KM67,KQ67)/25</f>
        <v>1.6</v>
      </c>
      <c r="GY67">
        <f>IF(Sheet!GY67="Совсем нет/Not at all",1,IF(Sheet!GZ67="Немного/A little",2,IF(Sheet!HA67="Довольно сильно/Quite a bit",3,IF(Sheet!HB67="Очень сильно/Extremely",4,""))))</f>
        <v>3</v>
      </c>
      <c r="HC67">
        <f>IF(Sheet!HC67="Совсем нет/Not at all",1,IF(Sheet!HD67="Немного/A little",2,IF(Sheet!HE67="Довольно сильно/Quite a bit",3,IF(Sheet!HF67="Очень сильно/Extremely",4,""))))</f>
        <v>3</v>
      </c>
      <c r="HG67">
        <f>IF(Sheet!HG67="Совсем нет/Not at all",1,IF(Sheet!HH67="Немного/A little",2,IF(Sheet!HI67="Довольно сильно/Quite a bit",3,IF(Sheet!HJ67="Очень сильно/Extremely",4,""))))</f>
        <v>1</v>
      </c>
      <c r="HK67">
        <f>IF(Sheet!HK67="Совсем нет/Not at all",1,IF(Sheet!HL67="Немного/A little",2,IF(Sheet!HM67="Довольно сильно/Quite a bit",3,IF(Sheet!HN67="Очень сильно/Extremely",4,""))))</f>
        <v>2</v>
      </c>
      <c r="HO67">
        <f>IF(Sheet!HO67="Совсем нет/Not at all",1,IF(Sheet!HP67="Немного/A little",2,IF(Sheet!HQ67="Довольно сильно/Quite a bit",3,IF(Sheet!HR67="Очень сильно/Extremely",4,""))))</f>
        <v>1</v>
      </c>
      <c r="HS67">
        <f>IF(Sheet!HS67="Совсем нет/Not at all",1,IF(Sheet!HT67="Немного/A little",2,IF(Sheet!HU67="Довольно сильно/Quite a bit",3,IF(Sheet!HV67="Очень сильно/Extremely",4,""))))</f>
        <v>1</v>
      </c>
      <c r="HW67">
        <f>IF(Sheet!HW67="Совсем нет/Not at all",1,IF(Sheet!HX67="Немного/A little",2,IF(Sheet!HY67="Довольно сильно/Quite a bit",3,IF(Sheet!HZ67="Очень сильно/Extremely",4,""))))</f>
        <v>1</v>
      </c>
      <c r="IA67">
        <f>IF(Sheet!IA67="Совсем нет/Not at all",1,IF(Sheet!IB67="Немного/A little",2,IF(Sheet!IC67="Довольно сильно/Quite a bit",3,IF(Sheet!ID67="Очень сильно/Extremely",4,""))))</f>
        <v>1</v>
      </c>
      <c r="IE67">
        <f>IF(Sheet!IE67="Совсем нет/Not at all",1,IF(Sheet!IF67="Немного/A little",2,IF(Sheet!IG67="Довольно сильно/Quite a bit",3,IF(Sheet!IH67="Очень сильно/Extremely",4,""))))</f>
        <v>1</v>
      </c>
      <c r="II67">
        <f>IF(Sheet!II67="Совсем нет/Not at all",1,IF(Sheet!IJ67="Немного/A little",2,IF(Sheet!IK67="Довольно сильно/Quite a bit",3,IF(Sheet!IL67="Очень сильно/Extremely",4,""))))</f>
        <v>1</v>
      </c>
      <c r="IM67">
        <f>IF(Sheet!IM67="Совсем нет/Not at all",1,IF(Sheet!IN67="Немного/A little",2,IF(Sheet!IO67="Довольно сильно/Quite a bit",3,IF(Sheet!IP67="Очень сильно/Extremely",4,""))))</f>
        <v>1</v>
      </c>
      <c r="IQ67">
        <f>IF(Sheet!IQ67="Совсем нет/Not at all",1,IF(Sheet!IR67="Немного/A little",2,IF(Sheet!IS67="Довольно сильно/Quite a bit ",3,IF(Sheet!IT67="Очень сильно/Extremely ",4,""))))</f>
        <v>1</v>
      </c>
      <c r="IU67">
        <f>IF(Sheet!IU67="Совсем нет/Not at all",1,IF(Sheet!IV67="Немного/A little",2,IF(Sheet!IW67="Довольно сильно/Quite a bit ",3,IF(Sheet!IX67="Очень сильно/Extremely ",4,""))))</f>
        <v>1</v>
      </c>
      <c r="IY67">
        <f>IF(Sheet!IY67="Совсем нет/Not at all",1,IF(Sheet!IZ67="Немного/A little",2,IF(Sheet!JA67="Довольно сильно/Quite a bit ",3,IF(Sheet!JB67="Очень сильно/Extremely ",4,""))))</f>
        <v>4</v>
      </c>
      <c r="JC67">
        <f>IF(Sheet!JC67="Совсем нет/Not at all",1,IF(Sheet!JD67="Немного/A little",2,IF(Sheet!JE67="Довольно сильно/Quite a bit ",3,IF(Sheet!JF67="Очень сильно/Extremely ",4,""))))</f>
        <v>3</v>
      </c>
      <c r="JG67">
        <f>IF(Sheet!JG67="Совсем нет/Not at all",1,IF(Sheet!JH67="Немного/A little",2,IF(Sheet!JI67="Довольно сильно/Quite a bit ",3,IF(Sheet!JJ67="Очень сильно/Extremely ",4,""))))</f>
        <v>1</v>
      </c>
      <c r="JK67">
        <f>IF(Sheet!JK67="Совсем нет/Not at all",1,IF(Sheet!JL67="Немного/A little",2,IF(Sheet!JM67="Довольно сильно/Quite a bit ",3,IF(Sheet!JN67="Очень сильно/Extremely ",4,""))))</f>
        <v>2</v>
      </c>
      <c r="JO67">
        <f>IF(Sheet!JO67="Совсем нет/Not at all",1,IF(Sheet!JP67="Немного/A little",2,IF(Sheet!JQ67="Довольно сильно/Quite a bit",3,IF(Sheet!JR67="Очень сильно/Extremely",4,""))))</f>
        <v>1</v>
      </c>
      <c r="JS67">
        <f>IF(Sheet!JS67="Совсем нет/Not at all",1,IF(Sheet!JT67="Немного/A little",2,IF(Sheet!JU67="Довольно сильно/Quite a bit",3,IF(Sheet!JV67="Очень сильно/Extremely",4,""))))</f>
        <v>2</v>
      </c>
      <c r="JW67">
        <f>IF(Sheet!JW67="Совсем нет/Not at all",1,IF(Sheet!JX67="Немного/A little",2,IF(Sheet!JY67="Довольно сильно/Quite a bit",3,IF(Sheet!JZ67="Очень сильно/Extremely",4,""))))</f>
        <v>1</v>
      </c>
      <c r="KA67">
        <f>IF(Sheet!KA67="Совсем нет/Not at all",1,IF(Sheet!KB67="Немного/A little",2,IF(Sheet!KC67="Довольно сильно/Quite a bit",3,IF(Sheet!KD67="Очень сильно/Extremely",4,""))))</f>
        <v>1</v>
      </c>
      <c r="KE67">
        <f>IF(Sheet!KE67="Совсем нет/Not at all",1,IF(Sheet!KF67="Немного/A little",2,IF(Sheet!KG67="Довольно сильно/Quite a bit",3,IF(Sheet!KH67="Очень сильно/Extremely",4,""))))</f>
        <v>1</v>
      </c>
      <c r="KI67">
        <f>IF(Sheet!KI67="Совсем нет/Not at all",1,IF(Sheet!KJ67="Немного/A little",2,IF(Sheet!KK67="Довольно сильно/Quite a bit",3,IF(Sheet!KL67="Очень сильно/Extremely",4,""))))</f>
        <v>1</v>
      </c>
      <c r="KM67">
        <f>IF(Sheet!KM67="Совсем нет/Not at all",1,IF(Sheet!KN67="Немного/A little",2,IF(Sheet!KO67="Довольно сильно/Quite a bit",3,IF(Sheet!KP67="Очень сильно/Extremely",4,""))))</f>
        <v>4</v>
      </c>
      <c r="KQ67">
        <f>IF(Sheet!KQ67="Совсем нет/Not at all",1,IF(Sheet!KR67="Немного/A little",2,IF(Sheet!KS67="Довольно сильно/Quite a bit",3,IF(Sheet!KT67="Очень сильно/Extremely",4,""))))</f>
        <v>1</v>
      </c>
    </row>
    <row r="68" spans="1:303">
      <c r="A68" t="str">
        <f>Sheet!A68</f>
        <v>BO001</v>
      </c>
      <c r="GW68" s="27">
        <f>SUM(GY68,HC68,HG68,HK68,HO68,HS68,HW68,IA68,IE68,II68,IM68,IQ68,IU68,IY68,JC68,JG68,JK68,JO68,JS68,JW68,KA68,KE68,KI68,KM68,KQ68)/25</f>
        <v>1.1599999999999999</v>
      </c>
      <c r="GY68">
        <f>IF(Sheet!GY68="Совсем нет/Not at all",1,IF(Sheet!GZ68="Немного/A little",2,IF(Sheet!HA68="Довольно сильно/Quite a bit",3,IF(Sheet!HB68="Очень сильно/Extremely",4,""))))</f>
        <v>1</v>
      </c>
      <c r="HC68">
        <f>IF(Sheet!HC68="Совсем нет/Not at all",1,IF(Sheet!HD68="Немного/A little",2,IF(Sheet!HE68="Довольно сильно/Quite a bit",3,IF(Sheet!HF68="Очень сильно/Extremely",4,""))))</f>
        <v>1</v>
      </c>
      <c r="HG68">
        <f>IF(Sheet!HG68="Совсем нет/Not at all",1,IF(Sheet!HH68="Немного/A little",2,IF(Sheet!HI68="Довольно сильно/Quite a bit",3,IF(Sheet!HJ68="Очень сильно/Extremely",4,""))))</f>
        <v>1</v>
      </c>
      <c r="HK68">
        <f>IF(Sheet!HK68="Совсем нет/Not at all",1,IF(Sheet!HL68="Немного/A little",2,IF(Sheet!HM68="Довольно сильно/Quite a bit",3,IF(Sheet!HN68="Очень сильно/Extremely",4,""))))</f>
        <v>1</v>
      </c>
      <c r="HO68">
        <f>IF(Sheet!HO68="Совсем нет/Not at all",1,IF(Sheet!HP68="Немного/A little",2,IF(Sheet!HQ68="Довольно сильно/Quite a bit",3,IF(Sheet!HR68="Очень сильно/Extremely",4,""))))</f>
        <v>1</v>
      </c>
      <c r="HS68">
        <f>IF(Sheet!HS68="Совсем нет/Not at all",1,IF(Sheet!HT68="Немного/A little",2,IF(Sheet!HU68="Довольно сильно/Quite a bit",3,IF(Sheet!HV68="Очень сильно/Extremely",4,""))))</f>
        <v>1</v>
      </c>
      <c r="HW68">
        <f>IF(Sheet!HW68="Совсем нет/Not at all",1,IF(Sheet!HX68="Немного/A little",2,IF(Sheet!HY68="Довольно сильно/Quite a bit",3,IF(Sheet!HZ68="Очень сильно/Extremely",4,""))))</f>
        <v>1</v>
      </c>
      <c r="IA68">
        <f>IF(Sheet!IA68="Совсем нет/Not at all",1,IF(Sheet!IB68="Немного/A little",2,IF(Sheet!IC68="Довольно сильно/Quite a bit",3,IF(Sheet!ID68="Очень сильно/Extremely",4,""))))</f>
        <v>2</v>
      </c>
      <c r="IE68">
        <f>IF(Sheet!IE68="Совсем нет/Not at all",1,IF(Sheet!IF68="Немного/A little",2,IF(Sheet!IG68="Довольно сильно/Quite a bit",3,IF(Sheet!IH68="Очень сильно/Extremely",4,""))))</f>
        <v>1</v>
      </c>
      <c r="II68">
        <f>IF(Sheet!II68="Совсем нет/Not at all",1,IF(Sheet!IJ68="Немного/A little",2,IF(Sheet!IK68="Довольно сильно/Quite a bit",3,IF(Sheet!IL68="Очень сильно/Extremely",4,""))))</f>
        <v>2</v>
      </c>
      <c r="IM68">
        <f>IF(Sheet!IM68="Совсем нет/Not at all",1,IF(Sheet!IN68="Немного/A little",2,IF(Sheet!IO68="Довольно сильно/Quite a bit",3,IF(Sheet!IP68="Очень сильно/Extremely",4,""))))</f>
        <v>1</v>
      </c>
      <c r="IQ68">
        <f>IF(Sheet!IQ68="Совсем нет/Not at all",1,IF(Sheet!IR68="Немного/A little",2,IF(Sheet!IS68="Довольно сильно/Quite a bit ",3,IF(Sheet!IT68="Очень сильно/Extremely ",4,""))))</f>
        <v>1</v>
      </c>
      <c r="IU68">
        <f>IF(Sheet!IU68="Совсем нет/Not at all",1,IF(Sheet!IV68="Немного/A little",2,IF(Sheet!IW68="Довольно сильно/Quite a bit ",3,IF(Sheet!IX68="Очень сильно/Extremely ",4,""))))</f>
        <v>2</v>
      </c>
      <c r="IY68">
        <f>IF(Sheet!IY68="Совсем нет/Not at all",1,IF(Sheet!IZ68="Немного/A little",2,IF(Sheet!JA68="Довольно сильно/Quite a bit ",3,IF(Sheet!JB68="Очень сильно/Extremely ",4,""))))</f>
        <v>1</v>
      </c>
      <c r="JC68">
        <f>IF(Sheet!JC68="Совсем нет/Not at all",1,IF(Sheet!JD68="Немного/A little",2,IF(Sheet!JE68="Довольно сильно/Quite a bit ",3,IF(Sheet!JF68="Очень сильно/Extremely ",4,""))))</f>
        <v>1</v>
      </c>
      <c r="JG68">
        <f>IF(Sheet!JG68="Совсем нет/Not at all",1,IF(Sheet!JH68="Немного/A little",2,IF(Sheet!JI68="Довольно сильно/Quite a bit ",3,IF(Sheet!JJ68="Очень сильно/Extremely ",4,""))))</f>
        <v>1</v>
      </c>
      <c r="JK68">
        <f>IF(Sheet!JK68="Совсем нет/Not at all",1,IF(Sheet!JL68="Немного/A little",2,IF(Sheet!JM68="Довольно сильно/Quite a bit ",3,IF(Sheet!JN68="Очень сильно/Extremely ",4,""))))</f>
        <v>1</v>
      </c>
      <c r="JO68">
        <f>IF(Sheet!JO68="Совсем нет/Not at all",1,IF(Sheet!JP68="Немного/A little",2,IF(Sheet!JQ68="Довольно сильно/Quite a bit",3,IF(Sheet!JR68="Очень сильно/Extremely",4,""))))</f>
        <v>1</v>
      </c>
      <c r="JS68">
        <f>IF(Sheet!JS68="Совсем нет/Not at all",1,IF(Sheet!JT68="Немного/A little",2,IF(Sheet!JU68="Довольно сильно/Quite a bit",3,IF(Sheet!JV68="Очень сильно/Extremely",4,""))))</f>
        <v>1</v>
      </c>
      <c r="JW68">
        <f>IF(Sheet!JW68="Совсем нет/Not at all",1,IF(Sheet!JX68="Немного/A little",2,IF(Sheet!JY68="Довольно сильно/Quite a bit",3,IF(Sheet!JZ68="Очень сильно/Extremely",4,""))))</f>
        <v>1</v>
      </c>
      <c r="KA68">
        <f>IF(Sheet!KA68="Совсем нет/Not at all",1,IF(Sheet!KB68="Немного/A little",2,IF(Sheet!KC68="Довольно сильно/Quite a bit",3,IF(Sheet!KD68="Очень сильно/Extremely",4,""))))</f>
        <v>2</v>
      </c>
      <c r="KE68">
        <f>IF(Sheet!KE68="Совсем нет/Not at all",1,IF(Sheet!KF68="Немного/A little",2,IF(Sheet!KG68="Довольно сильно/Quite a bit",3,IF(Sheet!KH68="Очень сильно/Extremely",4,""))))</f>
        <v>1</v>
      </c>
      <c r="KI68">
        <f>IF(Sheet!KI68="Совсем нет/Not at all",1,IF(Sheet!KJ68="Немного/A little",2,IF(Sheet!KK68="Довольно сильно/Quite a bit",3,IF(Sheet!KL68="Очень сильно/Extremely",4,""))))</f>
        <v>1</v>
      </c>
      <c r="KM68">
        <f>IF(Sheet!KM68="Совсем нет/Not at all",1,IF(Sheet!KN68="Немного/A little",2,IF(Sheet!KO68="Довольно сильно/Quite a bit",3,IF(Sheet!KP68="Очень сильно/Extremely",4,""))))</f>
        <v>1</v>
      </c>
      <c r="KQ68">
        <f>IF(Sheet!KQ68="Совсем нет/Not at all",1,IF(Sheet!KR68="Немного/A little",2,IF(Sheet!KS68="Довольно сильно/Quite a bit",3,IF(Sheet!KT68="Очень сильно/Extremely",4,""))))</f>
        <v>1</v>
      </c>
    </row>
    <row r="69" spans="1:303">
      <c r="A69" t="str">
        <f>Sheet!A69</f>
        <v>UD001</v>
      </c>
      <c r="GW69" s="40">
        <f>SUM(GY69,HC69,HG69,HK69,HO69,HS69,HW69,IA69,IE69,II69,IM69,IQ69,IU69,IY69,JC69,JG69,JK69,JO69,JS69,JW69,KA69,KE69,KI69,KM69,KQ69)/25</f>
        <v>1.08</v>
      </c>
      <c r="GY69" s="10">
        <f>IF(Sheet!GY69="Совсем нет/Not at all",1,IF(Sheet!GZ69="Немного/A little",2,IF(Sheet!HA69="Довольно сильно/Quite a bit",3,IF(Sheet!HB69="Очень сильно/Extremely",4,""))))</f>
        <v>1</v>
      </c>
      <c r="HC69" s="10">
        <f>IF(Sheet!HC69="Совсем нет/Not at all",1,IF(Sheet!HD69="Немного/A little",2,IF(Sheet!HE69="Довольно сильно/Quite a bit",3,IF(Sheet!HF69="Очень сильно/Extremely",4,""))))</f>
        <v>1</v>
      </c>
      <c r="HG69" s="10">
        <f>IF(Sheet!HG69="Совсем нет/Not at all",1,IF(Sheet!HH69="Немного/A little",2,IF(Sheet!HI69="Довольно сильно/Quite a bit",3,IF(Sheet!HJ69="Очень сильно/Extremely",4,""))))</f>
        <v>1</v>
      </c>
      <c r="HK69" s="10">
        <f>IF(Sheet!HK69="Совсем нет/Not at all",1,IF(Sheet!HL69="Немного/A little",2,IF(Sheet!HM69="Довольно сильно/Quite a bit",3,IF(Sheet!HN69="Очень сильно/Extremely",4,""))))</f>
        <v>1</v>
      </c>
      <c r="HO69" s="10">
        <f>IF(Sheet!HO69="Совсем нет/Not at all",1,IF(Sheet!HP69="Немного/A little",2,IF(Sheet!HQ69="Довольно сильно/Quite a bit",3,IF(Sheet!HR69="Очень сильно/Extremely",4,""))))</f>
        <v>1</v>
      </c>
      <c r="HS69" s="10">
        <f>IF(Sheet!HS69="Совсем нет/Not at all",1,IF(Sheet!HT69="Немного/A little",2,IF(Sheet!HU69="Довольно сильно/Quite a bit",3,IF(Sheet!HV69="Очень сильно/Extremely",4,""))))</f>
        <v>1</v>
      </c>
      <c r="HW69" s="10">
        <f>IF(Sheet!HW69="Совсем нет/Not at all",1,IF(Sheet!HX69="Немного/A little",2,IF(Sheet!HY69="Довольно сильно/Quite a bit",3,IF(Sheet!HZ69="Очень сильно/Extremely",4,""))))</f>
        <v>2</v>
      </c>
      <c r="IA69" s="10">
        <f>IF(Sheet!IA69="Совсем нет/Not at all",1,IF(Sheet!IB69="Немного/A little",2,IF(Sheet!IC69="Довольно сильно/Quite a bit",3,IF(Sheet!ID69="Очень сильно/Extremely",4,""))))</f>
        <v>1</v>
      </c>
      <c r="IE69" s="10">
        <f>IF(Sheet!IE69="Совсем нет/Not at all",1,IF(Sheet!IF69="Немного/A little",2,IF(Sheet!IG69="Довольно сильно/Quite a bit",3,IF(Sheet!IH69="Очень сильно/Extremely",4,""))))</f>
        <v>1</v>
      </c>
      <c r="II69" s="10">
        <f>IF(Sheet!II69="Совсем нет/Not at all",1,IF(Sheet!IJ69="Немного/A little",2,IF(Sheet!IK69="Довольно сильно/Quite a bit",3,IF(Sheet!IL69="Очень сильно/Extremely",4,""))))</f>
        <v>2</v>
      </c>
      <c r="IM69" s="10">
        <f>IF(Sheet!IM69="Совсем нет/Not at all",1,IF(Sheet!IN69="Немного/A little",2,IF(Sheet!IO69="Довольно сильно/Quite a bit",3,IF(Sheet!IP69="Очень сильно/Extremely",4,""))))</f>
        <v>1</v>
      </c>
      <c r="IQ69">
        <f>IF(Sheet!IQ69="Совсем нет/Not at all",1,IF(Sheet!IR69="Немного/A little",2,IF(Sheet!IS69="Довольно сильно/Quite a bit ",3,IF(Sheet!IT69="Очень сильно/Extremely ",4,""))))</f>
        <v>1</v>
      </c>
      <c r="IU69">
        <f>IF(Sheet!IU69="Совсем нет/Not at all",1,IF(Sheet!IV69="Немного/A little",2,IF(Sheet!IW69="Довольно сильно/Quite a bit ",3,IF(Sheet!IX69="Очень сильно/Extremely ",4,""))))</f>
        <v>1</v>
      </c>
      <c r="IY69">
        <f>IF(Sheet!IY69="Совсем нет/Not at all",1,IF(Sheet!IZ69="Немного/A little",2,IF(Sheet!JA69="Довольно сильно/Quite a bit ",3,IF(Sheet!JB69="Очень сильно/Extremely ",4,""))))</f>
        <v>1</v>
      </c>
      <c r="JC69">
        <f>IF(Sheet!JC69="Совсем нет/Not at all",1,IF(Sheet!JD69="Немного/A little",2,IF(Sheet!JE69="Довольно сильно/Quite a bit ",3,IF(Sheet!JF69="Очень сильно/Extremely ",4,""))))</f>
        <v>1</v>
      </c>
      <c r="JG69">
        <f>IF(Sheet!JG69="Совсем нет/Not at all",1,IF(Sheet!JH69="Немного/A little",2,IF(Sheet!JI69="Довольно сильно/Quite a bit ",3,IF(Sheet!JJ69="Очень сильно/Extremely ",4,""))))</f>
        <v>1</v>
      </c>
      <c r="JK69">
        <f>IF(Sheet!JK69="Совсем нет/Not at all",1,IF(Sheet!JL69="Немного/A little",2,IF(Sheet!JM69="Довольно сильно/Quite a bit ",3,IF(Sheet!JN69="Очень сильно/Extremely ",4,""))))</f>
        <v>1</v>
      </c>
      <c r="JO69" s="10">
        <f>IF(Sheet!JO69="Совсем нет/Not at all",1,IF(Sheet!JP69="Немного/A little",2,IF(Sheet!JQ69="Довольно сильно/Quite a bit",3,IF(Sheet!JR69="Очень сильно/Extremely",4,""))))</f>
        <v>1</v>
      </c>
      <c r="JS69" s="10">
        <f>IF(Sheet!JS69="Совсем нет/Not at all",1,IF(Sheet!JT69="Немного/A little",2,IF(Sheet!JU69="Довольно сильно/Quite a bit",3,IF(Sheet!JV69="Очень сильно/Extremely",4,""))))</f>
        <v>1</v>
      </c>
      <c r="JW69" s="10">
        <f>IF(Sheet!JW69="Совсем нет/Not at all",1,IF(Sheet!JX69="Немного/A little",2,IF(Sheet!JY69="Довольно сильно/Quite a bit",3,IF(Sheet!JZ69="Очень сильно/Extremely",4,""))))</f>
        <v>1</v>
      </c>
      <c r="KA69" s="10">
        <f>IF(Sheet!KA69="Совсем нет/Not at all",1,IF(Sheet!KB69="Немного/A little",2,IF(Sheet!KC69="Довольно сильно/Quite a bit",3,IF(Sheet!KD69="Очень сильно/Extremely",4,""))))</f>
        <v>1</v>
      </c>
      <c r="KE69" s="10">
        <f>IF(Sheet!KE69="Совсем нет/Not at all",1,IF(Sheet!KF69="Немного/A little",2,IF(Sheet!KG69="Довольно сильно/Quite a bit",3,IF(Sheet!KH69="Очень сильно/Extremely",4,""))))</f>
        <v>1</v>
      </c>
      <c r="KI69" s="10">
        <f>IF(Sheet!KI69="Совсем нет/Not at all",1,IF(Sheet!KJ69="Немного/A little",2,IF(Sheet!KK69="Довольно сильно/Quite a bit",3,IF(Sheet!KL69="Очень сильно/Extremely",4,""))))</f>
        <v>1</v>
      </c>
      <c r="KM69" s="10">
        <f>IF(Sheet!KM69="Совсем нет/Not at all",1,IF(Sheet!KN69="Немного/A little",2,IF(Sheet!KO69="Довольно сильно/Quite a bit",3,IF(Sheet!KP69="Очень сильно/Extremely",4,""))))</f>
        <v>1</v>
      </c>
      <c r="KQ69" s="10">
        <f>IF(Sheet!KQ69="Совсем нет/Not at all",1,IF(Sheet!KR69="Немного/A little",2,IF(Sheet!KS69="Довольно сильно/Quite a bit",3,IF(Sheet!KT69="Очень сильно/Extremely",4,""))))</f>
        <v>1</v>
      </c>
    </row>
    <row r="70" spans="1:303">
      <c r="GY70" t="str">
        <f>IF(Sheet!GY70="Совсем нет/Not at all",1,IF(Sheet!GZ70="Немного/A little",2,IF(Sheet!HA70="Довольно сильно/Quite a bit",3,IF(Sheet!HB70="Очень сильно/Extremely",4,""))))</f>
        <v/>
      </c>
    </row>
  </sheetData>
  <autoFilter ref="A2:KT70" xr:uid="{00000000-0009-0000-0000-000005000000}"/>
  <conditionalFormatting sqref="GW3:GW69">
    <cfRule type="cellIs" dxfId="4" priority="2" operator="greaterThan">
      <formula>2.5</formula>
    </cfRule>
    <cfRule type="expression" dxfId="3" priority="3">
      <formula>"&gt;=2.5"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A933"/>
  </sheetPr>
  <dimension ref="A1:OJ69"/>
  <sheetViews>
    <sheetView topLeftCell="KF1" zoomScale="75" zoomScaleNormal="75" workbookViewId="0">
      <selection activeCell="KS9" sqref="KS9"/>
    </sheetView>
  </sheetViews>
  <sheetFormatPr defaultColWidth="8.5703125" defaultRowHeight="14.25"/>
  <cols>
    <col min="2" max="4" width="8.85546875" customWidth="1"/>
    <col min="5" max="5" width="77.5703125" customWidth="1"/>
    <col min="6" max="303" width="8.85546875" customWidth="1"/>
    <col min="304" max="304" width="13.7109375" customWidth="1"/>
    <col min="306" max="306" width="31.5703125" customWidth="1"/>
    <col min="307" max="307" width="40.42578125" customWidth="1"/>
    <col min="311" max="311" width="40.42578125" customWidth="1"/>
    <col min="315" max="315" width="40.42578125" customWidth="1"/>
    <col min="319" max="319" width="40.42578125" customWidth="1"/>
    <col min="323" max="323" width="40.42578125" customWidth="1"/>
    <col min="327" max="327" width="40.42578125" customWidth="1"/>
    <col min="331" max="331" width="40.42578125" customWidth="1"/>
    <col min="335" max="335" width="40.42578125" customWidth="1"/>
    <col min="339" max="339" width="40.42578125" customWidth="1"/>
    <col min="343" max="343" width="40.42578125" customWidth="1"/>
    <col min="347" max="347" width="40.42578125" customWidth="1"/>
    <col min="351" max="351" width="40.42578125" customWidth="1"/>
    <col min="355" max="355" width="40.42578125" customWidth="1"/>
    <col min="359" max="359" width="40.42578125" customWidth="1"/>
    <col min="363" max="363" width="40.42578125" customWidth="1"/>
    <col min="367" max="367" width="40.42578125" customWidth="1"/>
    <col min="371" max="371" width="40.42578125" customWidth="1"/>
    <col min="375" max="375" width="40.42578125" customWidth="1"/>
    <col min="379" max="379" width="40.42578125" customWidth="1"/>
    <col min="383" max="383" width="40.42578125" customWidth="1"/>
    <col min="387" max="387" width="47.28515625" customWidth="1"/>
    <col min="391" max="391" width="40.42578125" customWidth="1"/>
    <col min="395" max="395" width="40.42578125" customWidth="1"/>
    <col min="399" max="399" width="40.42578125" customWidth="1"/>
  </cols>
  <sheetData>
    <row r="1" spans="1:400" ht="59.65" customHeight="1">
      <c r="A1" s="18" t="str">
        <f>Sheet!A1</f>
        <v>Пожалуйста, введите свой ID, который вы получили после подписания соглашения на участие.</v>
      </c>
      <c r="B1" s="18"/>
      <c r="C1" s="18"/>
      <c r="D1" s="18"/>
      <c r="E1" s="18" t="s">
        <v>572</v>
      </c>
      <c r="F1" s="18" t="s">
        <v>552</v>
      </c>
      <c r="G1" s="18" t="s">
        <v>551</v>
      </c>
      <c r="H1" s="18"/>
      <c r="I1" s="18"/>
      <c r="J1" s="18"/>
      <c r="K1" s="18"/>
      <c r="L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41" t="s">
        <v>573</v>
      </c>
      <c r="KS1" s="42" t="s">
        <v>574</v>
      </c>
      <c r="KT1" s="18"/>
      <c r="KU1" s="43" t="str">
        <f>IF(Sheet!KU1&lt;&gt;"",Sheet!KU1, "")</f>
        <v xml:space="preserve">Внезапный страх без видимой причины / Suddenly scared for no reason </v>
      </c>
      <c r="KV1" s="18"/>
      <c r="KW1" s="18"/>
      <c r="KX1" s="18"/>
      <c r="KY1" s="43" t="str">
        <f>IF(Sheet!KY1&lt;&gt;"",Sheet!KY1, "")</f>
        <v>Чувство пугливости / Feeling fearful</v>
      </c>
      <c r="KZ1" s="18"/>
      <c r="LA1" s="18"/>
      <c r="LB1" s="18"/>
      <c r="LC1" s="43" t="str">
        <f>IF(Sheet!LC1&lt;&gt;"",Sheet!LC1, "")</f>
        <v>Обморочность, головокуржение, слабость / Faintness, dizziness or weakness</v>
      </c>
      <c r="LD1" s="18"/>
      <c r="LE1" s="18"/>
      <c r="LF1" s="18"/>
      <c r="LG1" s="43" t="str">
        <f>IF(Sheet!LG1&lt;&gt;"",Sheet!LG1, "")</f>
        <v>Нервозность или внутренняя дрожь / Nervousness or shakiness inside</v>
      </c>
      <c r="LH1" s="18"/>
      <c r="LI1" s="18"/>
      <c r="LJ1" s="18"/>
      <c r="LK1" s="43" t="str">
        <f>IF(Sheet!LK1&lt;&gt;"",Sheet!LK1, "")</f>
        <v>Сердебиение или учащение пульса / Heart pounding or racing</v>
      </c>
      <c r="LL1" s="18"/>
      <c r="LM1" s="18"/>
      <c r="LN1" s="18"/>
      <c r="LO1" s="43" t="str">
        <f>IF(Sheet!LO1&lt;&gt;"",Sheet!LO1, "")</f>
        <v>Тремор / Trembling</v>
      </c>
      <c r="LP1" s="18"/>
      <c r="LQ1" s="18"/>
      <c r="LR1" s="18"/>
      <c r="LS1" s="43" t="str">
        <f>IF(Sheet!LS1&lt;&gt;"",Sheet!LS1, "")</f>
        <v>Напряжение, взвинченность / Feeling tense or keyed up</v>
      </c>
      <c r="LT1" s="18"/>
      <c r="LU1" s="18"/>
      <c r="LV1" s="18"/>
      <c r="LW1" s="43" t="str">
        <f>IF(Sheet!LW1&lt;&gt;"",Sheet!LW1, "")</f>
        <v>Головная боль / Headaches</v>
      </c>
      <c r="LX1" s="18"/>
      <c r="LY1" s="18"/>
      <c r="LZ1" s="18"/>
      <c r="MA1" s="43" t="str">
        <f>IF(Sheet!MA1&lt;&gt;"",Sheet!MA1, "")</f>
        <v>Присуп ужаса, паники / Spell of terror or panic</v>
      </c>
      <c r="MB1" s="18"/>
      <c r="MC1" s="18"/>
      <c r="MD1" s="18"/>
      <c r="ME1" s="43" t="str">
        <f>IF(Sheet!ME1&lt;&gt;"",Sheet!ME1, "")</f>
        <v>Ощущение тревожности, не можете найти себе место / Feeling restless or can’t sit still</v>
      </c>
      <c r="MF1" s="18"/>
      <c r="MG1" s="18"/>
      <c r="MH1" s="44"/>
      <c r="MI1" s="45" t="str">
        <f>IF(Sheet!MI1&lt;&gt;"",Sheet!MI1, "")</f>
        <v>Ощущение вялости, заторможенности / Feeling low in energy, slowed down</v>
      </c>
      <c r="MJ1" s="18"/>
      <c r="MK1" s="18"/>
      <c r="ML1" s="18"/>
      <c r="MM1" s="45" t="str">
        <f>IF(Sheet!MM1&lt;&gt;"",Sheet!MM1, "")</f>
        <v>Обвиняете себя за что-либо / Blaming yourself for things</v>
      </c>
      <c r="MN1" s="18"/>
      <c r="MO1" s="18"/>
      <c r="MP1" s="18"/>
      <c r="MQ1" s="45" t="str">
        <f>IF(Sheet!MQ1&lt;&gt;"",Sheet!MQ1, "")</f>
        <v>Легко начинаете плакать / Crying easily</v>
      </c>
      <c r="MR1" s="18"/>
      <c r="MS1" s="18"/>
      <c r="MT1" s="18"/>
      <c r="MU1" s="45" t="str">
        <f>IF(Sheet!MU1&lt;&gt;"",Sheet!MU1, "")</f>
        <v>Утрата сексуального влечения или удовольствия / Loss of sexual interest or pleasure</v>
      </c>
      <c r="MV1" s="18"/>
      <c r="MW1" s="18"/>
      <c r="MX1" s="18"/>
      <c r="MY1" s="45" t="str">
        <f>IF(Sheet!MY1&lt;&gt;"",Sheet!MY1, "")</f>
        <v>Плохой аппетит / Poor appetite</v>
      </c>
      <c r="MZ1" s="18"/>
      <c r="NA1" s="18"/>
      <c r="NB1" s="18"/>
      <c r="NC1" s="45" t="str">
        <f>IF(Sheet!NC1&lt;&gt;"",Sheet!NC1, "")</f>
        <v xml:space="preserve">Сложности с засыпанием или со сном / Difficulty falling asleep, staying asleep </v>
      </c>
      <c r="ND1" s="18"/>
      <c r="NE1" s="18"/>
      <c r="NF1" s="18"/>
      <c r="NG1" s="45" t="str">
        <f>IF(Sheet!NG1&lt;&gt;"",Sheet!NG1, "")</f>
        <v>Чувство безнадежности в отношении будущего / Feeling hopeless about future</v>
      </c>
      <c r="NH1" s="18"/>
      <c r="NI1" s="18"/>
      <c r="NJ1" s="18"/>
      <c r="NK1" s="45" t="str">
        <f>IF(Sheet!NK1&lt;&gt;"",Sheet!NK1, "")</f>
        <v>Подавленное настроение / Feeling blue</v>
      </c>
      <c r="NL1" s="18"/>
      <c r="NM1" s="18"/>
      <c r="NN1" s="18"/>
      <c r="NO1" s="45" t="str">
        <f>IF(Sheet!NO1&lt;&gt;"",Sheet!NO1, "")</f>
        <v>Чувство одиночества / Feeling lonely</v>
      </c>
      <c r="NP1" s="18"/>
      <c r="NQ1" s="18"/>
      <c r="NR1" s="18"/>
      <c r="NS1" s="45" t="str">
        <f>IF(Sheet!NS1&lt;&gt;"",Sheet!NS1, "")</f>
        <v>Чувство, что вы в ловушке или пойманы / Feeling of being trapped or caught</v>
      </c>
      <c r="NT1" s="18"/>
      <c r="NU1" s="18"/>
      <c r="NV1" s="18"/>
      <c r="NW1" s="45" t="str">
        <f>IF(Sheet!NW1&lt;&gt;"",Sheet!NW1, "")</f>
        <v>Чрезмерное беспокойство по незначительным поводам / Worry too much about things</v>
      </c>
      <c r="NX1" s="18"/>
      <c r="NY1" s="18"/>
      <c r="NZ1" s="18"/>
      <c r="OA1" s="45" t="str">
        <f>IF(Sheet!OA1&lt;&gt;"",Sheet!OA1, "")</f>
        <v>Отсутствие интереса к чему-либо / Feeling no interest in things</v>
      </c>
      <c r="OB1" s="18"/>
      <c r="OC1" s="18"/>
      <c r="OD1" s="18"/>
      <c r="OE1" s="45" t="str">
        <f>IF(Sheet!OE1&lt;&gt;"",Sheet!OE1, "")</f>
        <v>Ощущение, что все дается с трудом / Feeling everything is an effort</v>
      </c>
      <c r="OF1" s="18"/>
      <c r="OG1" s="18"/>
      <c r="OH1" s="18"/>
      <c r="OI1" s="45" t="str">
        <f>IF(Sheet!OI1&lt;&gt;"",Sheet!OI1, "")</f>
        <v>Ощущение своей никчемности / Feeling of worthlessness</v>
      </c>
    </row>
    <row r="2" spans="1:400" ht="13.9">
      <c r="E2" t="s">
        <v>72</v>
      </c>
      <c r="F2" s="15">
        <v>0.640625</v>
      </c>
      <c r="G2">
        <v>41</v>
      </c>
      <c r="KT2" s="46" t="s">
        <v>575</v>
      </c>
      <c r="KU2" s="12"/>
      <c r="KY2" s="12"/>
      <c r="LC2" s="12"/>
      <c r="LG2" s="12"/>
      <c r="LK2" s="12"/>
      <c r="LO2" s="12"/>
      <c r="LS2" s="12"/>
      <c r="LW2" s="12"/>
      <c r="MA2" s="12"/>
      <c r="ME2" s="12"/>
      <c r="MH2" s="25"/>
      <c r="MI2" s="12"/>
      <c r="MM2" s="12"/>
      <c r="MQ2" s="12"/>
      <c r="MU2" s="12"/>
      <c r="MY2" s="12"/>
      <c r="NC2" s="12"/>
      <c r="NG2" s="12"/>
      <c r="NK2" s="12"/>
      <c r="NO2" s="12"/>
      <c r="NS2" s="12"/>
      <c r="NW2" s="12"/>
      <c r="OA2" s="12"/>
      <c r="OE2" s="12"/>
      <c r="OI2" s="12"/>
    </row>
    <row r="3" spans="1:400" ht="16.350000000000001">
      <c r="A3" t="str">
        <f>Sheet!A3</f>
        <v>SC001</v>
      </c>
      <c r="E3" t="s">
        <v>73</v>
      </c>
      <c r="F3" s="15">
        <v>0.546875</v>
      </c>
      <c r="G3">
        <v>35</v>
      </c>
      <c r="KR3" s="27">
        <f>SUM(KU3,KY3,LC3,LG3,LK3,LO3,LS3,LW3,MA3,ME3)/10</f>
        <v>1</v>
      </c>
      <c r="KS3" s="27">
        <f>SUM(MI3,MM3,MQ3,MU3,MY3,NC3,NG3,NK3,NO3,NS3,NW3,OA3,OE3,OI3)/14</f>
        <v>1.2857142857142858</v>
      </c>
      <c r="KT3" s="34">
        <f>COUNTIF(KR3:KR69,"&gt;1.75")/64</f>
        <v>0.4375</v>
      </c>
      <c r="KU3">
        <f>IF(Sheet!KU3="Совсем нет / Not at all",1,IF(Sheet!KV3="Немного / A little",2,IF(Sheet!KW3="Довольно сильно / Quite a bit",3,IF(Sheet!KX3="Очень сильно / Extremely",4,""))))</f>
        <v>1</v>
      </c>
      <c r="KY3">
        <f>IF(Sheet!KY3="Совсем нет / Not at all",1,IF(Sheet!KZ3="Немного / A little",2,IF(Sheet!LA3="Довольно сильно / Quite a bit",3,IF(Sheet!LB3="Очень сильно / Extremely",4,""))))</f>
        <v>1</v>
      </c>
      <c r="LC3">
        <f>IF(Sheet!LC3="Совсем нет / Not at all",1,IF(Sheet!LD3="Немного / A little",2,IF(Sheet!LE3="Довольно сильно / Quite a bit",3,IF(Sheet!LF3="Очень сильно / Extremely",4,""))))</f>
        <v>1</v>
      </c>
      <c r="LG3">
        <f>IF(Sheet!LG3="Совсем нет / Not at all",1,IF(Sheet!LH3="Немного / A little",2,IF(Sheet!LI3="Довольно сильно / Quite a bit",3,IF(Sheet!LJ3="Очень сильно / Extremely",4,""))))</f>
        <v>1</v>
      </c>
      <c r="LK3">
        <f>IF(Sheet!LK3="Совсем нет / Not at all",1,IF(Sheet!LL3="Немного / A little",2,IF(Sheet!LM3="Довольно сильно / Quite a bit",3,IF(Sheet!LN3="Очень сильно / Extremely",4,""))))</f>
        <v>1</v>
      </c>
      <c r="LO3">
        <f>IF(Sheet!LO3="Совсем нет / Not at all",1,IF(Sheet!LP3="Немного / A little",2,IF(Sheet!LQ3="Довольно сильно / Quite a bit",3,IF(Sheet!LR3="Очень сильно / Extremely",4,""))))</f>
        <v>1</v>
      </c>
      <c r="LS3">
        <f>IF(Sheet!LS3="Совсем нет / Not at all",1,IF(Sheet!LT3="Немного / A little",2,IF(Sheet!LU3="Довольно сильно / Quite a bit",3,IF(Sheet!LV3="Очень сильно / Extremely",4,""))))</f>
        <v>1</v>
      </c>
      <c r="LW3">
        <f>IF(Sheet!LW3="Совсем нет / Not at all",1,IF(Sheet!LX3="Немного / A little",2,IF(Sheet!LY3="Довольно сильно / Quite a bit",3,IF(Sheet!LZ3="Очень сильно / Extremely",4,""))))</f>
        <v>1</v>
      </c>
      <c r="MA3">
        <f>IF(Sheet!MA3="Совсем нет / Not at all",1,IF(Sheet!MB3="Немного / A little",2,IF(Sheet!MC3="Довольно сильно / Quite a bit",3,IF(Sheet!MD3="Очень сильно / Extremely",4,""))))</f>
        <v>1</v>
      </c>
      <c r="ME3">
        <f>IF(Sheet!ME3="Совсем нет / Not at all",1,IF(Sheet!MF3="Немного / A little",2,IF(Sheet!MG3="Довольно сильно / Quite a bit",3,IF(Sheet!MH3="Очень сильно / Extremely",4,""))))</f>
        <v>1</v>
      </c>
      <c r="MH3" s="25"/>
      <c r="MI3">
        <f>IF(Sheet!MI3="Совсем нет / Not at all",1,IF(Sheet!MJ3="Немного / A little",2,IF(Sheet!MK3="Довольно сильно / Quite a bit",3,IF(Sheet!ML3="Очень сильно / Extremely",4,""))))</f>
        <v>1</v>
      </c>
      <c r="MM3">
        <f>IF(Sheet!MM3="Совсем нет / Not at all",1,IF(Sheet!MN3="Немного / A little",2,IF(Sheet!MO3="Довольно сильно / Quite a bit",3,IF(Sheet!MP3="Очень сильно / Extremely",4,""))))</f>
        <v>1</v>
      </c>
      <c r="MQ3">
        <f>IF(Sheet!MQ3="Совсем нет / Not at all",1,IF(Sheet!MR3="Немного / A little",2,IF(Sheet!MS3="Довольно сильно / Quite a bit",3,IF(Sheet!MT3="Очень сильно / Extremely",4,""))))</f>
        <v>1</v>
      </c>
      <c r="MU3">
        <f>IF(Sheet!MU3="Совсем нет / Not at all",1,IF(Sheet!MV3="Немного / A little",2,IF(Sheet!MW3="Довольно сильно / Quite a bit",3,IF(Sheet!MX3="Очень сильно / Extremely",4,""))))</f>
        <v>2</v>
      </c>
      <c r="MY3">
        <f>IF(Sheet!MY3="Совсем нет / Not at all",1,IF(Sheet!MZ3="Немного / A little",2,IF(Sheet!NA3="Довольно сильно / Quite a bit",3,IF(Sheet!NB3="Очень сильно / Extremely",4,""))))</f>
        <v>2</v>
      </c>
      <c r="NC3">
        <f>IF(Sheet!NC3="Совсем нет / Not at all",1,IF(Sheet!ND3="Немного / A little",2,IF(Sheet!NE3="Довольно сильно / Quite a bit",3,IF(Sheet!NF3="Очень сильно / Extremely",4,""))))</f>
        <v>1</v>
      </c>
      <c r="NG3">
        <f>IF(Sheet!NG3="Совсем нет / Not at all",1,IF(Sheet!NH3="Немного / A little",2,IF(Sheet!NI3="Довольно сильно / Quite a bit",3,IF(Sheet!NJ3="Очень сильно / Extremely",4,""))))</f>
        <v>1</v>
      </c>
      <c r="NK3">
        <f>IF(Sheet!NK3="Совсем нет / Not at all",1,IF(Sheet!NL3="Немного / A little",2,IF(Sheet!NM3="Довольно сильно / Quite a bit",3,IF(Sheet!NN3="Очень сильно / Extremely",4,""))))</f>
        <v>1</v>
      </c>
      <c r="NO3">
        <f>IF(Sheet!NO3="Совсем нет / Not at all",1,IF(Sheet!NP3="Немного / A little",2,IF(Sheet!NQ3="Довольно сильно / Quite a bit",3,IF(Sheet!NR3="Очень сильно / Extremely",4,""))))</f>
        <v>1</v>
      </c>
      <c r="NS3">
        <f>IF(Sheet!NS3="Совсем нет / Not at all",1,IF(Sheet!NT3="Немного / A little",2,IF(Sheet!NU3="Довольно сильно / Quite a bit",3,IF(Sheet!NV3="Очень сильно / Extremely",4,""))))</f>
        <v>1</v>
      </c>
      <c r="NW3">
        <f>IF(Sheet!NW3="Совсем нет / Not at all",1,IF(Sheet!NX3="Немного / A little",2,IF(Sheet!NY3="Довольно сильно / Quite a bit",3,IF(Sheet!NZ3="Очень сильно / Extremely",4,""))))</f>
        <v>2</v>
      </c>
      <c r="OA3">
        <f>IF(Sheet!OA3="Совсем нет / Not at all",1,IF(Sheet!OB3="Немного / A little",2,IF(Sheet!OC3="Довольно сильно / Quite a bit",3,IF(Sheet!OD3="Очень сильно / Extremely",4,""))))</f>
        <v>1</v>
      </c>
      <c r="OE3">
        <f>IF(Sheet!OE3="Совсем нет / Not at all",1,IF(Sheet!OF3="Немного / A little",2,IF(Sheet!OG3="Довольно сильно / Quite a bit",3,IF(Sheet!OH3="Очень сильно / Extremely",4,""))))</f>
        <v>1</v>
      </c>
      <c r="OI3">
        <f>IF(Sheet!OI3="Совсем нет / Not at all",1,IF(Sheet!OJ3="Немного / A little",2,IF(Sheet!OK3="Довольно сильно / Quite a bit",3,IF(Sheet!OL3="Очень сильно / Extremely",4,""))))</f>
        <v>2</v>
      </c>
    </row>
    <row r="4" spans="1:400" ht="16.350000000000001">
      <c r="A4" t="str">
        <f>Sheet!A4</f>
        <v>CF002</v>
      </c>
      <c r="E4" t="s">
        <v>75</v>
      </c>
      <c r="F4" s="15">
        <v>0.703125</v>
      </c>
      <c r="G4">
        <v>45</v>
      </c>
      <c r="KR4" s="27">
        <f>SUM(KU4,KY4,LC4,LG4,LK4,LO4,LS4,LW4,MA4,ME4)/10</f>
        <v>1.3</v>
      </c>
      <c r="KS4" s="27">
        <f>SUM(MI4,MM4,MQ4,MU4,MY4,NC4,NG4,NK4,NO4,NS4,NW4,OA4,OE4,OI4)/14</f>
        <v>2.1428571428571428</v>
      </c>
      <c r="KU4">
        <f>IF(Sheet!KU4="Совсем нет / Not at all",1,IF(Sheet!KV4="Немного / A little",2,IF(Sheet!KW4="Довольно сильно / Quite a bit",3,IF(Sheet!KX4="Очень сильно / Extremely",4,""))))</f>
        <v>1</v>
      </c>
      <c r="KY4">
        <f>IF(Sheet!KY4="Совсем нет / Not at all",1,IF(Sheet!KZ4="Немного / A little",2,IF(Sheet!LA4="Довольно сильно / Quite a bit",3,IF(Sheet!LB4="Очень сильно / Extremely",4,""))))</f>
        <v>1</v>
      </c>
      <c r="LC4">
        <f>IF(Sheet!LC4="Совсем нет / Not at all",1,IF(Sheet!LD4="Немного / A little",2,IF(Sheet!LE4="Довольно сильно / Quite a bit",3,IF(Sheet!LF4="Очень сильно / Extremely",4,""))))</f>
        <v>2</v>
      </c>
      <c r="LG4">
        <f>IF(Sheet!LG4="Совсем нет / Not at all",1,IF(Sheet!LH4="Немного / A little",2,IF(Sheet!LI4="Довольно сильно / Quite a bit",3,IF(Sheet!LJ4="Очень сильно / Extremely",4,""))))</f>
        <v>1</v>
      </c>
      <c r="LK4">
        <f>IF(Sheet!LK4="Совсем нет / Not at all",1,IF(Sheet!LL4="Немного / A little",2,IF(Sheet!LM4="Довольно сильно / Quite a bit",3,IF(Sheet!LN4="Очень сильно / Extremely",4,""))))</f>
        <v>1</v>
      </c>
      <c r="LO4">
        <f>IF(Sheet!LO4="Совсем нет / Not at all",1,IF(Sheet!LP4="Немного / A little",2,IF(Sheet!LQ4="Довольно сильно / Quite a bit",3,IF(Sheet!LR4="Очень сильно / Extremely",4,""))))</f>
        <v>1</v>
      </c>
      <c r="LS4">
        <f>IF(Sheet!LS4="Совсем нет / Not at all",1,IF(Sheet!LT4="Немного / A little",2,IF(Sheet!LU4="Довольно сильно / Quite a bit",3,IF(Sheet!LV4="Очень сильно / Extremely",4,""))))</f>
        <v>2</v>
      </c>
      <c r="LW4">
        <f>IF(Sheet!LW4="Совсем нет / Not at all",1,IF(Sheet!LX4="Немного / A little",2,IF(Sheet!LY4="Довольно сильно / Quite a bit",3,IF(Sheet!LZ4="Очень сильно / Extremely",4,""))))</f>
        <v>1</v>
      </c>
      <c r="MA4">
        <f>IF(Sheet!MA4="Совсем нет / Not at all",1,IF(Sheet!MB4="Немного / A little",2,IF(Sheet!MC4="Довольно сильно / Quite a bit",3,IF(Sheet!MD4="Очень сильно / Extremely",4,""))))</f>
        <v>1</v>
      </c>
      <c r="ME4">
        <f>IF(Sheet!ME4="Совсем нет / Not at all",1,IF(Sheet!MF4="Немного / A little",2,IF(Sheet!MG4="Довольно сильно / Quite a bit",3,IF(Sheet!MH4="Очень сильно / Extremely",4,""))))</f>
        <v>2</v>
      </c>
      <c r="MH4" s="25"/>
      <c r="MI4">
        <f>IF(Sheet!MI4="Совсем нет / Not at all",1,IF(Sheet!MJ4="Немного / A little",2,IF(Sheet!MK4="Довольно сильно / Quite a bit",3,IF(Sheet!ML4="Очень сильно / Extremely",4,""))))</f>
        <v>3</v>
      </c>
      <c r="MM4">
        <f>IF(Sheet!MM4="Совсем нет / Not at all",1,IF(Sheet!MN4="Немного / A little",2,IF(Sheet!MO4="Довольно сильно / Quite a bit",3,IF(Sheet!MP4="Очень сильно / Extremely",4,""))))</f>
        <v>3</v>
      </c>
      <c r="MQ4">
        <f>IF(Sheet!MQ4="Совсем нет / Not at all",1,IF(Sheet!MR4="Немного / A little",2,IF(Sheet!MS4="Довольно сильно / Quite a bit",3,IF(Sheet!MT4="Очень сильно / Extremely",4,""))))</f>
        <v>1</v>
      </c>
      <c r="MU4">
        <f>IF(Sheet!MU4="Совсем нет / Not at all",1,IF(Sheet!MV4="Немного / A little",2,IF(Sheet!MW4="Довольно сильно / Quite a bit",3,IF(Sheet!MX4="Очень сильно / Extremely",4,""))))</f>
        <v>3</v>
      </c>
      <c r="MY4">
        <f>IF(Sheet!MY4="Совсем нет / Not at all",1,IF(Sheet!MZ4="Немного / A little",2,IF(Sheet!NA4="Довольно сильно / Quite a bit",3,IF(Sheet!NB4="Очень сильно / Extremely",4,""))))</f>
        <v>1</v>
      </c>
      <c r="NC4">
        <f>IF(Sheet!NC4="Совсем нет / Not at all",1,IF(Sheet!ND4="Немного / A little",2,IF(Sheet!NE4="Довольно сильно / Quite a bit",3,IF(Sheet!NF4="Очень сильно / Extremely",4,""))))</f>
        <v>3</v>
      </c>
      <c r="NG4">
        <f>IF(Sheet!NG4="Совсем нет / Not at all",1,IF(Sheet!NH4="Немного / A little",2,IF(Sheet!NI4="Довольно сильно / Quite a bit",3,IF(Sheet!NJ4="Очень сильно / Extremely",4,""))))</f>
        <v>1</v>
      </c>
      <c r="NK4">
        <f>IF(Sheet!NK4="Совсем нет / Not at all",1,IF(Sheet!NL4="Немного / A little",2,IF(Sheet!NM4="Довольно сильно / Quite a bit",3,IF(Sheet!NN4="Очень сильно / Extremely",4,""))))</f>
        <v>3</v>
      </c>
      <c r="NO4">
        <f>IF(Sheet!NO4="Совсем нет / Not at all",1,IF(Sheet!NP4="Немного / A little",2,IF(Sheet!NQ4="Довольно сильно / Quite a bit",3,IF(Sheet!NR4="Очень сильно / Extremely",4,""))))</f>
        <v>1</v>
      </c>
      <c r="NS4">
        <f>IF(Sheet!NS4="Совсем нет / Not at all",1,IF(Sheet!NT4="Немного / A little",2,IF(Sheet!NU4="Довольно сильно / Quite a bit",3,IF(Sheet!NV4="Очень сильно / Extremely",4,""))))</f>
        <v>1</v>
      </c>
      <c r="NW4">
        <f>IF(Sheet!NW4="Совсем нет / Not at all",1,IF(Sheet!NX4="Немного / A little",2,IF(Sheet!NY4="Довольно сильно / Quite a bit",3,IF(Sheet!NZ4="Очень сильно / Extremely",4,""))))</f>
        <v>1</v>
      </c>
      <c r="OA4">
        <f>IF(Sheet!OA4="Совсем нет / Not at all",1,IF(Sheet!OB4="Немного / A little",2,IF(Sheet!OC4="Довольно сильно / Quite a bit",3,IF(Sheet!OD4="Очень сильно / Extremely",4,""))))</f>
        <v>1</v>
      </c>
      <c r="OE4">
        <f>IF(Sheet!OE4="Совсем нет / Not at all",1,IF(Sheet!OF4="Немного / A little",2,IF(Sheet!OG4="Довольно сильно / Quite a bit",3,IF(Sheet!OH4="Очень сильно / Extremely",4,""))))</f>
        <v>4</v>
      </c>
      <c r="OI4">
        <f>IF(Sheet!OI4="Совсем нет / Not at all",1,IF(Sheet!OJ4="Немного / A little",2,IF(Sheet!OK4="Довольно сильно / Quite a bit",3,IF(Sheet!OL4="Очень сильно / Extremely",4,""))))</f>
        <v>4</v>
      </c>
    </row>
    <row r="5" spans="1:400" ht="16.350000000000001">
      <c r="A5" t="str">
        <f>Sheet!A5</f>
        <v>CT001</v>
      </c>
      <c r="E5" t="s">
        <v>76</v>
      </c>
      <c r="F5" s="15">
        <v>0.640625</v>
      </c>
      <c r="G5">
        <v>41</v>
      </c>
      <c r="KR5" s="27">
        <f>SUM(KU5,KY5,LC5,LG5,LK5,LO5,LS5,LW5,MA5,ME5)/10</f>
        <v>1</v>
      </c>
      <c r="KS5" s="27">
        <f>SUM(MI5,MM5,MQ5,MU5,MY5,NC5,NG5,NK5,NO5,NS5,NW5,OA5,OE5,OI5)/14</f>
        <v>1.3571428571428572</v>
      </c>
      <c r="KU5">
        <f>IF(Sheet!KU5="Совсем нет / Not at all",1,IF(Sheet!KV5="Немного / A little",2,IF(Sheet!KW5="Довольно сильно / Quite a bit",3,IF(Sheet!KX5="Очень сильно / Extremely",4,""))))</f>
        <v>1</v>
      </c>
      <c r="KY5">
        <f>IF(Sheet!KY5="Совсем нет / Not at all",1,IF(Sheet!KZ5="Немного / A little",2,IF(Sheet!LA5="Довольно сильно / Quite a bit",3,IF(Sheet!LB5="Очень сильно / Extremely",4,""))))</f>
        <v>1</v>
      </c>
      <c r="LC5">
        <f>IF(Sheet!LC5="Совсем нет / Not at all",1,IF(Sheet!LD5="Немного / A little",2,IF(Sheet!LE5="Довольно сильно / Quite a bit",3,IF(Sheet!LF5="Очень сильно / Extremely",4,""))))</f>
        <v>1</v>
      </c>
      <c r="LG5">
        <f>IF(Sheet!LG5="Совсем нет / Not at all",1,IF(Sheet!LH5="Немного / A little",2,IF(Sheet!LI5="Довольно сильно / Quite a bit",3,IF(Sheet!LJ5="Очень сильно / Extremely",4,""))))</f>
        <v>1</v>
      </c>
      <c r="LK5">
        <f>IF(Sheet!LK5="Совсем нет / Not at all",1,IF(Sheet!LL5="Немного / A little",2,IF(Sheet!LM5="Довольно сильно / Quite a bit",3,IF(Sheet!LN5="Очень сильно / Extremely",4,""))))</f>
        <v>1</v>
      </c>
      <c r="LO5">
        <f>IF(Sheet!LO5="Совсем нет / Not at all",1,IF(Sheet!LP5="Немного / A little",2,IF(Sheet!LQ5="Довольно сильно / Quite a bit",3,IF(Sheet!LR5="Очень сильно / Extremely",4,""))))</f>
        <v>1</v>
      </c>
      <c r="LS5">
        <f>IF(Sheet!LS5="Совсем нет / Not at all",1,IF(Sheet!LT5="Немного / A little",2,IF(Sheet!LU5="Довольно сильно / Quite a bit",3,IF(Sheet!LV5="Очень сильно / Extremely",4,""))))</f>
        <v>1</v>
      </c>
      <c r="LW5">
        <f>IF(Sheet!LW5="Совсем нет / Not at all",1,IF(Sheet!LX5="Немного / A little",2,IF(Sheet!LY5="Довольно сильно / Quite a bit",3,IF(Sheet!LZ5="Очень сильно / Extremely",4,""))))</f>
        <v>1</v>
      </c>
      <c r="MA5">
        <f>IF(Sheet!MA5="Совсем нет / Not at all",1,IF(Sheet!MB5="Немного / A little",2,IF(Sheet!MC5="Довольно сильно / Quite a bit",3,IF(Sheet!MD5="Очень сильно / Extremely",4,""))))</f>
        <v>1</v>
      </c>
      <c r="ME5">
        <f>IF(Sheet!ME5="Совсем нет / Not at all",1,IF(Sheet!MF5="Немного / A little",2,IF(Sheet!MG5="Довольно сильно / Quite a bit",3,IF(Sheet!MH5="Очень сильно / Extremely",4,""))))</f>
        <v>1</v>
      </c>
      <c r="MH5" s="25"/>
      <c r="MI5">
        <f>IF(Sheet!MI5="Совсем нет / Not at all",1,IF(Sheet!MJ5="Немного / A little",2,IF(Sheet!MK5="Довольно сильно / Quite a bit",3,IF(Sheet!ML5="Очень сильно / Extremely",4,""))))</f>
        <v>1</v>
      </c>
      <c r="MM5">
        <f>IF(Sheet!MM5="Совсем нет / Not at all",1,IF(Sheet!MN5="Немного / A little",2,IF(Sheet!MO5="Довольно сильно / Quite a bit",3,IF(Sheet!MP5="Очень сильно / Extremely",4,""))))</f>
        <v>1</v>
      </c>
      <c r="MQ5">
        <f>IF(Sheet!MQ5="Совсем нет / Not at all",1,IF(Sheet!MR5="Немного / A little",2,IF(Sheet!MS5="Довольно сильно / Quite a bit",3,IF(Sheet!MT5="Очень сильно / Extremely",4,""))))</f>
        <v>1</v>
      </c>
      <c r="MU5">
        <f>IF(Sheet!MU5="Совсем нет / Not at all",1,IF(Sheet!MV5="Немного / A little",2,IF(Sheet!MW5="Довольно сильно / Quite a bit",3,IF(Sheet!MX5="Очень сильно / Extremely",4,""))))</f>
        <v>1</v>
      </c>
      <c r="MY5">
        <f>IF(Sheet!MY5="Совсем нет / Not at all",1,IF(Sheet!MZ5="Немного / A little",2,IF(Sheet!NA5="Довольно сильно / Quite a bit",3,IF(Sheet!NB5="Очень сильно / Extremely",4,""))))</f>
        <v>1</v>
      </c>
      <c r="NC5">
        <f>IF(Sheet!NC5="Совсем нет / Not at all",1,IF(Sheet!ND5="Немного / A little",2,IF(Sheet!NE5="Довольно сильно / Quite a bit",3,IF(Sheet!NF5="Очень сильно / Extremely",4,""))))</f>
        <v>1</v>
      </c>
      <c r="NG5">
        <f>IF(Sheet!NG5="Совсем нет / Not at all",1,IF(Sheet!NH5="Немного / A little",2,IF(Sheet!NI5="Довольно сильно / Quite a bit",3,IF(Sheet!NJ5="Очень сильно / Extremely",4,""))))</f>
        <v>2</v>
      </c>
      <c r="NK5">
        <f>IF(Sheet!NK5="Совсем нет / Not at all",1,IF(Sheet!NL5="Немного / A little",2,IF(Sheet!NM5="Довольно сильно / Quite a bit",3,IF(Sheet!NN5="Очень сильно / Extremely",4,""))))</f>
        <v>1</v>
      </c>
      <c r="NO5">
        <f>IF(Sheet!NO5="Совсем нет / Not at all",1,IF(Sheet!NP5="Немного / A little",2,IF(Sheet!NQ5="Довольно сильно / Quite a bit",3,IF(Sheet!NR5="Очень сильно / Extremely",4,""))))</f>
        <v>2</v>
      </c>
      <c r="NS5">
        <f>IF(Sheet!NS5="Совсем нет / Not at all",1,IF(Sheet!NT5="Немного / A little",2,IF(Sheet!NU5="Довольно сильно / Quite a bit",3,IF(Sheet!NV5="Очень сильно / Extremely",4,""))))</f>
        <v>1</v>
      </c>
      <c r="NW5">
        <f>IF(Sheet!NW5="Совсем нет / Not at all",1,IF(Sheet!NX5="Немного / A little",2,IF(Sheet!NY5="Довольно сильно / Quite a bit",3,IF(Sheet!NZ5="Очень сильно / Extremely",4,""))))</f>
        <v>1</v>
      </c>
      <c r="OA5">
        <f>IF(Sheet!OA5="Совсем нет / Not at all",1,IF(Sheet!OB5="Немного / A little",2,IF(Sheet!OC5="Довольно сильно / Quite a bit",3,IF(Sheet!OD5="Очень сильно / Extremely",4,""))))</f>
        <v>2</v>
      </c>
      <c r="OE5">
        <f>IF(Sheet!OE5="Совсем нет / Not at all",1,IF(Sheet!OF5="Немного / A little",2,IF(Sheet!OG5="Довольно сильно / Quite a bit",3,IF(Sheet!OH5="Очень сильно / Extremely",4,""))))</f>
        <v>2</v>
      </c>
      <c r="OI5">
        <f>IF(Sheet!OI5="Совсем нет / Not at all",1,IF(Sheet!OJ5="Немного / A little",2,IF(Sheet!OK5="Довольно сильно / Quite a bit",3,IF(Sheet!OL5="Очень сильно / Extremely",4,""))))</f>
        <v>2</v>
      </c>
    </row>
    <row r="6" spans="1:400" ht="16.350000000000001">
      <c r="A6" t="str">
        <f>Sheet!A6</f>
        <v>GU001</v>
      </c>
      <c r="E6" t="s">
        <v>78</v>
      </c>
      <c r="F6" s="15">
        <v>0.78125</v>
      </c>
      <c r="G6">
        <v>50</v>
      </c>
      <c r="KR6" s="27">
        <f>SUM(KU6,KY6,LC6,LG6,LK6,LO6,LS6,LW6,MA6,ME6)/10</f>
        <v>1.5</v>
      </c>
      <c r="KS6" s="27">
        <f>SUM(MI6,MM6,MQ6,MU6,MY6,NC6,NG6,NK6,NO6,NS6,NW6,OA6,OE6,OI6)/14</f>
        <v>1.5</v>
      </c>
      <c r="KT6" t="str">
        <f>KS1</f>
        <v>Depression</v>
      </c>
      <c r="KU6">
        <f>IF(Sheet!KU6="Совсем нет / Not at all",1,IF(Sheet!KV6="Немного / A little",2,IF(Sheet!KW6="Довольно сильно / Quite a bit",3,IF(Sheet!KX6="Очень сильно / Extremely",4,""))))</f>
        <v>1</v>
      </c>
      <c r="KY6">
        <f>IF(Sheet!KY6="Совсем нет / Not at all",1,IF(Sheet!KZ6="Немного / A little",2,IF(Sheet!LA6="Довольно сильно / Quite a bit",3,IF(Sheet!LB6="Очень сильно / Extremely",4,""))))</f>
        <v>2</v>
      </c>
      <c r="LC6">
        <f>IF(Sheet!LC6="Совсем нет / Not at all",1,IF(Sheet!LD6="Немного / A little",2,IF(Sheet!LE6="Довольно сильно / Quite a bit",3,IF(Sheet!LF6="Очень сильно / Extremely",4,""))))</f>
        <v>1</v>
      </c>
      <c r="LG6">
        <f>IF(Sheet!LG6="Совсем нет / Not at all",1,IF(Sheet!LH6="Немного / A little",2,IF(Sheet!LI6="Довольно сильно / Quite a bit",3,IF(Sheet!LJ6="Очень сильно / Extremely",4,""))))</f>
        <v>2</v>
      </c>
      <c r="LK6">
        <f>IF(Sheet!LK6="Совсем нет / Not at all",1,IF(Sheet!LL6="Немного / A little",2,IF(Sheet!LM6="Довольно сильно / Quite a bit",3,IF(Sheet!LN6="Очень сильно / Extremely",4,""))))</f>
        <v>2</v>
      </c>
      <c r="LO6">
        <f>IF(Sheet!LO6="Совсем нет / Not at all",1,IF(Sheet!LP6="Немного / A little",2,IF(Sheet!LQ6="Довольно сильно / Quite a bit",3,IF(Sheet!LR6="Очень сильно / Extremely",4,""))))</f>
        <v>2</v>
      </c>
      <c r="LS6">
        <f>IF(Sheet!LS6="Совсем нет / Not at all",1,IF(Sheet!LT6="Немного / A little",2,IF(Sheet!LU6="Довольно сильно / Quite a bit",3,IF(Sheet!LV6="Очень сильно / Extremely",4,""))))</f>
        <v>1</v>
      </c>
      <c r="LW6">
        <f>IF(Sheet!LW6="Совсем нет / Not at all",1,IF(Sheet!LX6="Немного / A little",2,IF(Sheet!LY6="Довольно сильно / Quite a bit",3,IF(Sheet!LZ6="Очень сильно / Extremely",4,""))))</f>
        <v>2</v>
      </c>
      <c r="MA6">
        <f>IF(Sheet!MA6="Совсем нет / Not at all",1,IF(Sheet!MB6="Немного / A little",2,IF(Sheet!MC6="Довольно сильно / Quite a bit",3,IF(Sheet!MD6="Очень сильно / Extremely",4,""))))</f>
        <v>1</v>
      </c>
      <c r="ME6">
        <f>IF(Sheet!ME6="Совсем нет / Not at all",1,IF(Sheet!MF6="Немного / A little",2,IF(Sheet!MG6="Довольно сильно / Quite a bit",3,IF(Sheet!MH6="Очень сильно / Extremely",4,""))))</f>
        <v>1</v>
      </c>
      <c r="MH6" s="25"/>
      <c r="MI6">
        <f>IF(Sheet!MI6="Совсем нет / Not at all",1,IF(Sheet!MJ6="Немного / A little",2,IF(Sheet!MK6="Довольно сильно / Quite a bit",3,IF(Sheet!ML6="Очень сильно / Extremely",4,""))))</f>
        <v>2</v>
      </c>
      <c r="MM6">
        <f>IF(Sheet!MM6="Совсем нет / Not at all",1,IF(Sheet!MN6="Немного / A little",2,IF(Sheet!MO6="Довольно сильно / Quite a bit",3,IF(Sheet!MP6="Очень сильно / Extremely",4,""))))</f>
        <v>1</v>
      </c>
      <c r="MQ6">
        <f>IF(Sheet!MQ6="Совсем нет / Not at all",1,IF(Sheet!MR6="Немного / A little",2,IF(Sheet!MS6="Довольно сильно / Quite a bit",3,IF(Sheet!MT6="Очень сильно / Extremely",4,""))))</f>
        <v>1</v>
      </c>
      <c r="MU6">
        <f>IF(Sheet!MU6="Совсем нет / Not at all",1,IF(Sheet!MV6="Немного / A little",2,IF(Sheet!MW6="Довольно сильно / Quite a bit",3,IF(Sheet!MX6="Очень сильно / Extremely",4,""))))</f>
        <v>2</v>
      </c>
      <c r="MY6">
        <f>IF(Sheet!MY6="Совсем нет / Not at all",1,IF(Sheet!MZ6="Немного / A little",2,IF(Sheet!NA6="Довольно сильно / Quite a bit",3,IF(Sheet!NB6="Очень сильно / Extremely",4,""))))</f>
        <v>1</v>
      </c>
      <c r="NC6">
        <f>IF(Sheet!NC6="Совсем нет / Not at all",1,IF(Sheet!ND6="Немного / A little",2,IF(Sheet!NE6="Довольно сильно / Quite a bit",3,IF(Sheet!NF6="Очень сильно / Extremely",4,""))))</f>
        <v>1</v>
      </c>
      <c r="NG6">
        <f>IF(Sheet!NG6="Совсем нет / Not at all",1,IF(Sheet!NH6="Немного / A little",2,IF(Sheet!NI6="Довольно сильно / Quite a bit",3,IF(Sheet!NJ6="Очень сильно / Extremely",4,""))))</f>
        <v>2</v>
      </c>
      <c r="NK6">
        <f>IF(Sheet!NK6="Совсем нет / Not at all",1,IF(Sheet!NL6="Немного / A little",2,IF(Sheet!NM6="Довольно сильно / Quite a bit",3,IF(Sheet!NN6="Очень сильно / Extremely",4,""))))</f>
        <v>1</v>
      </c>
      <c r="NO6">
        <f>IF(Sheet!NO6="Совсем нет / Not at all",1,IF(Sheet!NP6="Немного / A little",2,IF(Sheet!NQ6="Довольно сильно / Quite a bit",3,IF(Sheet!NR6="Очень сильно / Extremely",4,""))))</f>
        <v>1</v>
      </c>
      <c r="NS6">
        <f>IF(Sheet!NS6="Совсем нет / Not at all",1,IF(Sheet!NT6="Немного / A little",2,IF(Sheet!NU6="Довольно сильно / Quite a bit",3,IF(Sheet!NV6="Очень сильно / Extremely",4,""))))</f>
        <v>1</v>
      </c>
      <c r="NW6">
        <f>IF(Sheet!NW6="Совсем нет / Not at all",1,IF(Sheet!NX6="Немного / A little",2,IF(Sheet!NY6="Довольно сильно / Quite a bit",3,IF(Sheet!NZ6="Очень сильно / Extremely",4,""))))</f>
        <v>1</v>
      </c>
      <c r="OA6">
        <f>IF(Sheet!OA6="Совсем нет / Not at all",1,IF(Sheet!OB6="Немного / A little",2,IF(Sheet!OC6="Довольно сильно / Quite a bit",3,IF(Sheet!OD6="Очень сильно / Extremely",4,""))))</f>
        <v>3</v>
      </c>
      <c r="OE6">
        <f>IF(Sheet!OE6="Совсем нет / Not at all",1,IF(Sheet!OF6="Немного / A little",2,IF(Sheet!OG6="Довольно сильно / Quite a bit",3,IF(Sheet!OH6="Очень сильно / Extremely",4,""))))</f>
        <v>1</v>
      </c>
      <c r="OI6">
        <f>IF(Sheet!OI6="Совсем нет / Not at all",1,IF(Sheet!OJ6="Немного / A little",2,IF(Sheet!OK6="Довольно сильно / Quite a bit",3,IF(Sheet!OL6="Очень сильно / Extremely",4,""))))</f>
        <v>3</v>
      </c>
    </row>
    <row r="7" spans="1:400" ht="16.350000000000001">
      <c r="A7" t="str">
        <f>Sheet!A7</f>
        <v>FM002</v>
      </c>
      <c r="KR7" s="27">
        <f>SUM(KU7,KY7,LC7,LG7,LK7,LO7,LS7,LW7,MA7,ME7)/10</f>
        <v>2.7</v>
      </c>
      <c r="KS7" s="27">
        <f>SUM(MI7,MM7,MQ7,MU7,MY7,NC7,NG7,NK7,NO7,NS7,NW7,OA7,OE7,OI7)/14</f>
        <v>2.4285714285714284</v>
      </c>
      <c r="KT7" s="34">
        <f>COUNTIF(KS3:KS69,"&gt;1.75")/63</f>
        <v>0.66666666666666663</v>
      </c>
      <c r="KU7">
        <f>IF(Sheet!KU7="Совсем нет / Not at all",1,IF(Sheet!KV7="Немного / A little",2,IF(Sheet!KW7="Довольно сильно / Quite a bit",3,IF(Sheet!KX7="Очень сильно / Extremely",4,""))))</f>
        <v>3</v>
      </c>
      <c r="KY7">
        <f>IF(Sheet!KY7="Совсем нет / Not at all",1,IF(Sheet!KZ7="Немного / A little",2,IF(Sheet!LA7="Довольно сильно / Quite a bit",3,IF(Sheet!LB7="Очень сильно / Extremely",4,""))))</f>
        <v>3</v>
      </c>
      <c r="LC7">
        <f>IF(Sheet!LC7="Совсем нет / Not at all",1,IF(Sheet!LD7="Немного / A little",2,IF(Sheet!LE7="Довольно сильно / Quite a bit",3,IF(Sheet!LF7="Очень сильно / Extremely",4,""))))</f>
        <v>2</v>
      </c>
      <c r="LG7">
        <f>IF(Sheet!LG7="Совсем нет / Not at all",1,IF(Sheet!LH7="Немного / A little",2,IF(Sheet!LI7="Довольно сильно / Quite a bit",3,IF(Sheet!LJ7="Очень сильно / Extremely",4,""))))</f>
        <v>3</v>
      </c>
      <c r="LK7">
        <f>IF(Sheet!LK7="Совсем нет / Not at all",1,IF(Sheet!LL7="Немного / A little",2,IF(Sheet!LM7="Довольно сильно / Quite a bit",3,IF(Sheet!LN7="Очень сильно / Extremely",4,""))))</f>
        <v>4</v>
      </c>
      <c r="LO7">
        <f>IF(Sheet!LO7="Совсем нет / Not at all",1,IF(Sheet!LP7="Немного / A little",2,IF(Sheet!LQ7="Довольно сильно / Quite a bit",3,IF(Sheet!LR7="Очень сильно / Extremely",4,""))))</f>
        <v>2</v>
      </c>
      <c r="LS7">
        <f>IF(Sheet!LS7="Совсем нет / Not at all",1,IF(Sheet!LT7="Немного / A little",2,IF(Sheet!LU7="Довольно сильно / Quite a bit",3,IF(Sheet!LV7="Очень сильно / Extremely",4,""))))</f>
        <v>3</v>
      </c>
      <c r="LW7">
        <f>IF(Sheet!LW7="Совсем нет / Not at all",1,IF(Sheet!LX7="Немного / A little",2,IF(Sheet!LY7="Довольно сильно / Quite a bit",3,IF(Sheet!LZ7="Очень сильно / Extremely",4,""))))</f>
        <v>1</v>
      </c>
      <c r="MA7">
        <f>IF(Sheet!MA7="Совсем нет / Not at all",1,IF(Sheet!MB7="Немного / A little",2,IF(Sheet!MC7="Довольно сильно / Quite a bit",3,IF(Sheet!MD7="Очень сильно / Extremely",4,""))))</f>
        <v>2</v>
      </c>
      <c r="ME7">
        <f>IF(Sheet!ME7="Совсем нет / Not at all",1,IF(Sheet!MF7="Немного / A little",2,IF(Sheet!MG7="Довольно сильно / Quite a bit",3,IF(Sheet!MH7="Очень сильно / Extremely",4,""))))</f>
        <v>4</v>
      </c>
      <c r="MH7" s="25"/>
      <c r="MI7">
        <f>IF(Sheet!MI7="Совсем нет / Not at all",1,IF(Sheet!MJ7="Немного / A little",2,IF(Sheet!MK7="Довольно сильно / Quite a bit",3,IF(Sheet!ML7="Очень сильно / Extremely",4,""))))</f>
        <v>2</v>
      </c>
      <c r="MM7">
        <f>IF(Sheet!MM7="Совсем нет / Not at all",1,IF(Sheet!MN7="Немного / A little",2,IF(Sheet!MO7="Довольно сильно / Quite a bit",3,IF(Sheet!MP7="Очень сильно / Extremely",4,""))))</f>
        <v>3</v>
      </c>
      <c r="MQ7">
        <f>IF(Sheet!MQ7="Совсем нет / Not at all",1,IF(Sheet!MR7="Немного / A little",2,IF(Sheet!MS7="Довольно сильно / Quite a bit",3,IF(Sheet!MT7="Очень сильно / Extremely",4,""))))</f>
        <v>3</v>
      </c>
      <c r="MU7">
        <f>IF(Sheet!MU7="Совсем нет / Not at all",1,IF(Sheet!MV7="Немного / A little",2,IF(Sheet!MW7="Довольно сильно / Quite a bit",3,IF(Sheet!MX7="Очень сильно / Extremely",4,""))))</f>
        <v>3</v>
      </c>
      <c r="MY7">
        <f>IF(Sheet!MY7="Совсем нет / Not at all",1,IF(Sheet!MZ7="Немного / A little",2,IF(Sheet!NA7="Довольно сильно / Quite a bit",3,IF(Sheet!NB7="Очень сильно / Extremely",4,""))))</f>
        <v>1</v>
      </c>
      <c r="NC7">
        <f>IF(Sheet!NC7="Совсем нет / Not at all",1,IF(Sheet!ND7="Немного / A little",2,IF(Sheet!NE7="Довольно сильно / Quite a bit",3,IF(Sheet!NF7="Очень сильно / Extremely",4,""))))</f>
        <v>3</v>
      </c>
      <c r="NG7">
        <f>IF(Sheet!NG7="Совсем нет / Not at all",1,IF(Sheet!NH7="Немного / A little",2,IF(Sheet!NI7="Довольно сильно / Quite a bit",3,IF(Sheet!NJ7="Очень сильно / Extremely",4,""))))</f>
        <v>2</v>
      </c>
      <c r="NK7">
        <f>IF(Sheet!NK7="Совсем нет / Not at all",1,IF(Sheet!NL7="Немного / A little",2,IF(Sheet!NM7="Довольно сильно / Quite a bit",3,IF(Sheet!NN7="Очень сильно / Extremely",4,""))))</f>
        <v>3</v>
      </c>
      <c r="NO7">
        <f>IF(Sheet!NO7="Совсем нет / Not at all",1,IF(Sheet!NP7="Немного / A little",2,IF(Sheet!NQ7="Довольно сильно / Quite a bit",3,IF(Sheet!NR7="Очень сильно / Extremely",4,""))))</f>
        <v>3</v>
      </c>
      <c r="NS7">
        <f>IF(Sheet!NS7="Совсем нет / Not at all",1,IF(Sheet!NT7="Немного / A little",2,IF(Sheet!NU7="Довольно сильно / Quite a bit",3,IF(Sheet!NV7="Очень сильно / Extremely",4,""))))</f>
        <v>3</v>
      </c>
      <c r="NW7">
        <f>IF(Sheet!NW7="Совсем нет / Not at all",1,IF(Sheet!NX7="Немного / A little",2,IF(Sheet!NY7="Довольно сильно / Quite a bit",3,IF(Sheet!NZ7="Очень сильно / Extremely",4,""))))</f>
        <v>3</v>
      </c>
      <c r="OA7">
        <f>IF(Sheet!OA7="Совсем нет / Not at all",1,IF(Sheet!OB7="Немного / A little",2,IF(Sheet!OC7="Довольно сильно / Quite a bit",3,IF(Sheet!OD7="Очень сильно / Extremely",4,""))))</f>
        <v>2</v>
      </c>
      <c r="OE7">
        <f>IF(Sheet!OE7="Совсем нет / Not at all",1,IF(Sheet!OF7="Немного / A little",2,IF(Sheet!OG7="Довольно сильно / Quite a bit",3,IF(Sheet!OH7="Очень сильно / Extremely",4,""))))</f>
        <v>2</v>
      </c>
      <c r="OI7">
        <f>IF(Sheet!OI7="Совсем нет / Not at all",1,IF(Sheet!OJ7="Немного / A little",2,IF(Sheet!OK7="Довольно сильно / Quite a bit",3,IF(Sheet!OL7="Очень сильно / Extremely",4,""))))</f>
        <v>1</v>
      </c>
    </row>
    <row r="8" spans="1:400" ht="16.350000000000001">
      <c r="A8" t="str">
        <f>Sheet!A8</f>
        <v>FM001</v>
      </c>
      <c r="KR8" s="27">
        <f>SUM(KU8,KY8,LC8,LG8,LK8,LO8,LS8,LW8,MA8,ME8)/10</f>
        <v>1.3</v>
      </c>
      <c r="KS8" s="27">
        <f>SUM(MI8,MM8,MQ8,MU8,MY8,NC8,NG8,NK8,NO8,NS8,NW8,OA8,OE8,OI8)/14</f>
        <v>1.5</v>
      </c>
      <c r="KT8">
        <f>COUNTIF(KS3:KS69,"&gt;1.75")</f>
        <v>42</v>
      </c>
      <c r="KU8">
        <f>IF(Sheet!KU8="Совсем нет / Not at all",1,IF(Sheet!KV8="Немного / A little",2,IF(Sheet!KW8="Довольно сильно / Quite a bit",3,IF(Sheet!KX8="Очень сильно / Extremely",4,""))))</f>
        <v>2</v>
      </c>
      <c r="KV8" s="35" t="s">
        <v>570</v>
      </c>
      <c r="KY8">
        <f>IF(Sheet!KY8="Совсем нет / Not at all",1,IF(Sheet!KZ8="Немного / A little",2,IF(Sheet!LA8="Довольно сильно / Quite a bit",3,IF(Sheet!LB8="Очень сильно / Extremely",4,""))))</f>
        <v>1</v>
      </c>
      <c r="KZ8" s="35" t="s">
        <v>570</v>
      </c>
      <c r="LC8">
        <f>IF(Sheet!LC8="Совсем нет / Not at all",1,IF(Sheet!LD8="Немного / A little",2,IF(Sheet!LE8="Довольно сильно / Quite a bit",3,IF(Sheet!LF8="Очень сильно / Extremely",4,""))))</f>
        <v>1</v>
      </c>
      <c r="LD8" s="35" t="s">
        <v>570</v>
      </c>
      <c r="LG8">
        <f>IF(Sheet!LG8="Совсем нет / Not at all",1,IF(Sheet!LH8="Немного / A little",2,IF(Sheet!LI8="Довольно сильно / Quite a bit",3,IF(Sheet!LJ8="Очень сильно / Extremely",4,""))))</f>
        <v>2</v>
      </c>
      <c r="LH8" s="35" t="s">
        <v>570</v>
      </c>
      <c r="LK8">
        <f>IF(Sheet!LK8="Совсем нет / Not at all",1,IF(Sheet!LL8="Немного / A little",2,IF(Sheet!LM8="Довольно сильно / Quite a bit",3,IF(Sheet!LN8="Очень сильно / Extremely",4,""))))</f>
        <v>1</v>
      </c>
      <c r="LL8" s="35" t="s">
        <v>570</v>
      </c>
      <c r="LO8">
        <f>IF(Sheet!LO8="Совсем нет / Not at all",1,IF(Sheet!LP8="Немного / A little",2,IF(Sheet!LQ8="Довольно сильно / Quite a bit",3,IF(Sheet!LR8="Очень сильно / Extremely",4,""))))</f>
        <v>1</v>
      </c>
      <c r="LP8" s="35" t="s">
        <v>570</v>
      </c>
      <c r="LS8">
        <f>IF(Sheet!LS8="Совсем нет / Not at all",1,IF(Sheet!LT8="Немного / A little",2,IF(Sheet!LU8="Довольно сильно / Quite a bit",3,IF(Sheet!LV8="Очень сильно / Extremely",4,""))))</f>
        <v>1</v>
      </c>
      <c r="LT8" s="35" t="s">
        <v>570</v>
      </c>
      <c r="LW8">
        <f>IF(Sheet!LW8="Совсем нет / Not at all",1,IF(Sheet!LX8="Немного / A little",2,IF(Sheet!LY8="Довольно сильно / Quite a bit",3,IF(Sheet!LZ8="Очень сильно / Extremely",4,""))))</f>
        <v>1</v>
      </c>
      <c r="LX8" s="35" t="s">
        <v>570</v>
      </c>
      <c r="MA8">
        <f>IF(Sheet!MA8="Совсем нет / Not at all",1,IF(Sheet!MB8="Немного / A little",2,IF(Sheet!MC8="Довольно сильно / Quite a bit",3,IF(Sheet!MD8="Очень сильно / Extremely",4,""))))</f>
        <v>1</v>
      </c>
      <c r="MB8" s="35" t="s">
        <v>570</v>
      </c>
      <c r="ME8">
        <f>IF(Sheet!ME8="Совсем нет / Not at all",1,IF(Sheet!MF8="Немного / A little",2,IF(Sheet!MG8="Довольно сильно / Quite a bit",3,IF(Sheet!MH8="Очень сильно / Extremely",4,""))))</f>
        <v>2</v>
      </c>
      <c r="MF8" s="35" t="s">
        <v>570</v>
      </c>
      <c r="MH8" s="25"/>
      <c r="MI8">
        <f>IF(Sheet!MI8="Совсем нет / Not at all",1,IF(Sheet!MJ8="Немного / A little",2,IF(Sheet!MK8="Довольно сильно / Quite a bit",3,IF(Sheet!ML8="Очень сильно / Extremely",4,""))))</f>
        <v>2</v>
      </c>
      <c r="MJ8" s="47" t="s">
        <v>570</v>
      </c>
      <c r="MM8">
        <f>IF(Sheet!MM8="Совсем нет / Not at all",1,IF(Sheet!MN8="Немного / A little",2,IF(Sheet!MO8="Довольно сильно / Quite a bit",3,IF(Sheet!MP8="Очень сильно / Extremely",4,""))))</f>
        <v>2</v>
      </c>
      <c r="MN8" s="47" t="s">
        <v>570</v>
      </c>
      <c r="MQ8">
        <f>IF(Sheet!MQ8="Совсем нет / Not at all",1,IF(Sheet!MR8="Немного / A little",2,IF(Sheet!MS8="Довольно сильно / Quite a bit",3,IF(Sheet!MT8="Очень сильно / Extremely",4,""))))</f>
        <v>1</v>
      </c>
      <c r="MR8" s="47" t="s">
        <v>570</v>
      </c>
      <c r="MU8">
        <f>IF(Sheet!MU8="Совсем нет / Not at all",1,IF(Sheet!MV8="Немного / A little",2,IF(Sheet!MW8="Довольно сильно / Quite a bit",3,IF(Sheet!MX8="Очень сильно / Extremely",4,""))))</f>
        <v>2</v>
      </c>
      <c r="MV8" s="47" t="s">
        <v>570</v>
      </c>
      <c r="MY8">
        <f>IF(Sheet!MY8="Совсем нет / Not at all",1,IF(Sheet!MZ8="Немного / A little",2,IF(Sheet!NA8="Довольно сильно / Quite a bit",3,IF(Sheet!NB8="Очень сильно / Extremely",4,""))))</f>
        <v>1</v>
      </c>
      <c r="MZ8" s="47" t="s">
        <v>570</v>
      </c>
      <c r="NC8">
        <f>IF(Sheet!NC8="Совсем нет / Not at all",1,IF(Sheet!ND8="Немного / A little",2,IF(Sheet!NE8="Довольно сильно / Quite a bit",3,IF(Sheet!NF8="Очень сильно / Extremely",4,""))))</f>
        <v>2</v>
      </c>
      <c r="ND8" s="47" t="s">
        <v>570</v>
      </c>
      <c r="NG8">
        <f>IF(Sheet!NG8="Совсем нет / Not at all",1,IF(Sheet!NH8="Немного / A little",2,IF(Sheet!NI8="Довольно сильно / Quite a bit",3,IF(Sheet!NJ8="Очень сильно / Extremely",4,""))))</f>
        <v>2</v>
      </c>
      <c r="NH8" s="47" t="s">
        <v>570</v>
      </c>
      <c r="NK8">
        <f>IF(Sheet!NK8="Совсем нет / Not at all",1,IF(Sheet!NL8="Немного / A little",2,IF(Sheet!NM8="Довольно сильно / Quite a bit",3,IF(Sheet!NN8="Очень сильно / Extremely",4,""))))</f>
        <v>2</v>
      </c>
      <c r="NL8" s="47" t="s">
        <v>570</v>
      </c>
      <c r="NO8">
        <f>IF(Sheet!NO8="Совсем нет / Not at all",1,IF(Sheet!NP8="Немного / A little",2,IF(Sheet!NQ8="Довольно сильно / Quite a bit",3,IF(Sheet!NR8="Очень сильно / Extremely",4,""))))</f>
        <v>1</v>
      </c>
      <c r="NP8" s="47" t="s">
        <v>570</v>
      </c>
      <c r="NS8">
        <f>IF(Sheet!NS8="Совсем нет / Not at all",1,IF(Sheet!NT8="Немного / A little",2,IF(Sheet!NU8="Довольно сильно / Quite a bit",3,IF(Sheet!NV8="Очень сильно / Extremely",4,""))))</f>
        <v>2</v>
      </c>
      <c r="NT8" s="47" t="s">
        <v>570</v>
      </c>
      <c r="NW8">
        <f>IF(Sheet!NW8="Совсем нет / Not at all",1,IF(Sheet!NX8="Немного / A little",2,IF(Sheet!NY8="Довольно сильно / Quite a bit",3,IF(Sheet!NZ8="Очень сильно / Extremely",4,""))))</f>
        <v>1</v>
      </c>
      <c r="NX8" s="47" t="s">
        <v>570</v>
      </c>
      <c r="OA8">
        <f>IF(Sheet!OA8="Совсем нет / Not at all",1,IF(Sheet!OB8="Немного / A little",2,IF(Sheet!OC8="Довольно сильно / Quite a bit",3,IF(Sheet!OD8="Очень сильно / Extremely",4,""))))</f>
        <v>1</v>
      </c>
      <c r="OB8" s="47" t="s">
        <v>570</v>
      </c>
      <c r="OE8">
        <f>IF(Sheet!OE8="Совсем нет / Not at all",1,IF(Sheet!OF8="Немного / A little",2,IF(Sheet!OG8="Довольно сильно / Quite a bit",3,IF(Sheet!OH8="Очень сильно / Extremely",4,""))))</f>
        <v>1</v>
      </c>
      <c r="OF8" s="47" t="s">
        <v>570</v>
      </c>
      <c r="OI8">
        <f>IF(Sheet!OI8="Совсем нет / Not at all",1,IF(Sheet!OJ8="Немного / A little",2,IF(Sheet!OK8="Довольно сильно / Quite a bit",3,IF(Sheet!OL8="Очень сильно / Extremely",4,""))))</f>
        <v>1</v>
      </c>
      <c r="OJ8" s="47" t="s">
        <v>570</v>
      </c>
    </row>
    <row r="9" spans="1:400" ht="16.350000000000001">
      <c r="A9" t="str">
        <f>Sheet!A9</f>
        <v>PM001</v>
      </c>
      <c r="E9" s="18" t="s">
        <v>572</v>
      </c>
      <c r="F9" s="18" t="s">
        <v>552</v>
      </c>
      <c r="G9" s="18" t="s">
        <v>551</v>
      </c>
      <c r="KR9" s="27">
        <f>SUM(KU9,KY9,LC9,LG9,LK9,LO9,LS9,LW9,MA9,ME9)/10</f>
        <v>1.2</v>
      </c>
      <c r="KS9" s="27">
        <f>SUM(MI9,MM9,MQ9,MU9,MY9,NC9,NG9,NK9,NO9,NS9,NW9,OA9,OE9,OI9)/14</f>
        <v>1.7142857142857142</v>
      </c>
      <c r="KU9">
        <f>IF(Sheet!KU9="Совсем нет / Not at all",1,IF(Sheet!KV9="Немного / A little",2,IF(Sheet!KW9="Довольно сильно / Quite a bit",3,IF(Sheet!KX9="Очень сильно / Extremely",4,""))))</f>
        <v>1</v>
      </c>
      <c r="KV9" s="36">
        <f>COUNTIF(KU$3:KU$69,"&gt;1")</f>
        <v>26</v>
      </c>
      <c r="KY9">
        <f>IF(Sheet!KY9="Совсем нет / Not at all",1,IF(Sheet!KZ9="Немного / A little",2,IF(Sheet!LA9="Довольно сильно / Quite a bit",3,IF(Sheet!LB9="Очень сильно / Extremely",4,""))))</f>
        <v>1</v>
      </c>
      <c r="KZ9" s="36">
        <f>COUNTIF(KY$3:KY$69,"&gt;1")</f>
        <v>34</v>
      </c>
      <c r="LC9">
        <f>IF(Sheet!LC9="Совсем нет / Not at all",1,IF(Sheet!LD9="Немного / A little",2,IF(Sheet!LE9="Довольно сильно / Quite a bit",3,IF(Sheet!LF9="Очень сильно / Extremely",4,""))))</f>
        <v>1</v>
      </c>
      <c r="LD9" s="36">
        <f>COUNTIF(LC$3:LC$69,"&gt;1")</f>
        <v>29</v>
      </c>
      <c r="LG9">
        <f>IF(Sheet!LG9="Совсем нет / Not at all",1,IF(Sheet!LH9="Немного / A little",2,IF(Sheet!LI9="Довольно сильно / Quite a bit",3,IF(Sheet!LJ9="Очень сильно / Extremely",4,""))))</f>
        <v>1</v>
      </c>
      <c r="LH9" s="48">
        <f>COUNTIF(LG$3:LG$69,"&gt;1")</f>
        <v>41</v>
      </c>
      <c r="LK9">
        <f>IF(Sheet!LK9="Совсем нет / Not at all",1,IF(Sheet!LL9="Немного / A little",2,IF(Sheet!LM9="Довольно сильно / Quite a bit",3,IF(Sheet!LN9="Очень сильно / Extremely",4,""))))</f>
        <v>1</v>
      </c>
      <c r="LL9" s="48">
        <f>COUNTIF(LK$3:LK$69,"&gt;1")</f>
        <v>35</v>
      </c>
      <c r="LO9">
        <f>IF(Sheet!LO9="Совсем нет / Not at all",1,IF(Sheet!LP9="Немного / A little",2,IF(Sheet!LQ9="Довольно сильно / Quite a bit",3,IF(Sheet!LR9="Очень сильно / Extremely",4,""))))</f>
        <v>1</v>
      </c>
      <c r="LP9" s="36">
        <f>COUNTIF(LO$3:LO$69,"&gt;1")</f>
        <v>21</v>
      </c>
      <c r="LS9">
        <f>IF(Sheet!LS9="Совсем нет / Not at all",1,IF(Sheet!LT9="Немного / A little",2,IF(Sheet!LU9="Довольно сильно / Quite a bit",3,IF(Sheet!LV9="Очень сильно / Extremely",4,""))))</f>
        <v>1</v>
      </c>
      <c r="LT9" s="48">
        <f>COUNTIF(LS$3:LS$69,"&gt;1")</f>
        <v>45</v>
      </c>
      <c r="LW9">
        <f>IF(Sheet!LW9="Совсем нет / Not at all",1,IF(Sheet!LX9="Немного / A little",2,IF(Sheet!LY9="Довольно сильно / Quite a bit",3,IF(Sheet!LZ9="Очень сильно / Extremely",4,""))))</f>
        <v>2</v>
      </c>
      <c r="LX9" s="48">
        <f>COUNTIF(LW$3:LW$69,"&gt;1")</f>
        <v>41</v>
      </c>
      <c r="MA9">
        <f>IF(Sheet!MA9="Совсем нет / Not at all",1,IF(Sheet!MB9="Немного / A little",2,IF(Sheet!MC9="Довольно сильно / Quite a bit",3,IF(Sheet!MD9="Очень сильно / Extremely",4,""))))</f>
        <v>1</v>
      </c>
      <c r="MB9" s="36">
        <f>COUNTIF(MA$3:MA$69,"&gt;1")</f>
        <v>22</v>
      </c>
      <c r="ME9">
        <f>IF(Sheet!ME9="Совсем нет / Not at all",1,IF(Sheet!MF9="Немного / A little",2,IF(Sheet!MG9="Довольно сильно / Quite a bit",3,IF(Sheet!MH9="Очень сильно / Extremely",4,""))))</f>
        <v>2</v>
      </c>
      <c r="MF9" s="48">
        <f>COUNTIF(ME$3:ME$69,"&gt;1")</f>
        <v>50</v>
      </c>
      <c r="MH9" s="25"/>
      <c r="MI9">
        <f>IF(Sheet!MI9="Совсем нет / Not at all",1,IF(Sheet!MJ9="Немного / A little",2,IF(Sheet!MK9="Довольно сильно / Quite a bit",3,IF(Sheet!ML9="Очень сильно / Extremely",4,""))))</f>
        <v>2</v>
      </c>
      <c r="MJ9" s="49">
        <f>COUNTIF(MI$3:MI$69,"&gt;1")</f>
        <v>49</v>
      </c>
      <c r="MM9">
        <f>IF(Sheet!MM9="Совсем нет / Not at all",1,IF(Sheet!MN9="Немного / A little",2,IF(Sheet!MO9="Довольно сильно / Quite a bit",3,IF(Sheet!MP9="Очень сильно / Extremely",4,""))))</f>
        <v>1</v>
      </c>
      <c r="MN9" s="50">
        <f>COUNTIF(MM$3:MM$69,"&gt;1")</f>
        <v>40</v>
      </c>
      <c r="MQ9">
        <f>IF(Sheet!MQ9="Совсем нет / Not at all",1,IF(Sheet!MR9="Немного / A little",2,IF(Sheet!MS9="Довольно сильно / Quite a bit",3,IF(Sheet!MT9="Очень сильно / Extremely",4,""))))</f>
        <v>1</v>
      </c>
      <c r="MR9" s="50">
        <f>COUNTIF(MQ$3:MQ$69,"&gt;1")</f>
        <v>29</v>
      </c>
      <c r="MU9">
        <f>IF(Sheet!MU9="Совсем нет / Not at all",1,IF(Sheet!MV9="Немного / A little",2,IF(Sheet!MW9="Довольно сильно / Quite a bit",3,IF(Sheet!MX9="Очень сильно / Extremely",4,""))))</f>
        <v>2</v>
      </c>
      <c r="MV9" s="50">
        <f>COUNTIF(MU$3:MU$69,"&gt;1")</f>
        <v>40</v>
      </c>
      <c r="MY9">
        <f>IF(Sheet!MY9="Совсем нет / Not at all",1,IF(Sheet!MZ9="Немного / A little",2,IF(Sheet!NA9="Довольно сильно / Quite a bit",3,IF(Sheet!NB9="Очень сильно / Extremely",4,""))))</f>
        <v>1</v>
      </c>
      <c r="MZ9" s="50">
        <f>COUNTIF(MY$3:MY$69,"&gt;1")</f>
        <v>22</v>
      </c>
      <c r="NC9">
        <f>IF(Sheet!NC9="Совсем нет / Not at all",1,IF(Sheet!ND9="Немного / A little",2,IF(Sheet!NE9="Довольно сильно / Quite a bit",3,IF(Sheet!NF9="Очень сильно / Extremely",4,""))))</f>
        <v>1</v>
      </c>
      <c r="ND9" s="49">
        <f>COUNTIF(NC$3:NC$69,"&gt;1")</f>
        <v>47</v>
      </c>
      <c r="NG9">
        <f>IF(Sheet!NG9="Совсем нет / Not at all",1,IF(Sheet!NH9="Немного / A little",2,IF(Sheet!NI9="Довольно сильно / Quite a bit",3,IF(Sheet!NJ9="Очень сильно / Extremely",4,""))))</f>
        <v>2</v>
      </c>
      <c r="NH9" s="49">
        <f>COUNTIF(NG$3:NG$69,"&gt;1")</f>
        <v>51</v>
      </c>
      <c r="NK9">
        <f>IF(Sheet!NK9="Совсем нет / Not at all",1,IF(Sheet!NL9="Немного / A little",2,IF(Sheet!NM9="Довольно сильно / Quite a bit",3,IF(Sheet!NN9="Очень сильно / Extremely",4,""))))</f>
        <v>2</v>
      </c>
      <c r="NL9" s="49">
        <f>COUNTIF(NK$3:NK$69,"&gt;1")</f>
        <v>55</v>
      </c>
      <c r="NO9">
        <f>IF(Sheet!NO9="Совсем нет / Not at all",1,IF(Sheet!NP9="Немного / A little",2,IF(Sheet!NQ9="Довольно сильно / Quite a bit",3,IF(Sheet!NR9="Очень сильно / Extremely",4,""))))</f>
        <v>2</v>
      </c>
      <c r="NP9" s="51">
        <f>COUNTIF(NO$3:NO$69,"&gt;1")</f>
        <v>46</v>
      </c>
      <c r="NS9">
        <f>IF(Sheet!NS9="Совсем нет / Not at all",1,IF(Sheet!NT9="Немного / A little",2,IF(Sheet!NU9="Довольно сильно / Quite a bit",3,IF(Sheet!NV9="Очень сильно / Extremely",4,""))))</f>
        <v>2</v>
      </c>
      <c r="NT9" s="50">
        <f>COUNTIF(NS$3:NS$69,"&gt;1")</f>
        <v>39</v>
      </c>
      <c r="NW9">
        <f>IF(Sheet!NW9="Совсем нет / Not at all",1,IF(Sheet!NX9="Немного / A little",2,IF(Sheet!NY9="Довольно сильно / Quite a bit",3,IF(Sheet!NZ9="Очень сильно / Extremely",4,""))))</f>
        <v>2</v>
      </c>
      <c r="NX9" s="50">
        <f>COUNTIF(NW$3:NW$69,"&gt;1")</f>
        <v>38</v>
      </c>
      <c r="OA9">
        <f>IF(Sheet!OA9="Совсем нет / Not at all",1,IF(Sheet!OB9="Немного / A little",2,IF(Sheet!OC9="Довольно сильно / Quite a bit",3,IF(Sheet!OD9="Очень сильно / Extremely",4,""))))</f>
        <v>1</v>
      </c>
      <c r="OB9" s="50">
        <f>COUNTIF(OA$3:OA$69,"&gt;1")</f>
        <v>38</v>
      </c>
      <c r="OE9">
        <f>IF(Sheet!OE9="Совсем нет / Not at all",1,IF(Sheet!OF9="Немного / A little",2,IF(Sheet!OG9="Довольно сильно / Quite a bit",3,IF(Sheet!OH9="Очень сильно / Extremely",4,""))))</f>
        <v>2</v>
      </c>
      <c r="OF9" s="49">
        <f>COUNTIF(OE$3:OE$69,"&gt;1")</f>
        <v>53</v>
      </c>
      <c r="OI9">
        <f>IF(Sheet!OI9="Совсем нет / Not at all",1,IF(Sheet!OJ9="Немного / A little",2,IF(Sheet!OK9="Довольно сильно / Quite a bit",3,IF(Sheet!OL9="Очень сильно / Extremely",4,""))))</f>
        <v>3</v>
      </c>
      <c r="OJ9" s="50">
        <f>COUNTIF(OI$3:OI$69,"&gt;1")</f>
        <v>41</v>
      </c>
    </row>
    <row r="10" spans="1:400" s="39" customFormat="1" ht="16.350000000000001">
      <c r="A10" t="str">
        <f>Sheet!A10</f>
        <v>MF001</v>
      </c>
      <c r="B10"/>
      <c r="C10"/>
      <c r="D10"/>
      <c r="E10" t="s">
        <v>72</v>
      </c>
      <c r="F10" s="15">
        <v>9.375E-2</v>
      </c>
      <c r="G10">
        <v>6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 s="27">
        <f>SUM(KU10,KY10,LC10,LG10,LK10,LO10,LS10,LW10,MA10,ME10)/10</f>
        <v>1.5</v>
      </c>
      <c r="KS10" s="27">
        <f>SUM(MI10,MM10,MQ10,MU10,MY10,NC10,NG10,NK10,NO10,NS10,NW10,OA10,OE10,OI10)/14</f>
        <v>1.7857142857142858</v>
      </c>
      <c r="KT10"/>
      <c r="KU10">
        <f>IF(Sheet!KU10="Совсем нет / Not at all",1,IF(Sheet!KV10="Немного / A little",2,IF(Sheet!KW10="Довольно сильно / Quite a bit",3,IF(Sheet!KX10="Очень сильно / Extremely",4,""))))</f>
        <v>2</v>
      </c>
      <c r="KV10" s="37">
        <f>KV9/64</f>
        <v>0.40625</v>
      </c>
      <c r="KW10"/>
      <c r="KX10"/>
      <c r="KY10">
        <f>IF(Sheet!KY10="Совсем нет / Not at all",1,IF(Sheet!KZ10="Немного / A little",2,IF(Sheet!LA10="Довольно сильно / Quite a bit",3,IF(Sheet!LB10="Очень сильно / Extremely",4,""))))</f>
        <v>1</v>
      </c>
      <c r="KZ10" s="37">
        <f>KZ9/64</f>
        <v>0.53125</v>
      </c>
      <c r="LA10"/>
      <c r="LB10"/>
      <c r="LC10">
        <f>IF(Sheet!LC10="Совсем нет / Not at all",1,IF(Sheet!LD10="Немного / A little",2,IF(Sheet!LE10="Довольно сильно / Quite a bit",3,IF(Sheet!LF10="Очень сильно / Extremely",4,""))))</f>
        <v>1</v>
      </c>
      <c r="LD10" s="37">
        <f>LD9/64</f>
        <v>0.453125</v>
      </c>
      <c r="LE10"/>
      <c r="LF10"/>
      <c r="LG10">
        <f>IF(Sheet!LG10="Совсем нет / Not at all",1,IF(Sheet!LH10="Немного / A little",2,IF(Sheet!LI10="Довольно сильно / Quite a bit",3,IF(Sheet!LJ10="Очень сильно / Extremely",4,""))))</f>
        <v>1</v>
      </c>
      <c r="LH10" s="38">
        <f>LH9/64</f>
        <v>0.640625</v>
      </c>
      <c r="LI10"/>
      <c r="LJ10"/>
      <c r="LK10">
        <f>IF(Sheet!LK10="Совсем нет / Not at all",1,IF(Sheet!LL10="Немного / A little",2,IF(Sheet!LM10="Довольно сильно / Quite a bit",3,IF(Sheet!LN10="Очень сильно / Extremely",4,""))))</f>
        <v>1</v>
      </c>
      <c r="LL10" s="38">
        <f>LL9/64</f>
        <v>0.546875</v>
      </c>
      <c r="LM10"/>
      <c r="LN10"/>
      <c r="LO10">
        <f>IF(Sheet!LO10="Совсем нет / Not at all",1,IF(Sheet!LP10="Немного / A little",2,IF(Sheet!LQ10="Довольно сильно / Quite a bit",3,IF(Sheet!LR10="Очень сильно / Extremely",4,""))))</f>
        <v>2</v>
      </c>
      <c r="LP10" s="37">
        <f>LP9/64</f>
        <v>0.328125</v>
      </c>
      <c r="LQ10"/>
      <c r="LR10"/>
      <c r="LS10">
        <f>IF(Sheet!LS10="Совсем нет / Not at all",1,IF(Sheet!LT10="Немного / A little",2,IF(Sheet!LU10="Довольно сильно / Quite a bit",3,IF(Sheet!LV10="Очень сильно / Extremely",4,""))))</f>
        <v>2</v>
      </c>
      <c r="LT10" s="38">
        <f>LT9/64</f>
        <v>0.703125</v>
      </c>
      <c r="LU10"/>
      <c r="LV10"/>
      <c r="LW10">
        <f>IF(Sheet!LW10="Совсем нет / Not at all",1,IF(Sheet!LX10="Немного / A little",2,IF(Sheet!LY10="Довольно сильно / Quite a bit",3,IF(Sheet!LZ10="Очень сильно / Extremely",4,""))))</f>
        <v>3</v>
      </c>
      <c r="LX10" s="38">
        <f>LX9/64</f>
        <v>0.640625</v>
      </c>
      <c r="LY10"/>
      <c r="LZ10"/>
      <c r="MA10">
        <f>IF(Sheet!MA10="Совсем нет / Not at all",1,IF(Sheet!MB10="Немного / A little",2,IF(Sheet!MC10="Довольно сильно / Quite a bit",3,IF(Sheet!MD10="Очень сильно / Extremely",4,""))))</f>
        <v>1</v>
      </c>
      <c r="MB10" s="37">
        <f>MB9/64</f>
        <v>0.34375</v>
      </c>
      <c r="MC10"/>
      <c r="MD10"/>
      <c r="ME10">
        <f>IF(Sheet!ME10="Совсем нет / Not at all",1,IF(Sheet!MF10="Немного / A little",2,IF(Sheet!MG10="Довольно сильно / Quite a bit",3,IF(Sheet!MH10="Очень сильно / Extremely",4,""))))</f>
        <v>1</v>
      </c>
      <c r="MF10" s="38">
        <f>MF9/64</f>
        <v>0.78125</v>
      </c>
      <c r="MG10"/>
      <c r="MH10" s="25"/>
      <c r="MI10">
        <f>IF(Sheet!MI10="Совсем нет / Not at all",1,IF(Sheet!MJ10="Немного / A little",2,IF(Sheet!MK10="Довольно сильно / Quite a bit",3,IF(Sheet!ML10="Очень сильно / Extremely",4,""))))</f>
        <v>3</v>
      </c>
      <c r="MJ10" s="52">
        <f>MJ9/64</f>
        <v>0.765625</v>
      </c>
      <c r="MK10"/>
      <c r="ML10"/>
      <c r="MM10">
        <f>IF(Sheet!MM10="Совсем нет / Not at all",1,IF(Sheet!MN10="Немного / A little",2,IF(Sheet!MO10="Довольно сильно / Quite a bit",3,IF(Sheet!MP10="Очень сильно / Extremely",4,""))))</f>
        <v>2</v>
      </c>
      <c r="MN10" s="52">
        <f>MN9/64</f>
        <v>0.625</v>
      </c>
      <c r="MO10"/>
      <c r="MP10"/>
      <c r="MQ10">
        <f>IF(Sheet!MQ10="Совсем нет / Not at all",1,IF(Sheet!MR10="Немного / A little",2,IF(Sheet!MS10="Довольно сильно / Quite a bit",3,IF(Sheet!MT10="Очень сильно / Extremely",4,""))))</f>
        <v>1</v>
      </c>
      <c r="MR10" s="52">
        <f>MR9/64</f>
        <v>0.453125</v>
      </c>
      <c r="MS10"/>
      <c r="MT10"/>
      <c r="MU10">
        <f>IF(Sheet!MU10="Совсем нет / Not at all",1,IF(Sheet!MV10="Немного / A little",2,IF(Sheet!MW10="Довольно сильно / Quite a bit",3,IF(Sheet!MX10="Очень сильно / Extremely",4,""))))</f>
        <v>1</v>
      </c>
      <c r="MV10" s="52">
        <f>MV9/64</f>
        <v>0.625</v>
      </c>
      <c r="MW10"/>
      <c r="MX10"/>
      <c r="MY10">
        <f>IF(Sheet!MY10="Совсем нет / Not at all",1,IF(Sheet!MZ10="Немного / A little",2,IF(Sheet!NA10="Довольно сильно / Quite a bit",3,IF(Sheet!NB10="Очень сильно / Extremely",4,""))))</f>
        <v>2</v>
      </c>
      <c r="MZ10" s="52">
        <f>MZ9/64</f>
        <v>0.34375</v>
      </c>
      <c r="NA10"/>
      <c r="NB10"/>
      <c r="NC10">
        <f>IF(Sheet!NC10="Совсем нет / Not at all",1,IF(Sheet!ND10="Немного / A little",2,IF(Sheet!NE10="Довольно сильно / Quite a bit",3,IF(Sheet!NF10="Очень сильно / Extremely",4,""))))</f>
        <v>3</v>
      </c>
      <c r="ND10" s="52">
        <f>ND9/64</f>
        <v>0.734375</v>
      </c>
      <c r="NE10"/>
      <c r="NF10"/>
      <c r="NG10">
        <f>IF(Sheet!NG10="Совсем нет / Not at all",1,IF(Sheet!NH10="Немного / A little",2,IF(Sheet!NI10="Довольно сильно / Quite a bit",3,IF(Sheet!NJ10="Очень сильно / Extremely",4,""))))</f>
        <v>2</v>
      </c>
      <c r="NH10" s="52">
        <f>NH9/64</f>
        <v>0.796875</v>
      </c>
      <c r="NI10"/>
      <c r="NJ10"/>
      <c r="NK10">
        <f>IF(Sheet!NK10="Совсем нет / Not at all",1,IF(Sheet!NL10="Немного / A little",2,IF(Sheet!NM10="Довольно сильно / Quite a bit",3,IF(Sheet!NN10="Очень сильно / Extremely",4,""))))</f>
        <v>2</v>
      </c>
      <c r="NL10" s="52">
        <f>NL9/64</f>
        <v>0.859375</v>
      </c>
      <c r="NM10"/>
      <c r="NN10"/>
      <c r="NO10">
        <f>IF(Sheet!NO10="Совсем нет / Not at all",1,IF(Sheet!NP10="Немного / A little",2,IF(Sheet!NQ10="Довольно сильно / Quite a bit",3,IF(Sheet!NR10="Очень сильно / Extremely",4,""))))</f>
        <v>1</v>
      </c>
      <c r="NP10" s="52">
        <f>NP9/64</f>
        <v>0.71875</v>
      </c>
      <c r="NQ10"/>
      <c r="NR10"/>
      <c r="NS10">
        <f>IF(Sheet!NS10="Совсем нет / Not at all",1,IF(Sheet!NT10="Немного / A little",2,IF(Sheet!NU10="Довольно сильно / Quite a bit",3,IF(Sheet!NV10="Очень сильно / Extremely",4,""))))</f>
        <v>2</v>
      </c>
      <c r="NT10" s="52">
        <f>NT9/64</f>
        <v>0.609375</v>
      </c>
      <c r="NU10"/>
      <c r="NV10"/>
      <c r="NW10">
        <f>IF(Sheet!NW10="Совсем нет / Not at all",1,IF(Sheet!NX10="Немного / A little",2,IF(Sheet!NY10="Довольно сильно / Quite a bit",3,IF(Sheet!NZ10="Очень сильно / Extremely",4,""))))</f>
        <v>2</v>
      </c>
      <c r="NX10" s="52">
        <f>NX9/64</f>
        <v>0.59375</v>
      </c>
      <c r="NY10"/>
      <c r="NZ10"/>
      <c r="OA10">
        <f>IF(Sheet!OA10="Совсем нет / Not at all",1,IF(Sheet!OB10="Немного / A little",2,IF(Sheet!OC10="Довольно сильно / Quite a bit",3,IF(Sheet!OD10="Очень сильно / Extremely",4,""))))</f>
        <v>1</v>
      </c>
      <c r="OB10" s="52">
        <f>OB9/64</f>
        <v>0.59375</v>
      </c>
      <c r="OC10"/>
      <c r="OD10"/>
      <c r="OE10">
        <f>IF(Sheet!OE10="Совсем нет / Not at all",1,IF(Sheet!OF10="Немного / A little",2,IF(Sheet!OG10="Довольно сильно / Quite a bit",3,IF(Sheet!OH10="Очень сильно / Extremely",4,""))))</f>
        <v>2</v>
      </c>
      <c r="OF10" s="52">
        <f>OF9/64</f>
        <v>0.828125</v>
      </c>
      <c r="OG10"/>
      <c r="OH10"/>
      <c r="OI10">
        <f>IF(Sheet!OI10="Совсем нет / Not at all",1,IF(Sheet!OJ10="Немного / A little",2,IF(Sheet!OK10="Довольно сильно / Quite a bit",3,IF(Sheet!OL10="Очень сильно / Extremely",4,""))))</f>
        <v>1</v>
      </c>
      <c r="OJ10" s="52">
        <f>OJ9/64</f>
        <v>0.640625</v>
      </c>
    </row>
    <row r="11" spans="1:400" ht="16.350000000000001">
      <c r="A11" t="str">
        <f>Sheet!A11</f>
        <v>MU001</v>
      </c>
      <c r="E11" t="s">
        <v>73</v>
      </c>
      <c r="F11" s="15">
        <v>7.8125E-2</v>
      </c>
      <c r="G11">
        <v>5</v>
      </c>
      <c r="KR11" s="27">
        <f>SUM(KU11,KY11,LC11,LG11,LK11,LO11,LS11,LW11,MA11,ME11)/10</f>
        <v>1.6</v>
      </c>
      <c r="KS11" s="27">
        <f>SUM(MI11,MM11,MQ11,MU11,MY11,NC11,NG11,NK11,NO11,NS11,NW11,OA11,OE11,OI11)/14</f>
        <v>1.3571428571428572</v>
      </c>
      <c r="KU11">
        <f>IF(Sheet!KU11="Совсем нет / Not at all",1,IF(Sheet!KV11="Немного / A little",2,IF(Sheet!KW11="Довольно сильно / Quite a bit",3,IF(Sheet!KX11="Очень сильно / Extremely",4,""))))</f>
        <v>1</v>
      </c>
      <c r="KY11">
        <f>IF(Sheet!KY11="Совсем нет / Not at all",1,IF(Sheet!KZ11="Немного / A little",2,IF(Sheet!LA11="Довольно сильно / Quite a bit",3,IF(Sheet!LB11="Очень сильно / Extremely",4,""))))</f>
        <v>2</v>
      </c>
      <c r="LC11">
        <f>IF(Sheet!LC11="Совсем нет / Not at all",1,IF(Sheet!LD11="Немного / A little",2,IF(Sheet!LE11="Довольно сильно / Quite a bit",3,IF(Sheet!LF11="Очень сильно / Extremely",4,""))))</f>
        <v>2</v>
      </c>
      <c r="LG11">
        <f>IF(Sheet!LG11="Совсем нет / Not at all",1,IF(Sheet!LH11="Немного / A little",2,IF(Sheet!LI11="Довольно сильно / Quite a bit",3,IF(Sheet!LJ11="Очень сильно / Extremely",4,""))))</f>
        <v>2</v>
      </c>
      <c r="LK11">
        <f>IF(Sheet!LK11="Совсем нет / Not at all",1,IF(Sheet!LL11="Немного / A little",2,IF(Sheet!LM11="Довольно сильно / Quite a bit",3,IF(Sheet!LN11="Очень сильно / Extremely",4,""))))</f>
        <v>2</v>
      </c>
      <c r="LO11">
        <f>IF(Sheet!LO11="Совсем нет / Not at all",1,IF(Sheet!LP11="Немного / A little",2,IF(Sheet!LQ11="Довольно сильно / Quite a bit",3,IF(Sheet!LR11="Очень сильно / Extremely",4,""))))</f>
        <v>1</v>
      </c>
      <c r="LS11">
        <f>IF(Sheet!LS11="Совсем нет / Not at all",1,IF(Sheet!LT11="Немного / A little",2,IF(Sheet!LU11="Довольно сильно / Quite a bit",3,IF(Sheet!LV11="Очень сильно / Extremely",4,""))))</f>
        <v>2</v>
      </c>
      <c r="LW11">
        <f>IF(Sheet!LW11="Совсем нет / Not at all",1,IF(Sheet!LX11="Немного / A little",2,IF(Sheet!LY11="Довольно сильно / Quite a bit",3,IF(Sheet!LZ11="Очень сильно / Extremely",4,""))))</f>
        <v>1</v>
      </c>
      <c r="MA11">
        <f>IF(Sheet!MA11="Совсем нет / Not at all",1,IF(Sheet!MB11="Немного / A little",2,IF(Sheet!MC11="Довольно сильно / Quite a bit",3,IF(Sheet!MD11="Очень сильно / Extremely",4,""))))</f>
        <v>1</v>
      </c>
      <c r="ME11">
        <f>IF(Sheet!ME11="Совсем нет / Not at all",1,IF(Sheet!MF11="Немного / A little",2,IF(Sheet!MG11="Довольно сильно / Quite a bit",3,IF(Sheet!MH11="Очень сильно / Extremely",4,""))))</f>
        <v>2</v>
      </c>
      <c r="MH11" s="25"/>
      <c r="MI11">
        <f>IF(Sheet!MI11="Совсем нет / Not at all",1,IF(Sheet!MJ11="Немного / A little",2,IF(Sheet!MK11="Довольно сильно / Quite a bit",3,IF(Sheet!ML11="Очень сильно / Extremely",4,""))))</f>
        <v>2</v>
      </c>
      <c r="MM11">
        <f>IF(Sheet!MM11="Совсем нет / Not at all",1,IF(Sheet!MN11="Немного / A little",2,IF(Sheet!MO11="Довольно сильно / Quite a bit",3,IF(Sheet!MP11="Очень сильно / Extremely",4,""))))</f>
        <v>1</v>
      </c>
      <c r="MQ11">
        <f>IF(Sheet!MQ11="Совсем нет / Not at all",1,IF(Sheet!MR11="Немного / A little",2,IF(Sheet!MS11="Довольно сильно / Quite a bit",3,IF(Sheet!MT11="Очень сильно / Extremely",4,""))))</f>
        <v>1</v>
      </c>
      <c r="MU11">
        <f>IF(Sheet!MU11="Совсем нет / Not at all",1,IF(Sheet!MV11="Немного / A little",2,IF(Sheet!MW11="Довольно сильно / Quite a bit",3,IF(Sheet!MX11="Очень сильно / Extremely",4,""))))</f>
        <v>1</v>
      </c>
      <c r="MY11">
        <f>IF(Sheet!MY11="Совсем нет / Not at all",1,IF(Sheet!MZ11="Немного / A little",2,IF(Sheet!NA11="Довольно сильно / Quite a bit",3,IF(Sheet!NB11="Очень сильно / Extremely",4,""))))</f>
        <v>1</v>
      </c>
      <c r="NC11">
        <f>IF(Sheet!NC11="Совсем нет / Not at all",1,IF(Sheet!ND11="Немного / A little",2,IF(Sheet!NE11="Довольно сильно / Quite a bit",3,IF(Sheet!NF11="Очень сильно / Extremely",4,""))))</f>
        <v>2</v>
      </c>
      <c r="NG11">
        <f>IF(Sheet!NG11="Совсем нет / Not at all",1,IF(Sheet!NH11="Немного / A little",2,IF(Sheet!NI11="Довольно сильно / Quite a bit",3,IF(Sheet!NJ11="Очень сильно / Extremely",4,""))))</f>
        <v>2</v>
      </c>
      <c r="NK11">
        <f>IF(Sheet!NK11="Совсем нет / Not at all",1,IF(Sheet!NL11="Немного / A little",2,IF(Sheet!NM11="Довольно сильно / Quite a bit",3,IF(Sheet!NN11="Очень сильно / Extremely",4,""))))</f>
        <v>2</v>
      </c>
      <c r="NO11">
        <f>IF(Sheet!NO11="Совсем нет / Not at all",1,IF(Sheet!NP11="Немного / A little",2,IF(Sheet!NQ11="Довольно сильно / Quite a bit",3,IF(Sheet!NR11="Очень сильно / Extremely",4,""))))</f>
        <v>2</v>
      </c>
      <c r="NS11">
        <f>IF(Sheet!NS11="Совсем нет / Not at all",1,IF(Sheet!NT11="Немного / A little",2,IF(Sheet!NU11="Довольно сильно / Quite a bit",3,IF(Sheet!NV11="Очень сильно / Extremely",4,""))))</f>
        <v>1</v>
      </c>
      <c r="NW11">
        <f>IF(Sheet!NW11="Совсем нет / Not at all",1,IF(Sheet!NX11="Немного / A little",2,IF(Sheet!NY11="Довольно сильно / Quite a bit",3,IF(Sheet!NZ11="Очень сильно / Extremely",4,""))))</f>
        <v>1</v>
      </c>
      <c r="OA11">
        <f>IF(Sheet!OA11="Совсем нет / Not at all",1,IF(Sheet!OB11="Немного / A little",2,IF(Sheet!OC11="Довольно сильно / Quite a bit",3,IF(Sheet!OD11="Очень сильно / Extremely",4,""))))</f>
        <v>1</v>
      </c>
      <c r="OE11">
        <f>IF(Sheet!OE11="Совсем нет / Not at all",1,IF(Sheet!OF11="Немного / A little",2,IF(Sheet!OG11="Довольно сильно / Quite a bit",3,IF(Sheet!OH11="Очень сильно / Extremely",4,""))))</f>
        <v>1</v>
      </c>
      <c r="OI11">
        <f>IF(Sheet!OI11="Совсем нет / Not at all",1,IF(Sheet!OJ11="Немного / A little",2,IF(Sheet!OK11="Довольно сильно / Quite a bit",3,IF(Sheet!OL11="Очень сильно / Extremely",4,""))))</f>
        <v>1</v>
      </c>
    </row>
    <row r="12" spans="1:400" ht="16.350000000000001">
      <c r="A12" t="str">
        <f>Sheet!A12</f>
        <v>KU001</v>
      </c>
      <c r="E12" t="s">
        <v>75</v>
      </c>
      <c r="F12" s="15">
        <v>0.109375</v>
      </c>
      <c r="G12">
        <v>7</v>
      </c>
      <c r="KR12" s="27">
        <f>SUM(KU12,KY12,LC12,LG12,LK12,LO12,LS12,LW12,MA12,ME12)/10</f>
        <v>1.6</v>
      </c>
      <c r="KS12" s="27">
        <f>SUM(MI12,MM12,MQ12,MU12,MY12,NC12,NG12,NK12,NO12,NS12,NW12,OA12,OE12,OI12)/14</f>
        <v>2.1428571428571428</v>
      </c>
      <c r="KU12">
        <f>IF(Sheet!KU12="Совсем нет / Not at all",1,IF(Sheet!KV12="Немного / A little",2,IF(Sheet!KW12="Довольно сильно / Quite a bit",3,IF(Sheet!KX12="Очень сильно / Extremely",4,""))))</f>
        <v>1</v>
      </c>
      <c r="KY12">
        <f>IF(Sheet!KY12="Совсем нет / Not at all",1,IF(Sheet!KZ12="Немного / A little",2,IF(Sheet!LA12="Довольно сильно / Quite a bit",3,IF(Sheet!LB12="Очень сильно / Extremely",4,""))))</f>
        <v>2</v>
      </c>
      <c r="LC12">
        <f>IF(Sheet!LC12="Совсем нет / Not at all",1,IF(Sheet!LD12="Немного / A little",2,IF(Sheet!LE12="Довольно сильно / Quite a bit",3,IF(Sheet!LF12="Очень сильно / Extremely",4,""))))</f>
        <v>1</v>
      </c>
      <c r="LG12">
        <f>IF(Sheet!LG12="Совсем нет / Not at all",1,IF(Sheet!LH12="Немного / A little",2,IF(Sheet!LI12="Довольно сильно / Quite a bit",3,IF(Sheet!LJ12="Очень сильно / Extremely",4,""))))</f>
        <v>2</v>
      </c>
      <c r="LK12">
        <f>IF(Sheet!LK12="Совсем нет / Not at all",1,IF(Sheet!LL12="Немного / A little",2,IF(Sheet!LM12="Довольно сильно / Quite a bit",3,IF(Sheet!LN12="Очень сильно / Extremely",4,""))))</f>
        <v>1</v>
      </c>
      <c r="LO12">
        <f>IF(Sheet!LO12="Совсем нет / Not at all",1,IF(Sheet!LP12="Немного / A little",2,IF(Sheet!LQ12="Довольно сильно / Quite a bit",3,IF(Sheet!LR12="Очень сильно / Extremely",4,""))))</f>
        <v>1</v>
      </c>
      <c r="LS12">
        <f>IF(Sheet!LS12="Совсем нет / Not at all",1,IF(Sheet!LT12="Немного / A little",2,IF(Sheet!LU12="Довольно сильно / Quite a bit",3,IF(Sheet!LV12="Очень сильно / Extremely",4,""))))</f>
        <v>2</v>
      </c>
      <c r="LW12">
        <f>IF(Sheet!LW12="Совсем нет / Not at all",1,IF(Sheet!LX12="Немного / A little",2,IF(Sheet!LY12="Довольно сильно / Quite a bit",3,IF(Sheet!LZ12="Очень сильно / Extremely",4,""))))</f>
        <v>3</v>
      </c>
      <c r="MA12">
        <f>IF(Sheet!MA12="Совсем нет / Not at all",1,IF(Sheet!MB12="Немного / A little",2,IF(Sheet!MC12="Довольно сильно / Quite a bit",3,IF(Sheet!MD12="Очень сильно / Extremely",4,""))))</f>
        <v>1</v>
      </c>
      <c r="ME12">
        <f>IF(Sheet!ME12="Совсем нет / Not at all",1,IF(Sheet!MF12="Немного / A little",2,IF(Sheet!MG12="Довольно сильно / Quite a bit",3,IF(Sheet!MH12="Очень сильно / Extremely",4,""))))</f>
        <v>2</v>
      </c>
      <c r="MH12" s="25"/>
      <c r="MI12">
        <f>IF(Sheet!MI12="Совсем нет / Not at all",1,IF(Sheet!MJ12="Немного / A little",2,IF(Sheet!MK12="Довольно сильно / Quite a bit",3,IF(Sheet!ML12="Очень сильно / Extremely",4,""))))</f>
        <v>2</v>
      </c>
      <c r="MM12">
        <f>IF(Sheet!MM12="Совсем нет / Not at all",1,IF(Sheet!MN12="Немного / A little",2,IF(Sheet!MO12="Довольно сильно / Quite a bit",3,IF(Sheet!MP12="Очень сильно / Extremely",4,""))))</f>
        <v>1</v>
      </c>
      <c r="MQ12">
        <f>IF(Sheet!MQ12="Совсем нет / Not at all",1,IF(Sheet!MR12="Немного / A little",2,IF(Sheet!MS12="Довольно сильно / Quite a bit",3,IF(Sheet!MT12="Очень сильно / Extremely",4,""))))</f>
        <v>1</v>
      </c>
      <c r="MU12">
        <f>IF(Sheet!MU12="Совсем нет / Not at all",1,IF(Sheet!MV12="Немного / A little",2,IF(Sheet!MW12="Довольно сильно / Quite a bit",3,IF(Sheet!MX12="Очень сильно / Extremely",4,""))))</f>
        <v>3</v>
      </c>
      <c r="MY12">
        <f>IF(Sheet!MY12="Совсем нет / Not at all",1,IF(Sheet!MZ12="Немного / A little",2,IF(Sheet!NA12="Довольно сильно / Quite a bit",3,IF(Sheet!NB12="Очень сильно / Extremely",4,""))))</f>
        <v>2</v>
      </c>
      <c r="NC12">
        <f>IF(Sheet!NC12="Совсем нет / Not at all",1,IF(Sheet!ND12="Немного / A little",2,IF(Sheet!NE12="Довольно сильно / Quite a bit",3,IF(Sheet!NF12="Очень сильно / Extremely",4,""))))</f>
        <v>2</v>
      </c>
      <c r="NG12">
        <f>IF(Sheet!NG12="Совсем нет / Not at all",1,IF(Sheet!NH12="Немного / A little",2,IF(Sheet!NI12="Довольно сильно / Quite a bit",3,IF(Sheet!NJ12="Очень сильно / Extremely",4,""))))</f>
        <v>3</v>
      </c>
      <c r="NK12">
        <f>IF(Sheet!NK12="Совсем нет / Not at all",1,IF(Sheet!NL12="Немного / A little",2,IF(Sheet!NM12="Довольно сильно / Quite a bit",3,IF(Sheet!NN12="Очень сильно / Extremely",4,""))))</f>
        <v>3</v>
      </c>
      <c r="NO12">
        <f>IF(Sheet!NO12="Совсем нет / Not at all",1,IF(Sheet!NP12="Немного / A little",2,IF(Sheet!NQ12="Довольно сильно / Quite a bit",3,IF(Sheet!NR12="Очень сильно / Extremely",4,""))))</f>
        <v>2</v>
      </c>
      <c r="NS12">
        <f>IF(Sheet!NS12="Совсем нет / Not at all",1,IF(Sheet!NT12="Немного / A little",2,IF(Sheet!NU12="Довольно сильно / Quite a bit",3,IF(Sheet!NV12="Очень сильно / Extremely",4,""))))</f>
        <v>2</v>
      </c>
      <c r="NW12">
        <f>IF(Sheet!NW12="Совсем нет / Not at all",1,IF(Sheet!NX12="Немного / A little",2,IF(Sheet!NY12="Довольно сильно / Quite a bit",3,IF(Sheet!NZ12="Очень сильно / Extremely",4,""))))</f>
        <v>2</v>
      </c>
      <c r="OA12">
        <f>IF(Sheet!OA12="Совсем нет / Not at all",1,IF(Sheet!OB12="Немного / A little",2,IF(Sheet!OC12="Довольно сильно / Quite a bit",3,IF(Sheet!OD12="Очень сильно / Extremely",4,""))))</f>
        <v>3</v>
      </c>
      <c r="OE12">
        <f>IF(Sheet!OE12="Совсем нет / Not at all",1,IF(Sheet!OF12="Немного / A little",2,IF(Sheet!OG12="Довольно сильно / Quite a bit",3,IF(Sheet!OH12="Очень сильно / Extremely",4,""))))</f>
        <v>3</v>
      </c>
      <c r="OI12">
        <f>IF(Sheet!OI12="Совсем нет / Not at all",1,IF(Sheet!OJ12="Немного / A little",2,IF(Sheet!OK12="Довольно сильно / Quite a bit",3,IF(Sheet!OL12="Очень сильно / Extremely",4,""))))</f>
        <v>1</v>
      </c>
    </row>
    <row r="13" spans="1:400" ht="16.350000000000001">
      <c r="A13" t="str">
        <f>Sheet!A13</f>
        <v>OT001</v>
      </c>
      <c r="E13" t="s">
        <v>78</v>
      </c>
      <c r="F13" s="53">
        <v>0.109375</v>
      </c>
      <c r="G13" s="39">
        <v>7</v>
      </c>
      <c r="KR13" s="27">
        <f>SUM(KU13,KY13,LC13,LG13,LK13,LO13,LS13,LW13,MA13,ME13)/10</f>
        <v>2.2000000000000002</v>
      </c>
      <c r="KS13" s="27">
        <f>SUM(MI13,MM13,MQ13,MU13,MY13,NC13,NG13,NK13,NO13,NS13,NW13,OA13,OE13,OI13)/14</f>
        <v>1.6428571428571428</v>
      </c>
      <c r="KU13">
        <f>IF(Sheet!KU13="Совсем нет / Not at all",1,IF(Sheet!KV13="Немного / A little",2,IF(Sheet!KW13="Довольно сильно / Quite a bit",3,IF(Sheet!KX13="Очень сильно / Extremely",4,""))))</f>
        <v>1</v>
      </c>
      <c r="KV13" s="35" t="s">
        <v>571</v>
      </c>
      <c r="KY13">
        <f>IF(Sheet!KY13="Совсем нет / Not at all",1,IF(Sheet!KZ13="Немного / A little",2,IF(Sheet!LA13="Довольно сильно / Quite a bit",3,IF(Sheet!LB13="Очень сильно / Extremely",4,""))))</f>
        <v>2</v>
      </c>
      <c r="KZ13" s="35" t="s">
        <v>571</v>
      </c>
      <c r="LC13">
        <f>IF(Sheet!LC13="Совсем нет / Not at all",1,IF(Sheet!LD13="Немного / A little",2,IF(Sheet!LE13="Довольно сильно / Quite a bit",3,IF(Sheet!LF13="Очень сильно / Extremely",4,""))))</f>
        <v>2</v>
      </c>
      <c r="LD13" s="35" t="s">
        <v>571</v>
      </c>
      <c r="LG13">
        <f>IF(Sheet!LG13="Совсем нет / Not at all",1,IF(Sheet!LH13="Немного / A little",2,IF(Sheet!LI13="Довольно сильно / Quite a bit",3,IF(Sheet!LJ13="Очень сильно / Extremely",4,""))))</f>
        <v>3</v>
      </c>
      <c r="LH13" s="35" t="s">
        <v>571</v>
      </c>
      <c r="LK13">
        <f>IF(Sheet!LK13="Совсем нет / Not at all",1,IF(Sheet!LL13="Немного / A little",2,IF(Sheet!LM13="Довольно сильно / Quite a bit",3,IF(Sheet!LN13="Очень сильно / Extremely",4,""))))</f>
        <v>2</v>
      </c>
      <c r="LL13" s="35" t="s">
        <v>571</v>
      </c>
      <c r="LO13">
        <f>IF(Sheet!LO13="Совсем нет / Not at all",1,IF(Sheet!LP13="Немного / A little",2,IF(Sheet!LQ13="Довольно сильно / Quite a bit",3,IF(Sheet!LR13="Очень сильно / Extremely",4,""))))</f>
        <v>2</v>
      </c>
      <c r="LP13" s="35" t="s">
        <v>571</v>
      </c>
      <c r="LS13">
        <f>IF(Sheet!LS13="Совсем нет / Not at all",1,IF(Sheet!LT13="Немного / A little",2,IF(Sheet!LU13="Довольно сильно / Quite a bit",3,IF(Sheet!LV13="Очень сильно / Extremely",4,""))))</f>
        <v>3</v>
      </c>
      <c r="LT13" s="35" t="s">
        <v>571</v>
      </c>
      <c r="LW13">
        <f>IF(Sheet!LW13="Совсем нет / Not at all",1,IF(Sheet!LX13="Немного / A little",2,IF(Sheet!LY13="Довольно сильно / Quite a bit",3,IF(Sheet!LZ13="Очень сильно / Extremely",4,""))))</f>
        <v>2</v>
      </c>
      <c r="LX13" s="35" t="s">
        <v>571</v>
      </c>
      <c r="MA13">
        <f>IF(Sheet!MA13="Совсем нет / Not at all",1,IF(Sheet!MB13="Немного / A little",2,IF(Sheet!MC13="Довольно сильно / Quite a bit",3,IF(Sheet!MD13="Очень сильно / Extremely",4,""))))</f>
        <v>2</v>
      </c>
      <c r="MB13" s="35" t="s">
        <v>571</v>
      </c>
      <c r="ME13">
        <f>IF(Sheet!ME13="Совсем нет / Not at all",1,IF(Sheet!MF13="Немного / A little",2,IF(Sheet!MG13="Довольно сильно / Quite a bit",3,IF(Sheet!MH13="Очень сильно / Extremely",4,""))))</f>
        <v>3</v>
      </c>
      <c r="MF13" s="35" t="s">
        <v>571</v>
      </c>
      <c r="MH13" s="25"/>
      <c r="MI13">
        <f>IF(Sheet!MI13="Совсем нет / Not at all",1,IF(Sheet!MJ13="Немного / A little",2,IF(Sheet!MK13="Довольно сильно / Quite a bit",3,IF(Sheet!ML13="Очень сильно / Extremely",4,""))))</f>
        <v>2</v>
      </c>
      <c r="MJ13" s="47" t="s">
        <v>571</v>
      </c>
      <c r="MM13">
        <f>IF(Sheet!MM13="Совсем нет / Not at all",1,IF(Sheet!MN13="Немного / A little",2,IF(Sheet!MO13="Довольно сильно / Quite a bit",3,IF(Sheet!MP13="Очень сильно / Extremely",4,""))))</f>
        <v>1</v>
      </c>
      <c r="MN13" s="47" t="s">
        <v>571</v>
      </c>
      <c r="MQ13">
        <f>IF(Sheet!MQ13="Совсем нет / Not at all",1,IF(Sheet!MR13="Немного / A little",2,IF(Sheet!MS13="Довольно сильно / Quite a bit",3,IF(Sheet!MT13="Очень сильно / Extremely",4,""))))</f>
        <v>3</v>
      </c>
      <c r="MR13" s="47" t="s">
        <v>571</v>
      </c>
      <c r="MU13">
        <f>IF(Sheet!MU13="Совсем нет / Not at all",1,IF(Sheet!MV13="Немного / A little",2,IF(Sheet!MW13="Довольно сильно / Quite a bit",3,IF(Sheet!MX13="Очень сильно / Extremely",4,""))))</f>
        <v>1</v>
      </c>
      <c r="MV13" s="47" t="s">
        <v>571</v>
      </c>
      <c r="MY13">
        <f>IF(Sheet!MY13="Совсем нет / Not at all",1,IF(Sheet!MZ13="Немного / A little",2,IF(Sheet!NA13="Довольно сильно / Quite a bit",3,IF(Sheet!NB13="Очень сильно / Extremely",4,""))))</f>
        <v>1</v>
      </c>
      <c r="MZ13" s="47" t="s">
        <v>571</v>
      </c>
      <c r="NC13">
        <f>IF(Sheet!NC13="Совсем нет / Not at all",1,IF(Sheet!ND13="Немного / A little",2,IF(Sheet!NE13="Довольно сильно / Quite a bit",3,IF(Sheet!NF13="Очень сильно / Extremely",4,""))))</f>
        <v>2</v>
      </c>
      <c r="ND13" s="47" t="s">
        <v>571</v>
      </c>
      <c r="NG13">
        <f>IF(Sheet!NG13="Совсем нет / Not at all",1,IF(Sheet!NH13="Немного / A little",2,IF(Sheet!NI13="Довольно сильно / Quite a bit",3,IF(Sheet!NJ13="Очень сильно / Extremely",4,""))))</f>
        <v>1</v>
      </c>
      <c r="NH13" s="47" t="s">
        <v>571</v>
      </c>
      <c r="NK13">
        <f>IF(Sheet!NK13="Совсем нет / Not at all",1,IF(Sheet!NL13="Немного / A little",2,IF(Sheet!NM13="Довольно сильно / Quite a bit",3,IF(Sheet!NN13="Очень сильно / Extremely",4,""))))</f>
        <v>2</v>
      </c>
      <c r="NL13" s="47" t="s">
        <v>571</v>
      </c>
      <c r="NO13">
        <f>IF(Sheet!NO13="Совсем нет / Not at all",1,IF(Sheet!NP13="Немного / A little",2,IF(Sheet!NQ13="Довольно сильно / Quite a bit",3,IF(Sheet!NR13="Очень сильно / Extremely",4,""))))</f>
        <v>4</v>
      </c>
      <c r="NP13" s="47" t="s">
        <v>571</v>
      </c>
      <c r="NS13">
        <f>IF(Sheet!NS13="Совсем нет / Not at all",1,IF(Sheet!NT13="Немного / A little",2,IF(Sheet!NU13="Довольно сильно / Quite a bit",3,IF(Sheet!NV13="Очень сильно / Extremely",4,""))))</f>
        <v>1</v>
      </c>
      <c r="NT13" s="47" t="s">
        <v>571</v>
      </c>
      <c r="NW13">
        <f>IF(Sheet!NW13="Совсем нет / Not at all",1,IF(Sheet!NX13="Немного / A little",2,IF(Sheet!NY13="Довольно сильно / Quite a bit",3,IF(Sheet!NZ13="Очень сильно / Extremely",4,""))))</f>
        <v>1</v>
      </c>
      <c r="NX13" s="47" t="s">
        <v>571</v>
      </c>
      <c r="OA13">
        <f>IF(Sheet!OA13="Совсем нет / Not at all",1,IF(Sheet!OB13="Немного / A little",2,IF(Sheet!OC13="Довольно сильно / Quite a bit",3,IF(Sheet!OD13="Очень сильно / Extremely",4,""))))</f>
        <v>2</v>
      </c>
      <c r="OB13" s="47" t="s">
        <v>571</v>
      </c>
      <c r="OE13">
        <f>IF(Sheet!OE13="Совсем нет / Not at all",1,IF(Sheet!OF13="Немного / A little",2,IF(Sheet!OG13="Довольно сильно / Quite a bit",3,IF(Sheet!OH13="Очень сильно / Extremely",4,""))))</f>
        <v>1</v>
      </c>
      <c r="OF13" s="47" t="s">
        <v>571</v>
      </c>
      <c r="OI13">
        <f>IF(Sheet!OI13="Совсем нет / Not at all",1,IF(Sheet!OJ13="Немного / A little",2,IF(Sheet!OK13="Довольно сильно / Quite a bit",3,IF(Sheet!OL13="Очень сильно / Extremely",4,""))))</f>
        <v>1</v>
      </c>
      <c r="OJ13" s="47" t="s">
        <v>571</v>
      </c>
    </row>
    <row r="14" spans="1:400" ht="16.350000000000001">
      <c r="A14" t="str">
        <f>Sheet!A14</f>
        <v>PD001</v>
      </c>
      <c r="KR14" s="27">
        <f>SUM(KU14,KY14,LC14,LG14,LK14,LO14,LS14,LW14,MA14,ME14)/10</f>
        <v>1.1000000000000001</v>
      </c>
      <c r="KS14" s="27">
        <f>SUM(MI14,MM14,MQ14,MU14,MY14,NC14,NG14,NK14,NO14,NS14,NW14,OA14,OE14,OI14)/14</f>
        <v>1.5</v>
      </c>
      <c r="KU14">
        <f>IF(Sheet!KU14="Совсем нет / Not at all",1,IF(Sheet!KV14="Немного / A little",2,IF(Sheet!KW14="Довольно сильно / Quite a bit",3,IF(Sheet!KX14="Очень сильно / Extremely",4,""))))</f>
        <v>1</v>
      </c>
      <c r="KV14" s="36">
        <f>COUNTIF(KU$3:KU$69,"=4")</f>
        <v>3</v>
      </c>
      <c r="KY14">
        <f>IF(Sheet!KY14="Совсем нет / Not at all",1,IF(Sheet!KZ14="Немного / A little",2,IF(Sheet!LA14="Довольно сильно / Quite a bit",3,IF(Sheet!LB14="Очень сильно / Extremely",4,""))))</f>
        <v>1</v>
      </c>
      <c r="KZ14" s="36">
        <f>COUNTIF(KY$3:KY$69,"=4")</f>
        <v>3</v>
      </c>
      <c r="LC14">
        <f>IF(Sheet!LC14="Совсем нет / Not at all",1,IF(Sheet!LD14="Немного / A little",2,IF(Sheet!LE14="Довольно сильно / Quite a bit",3,IF(Sheet!LF14="Очень сильно / Extremely",4,""))))</f>
        <v>1</v>
      </c>
      <c r="LD14" s="36">
        <f>COUNTIF(LC$3:LC$69,"=4")</f>
        <v>0</v>
      </c>
      <c r="LG14">
        <f>IF(Sheet!LG14="Совсем нет / Not at all",1,IF(Sheet!LH14="Немного / A little",2,IF(Sheet!LI14="Довольно сильно / Quite a bit",3,IF(Sheet!LJ14="Очень сильно / Extremely",4,""))))</f>
        <v>1</v>
      </c>
      <c r="LH14" s="48">
        <f>COUNTIF(LG$3:LG$69,"=4")</f>
        <v>6</v>
      </c>
      <c r="LK14">
        <f>IF(Sheet!LK14="Совсем нет / Not at all",1,IF(Sheet!LL14="Немного / A little",2,IF(Sheet!LM14="Довольно сильно / Quite a bit",3,IF(Sheet!LN14="Очень сильно / Extremely",4,""))))</f>
        <v>2</v>
      </c>
      <c r="LL14" s="48">
        <f>COUNTIF(LK$3:LK$69,"=4")</f>
        <v>5</v>
      </c>
      <c r="LO14">
        <f>IF(Sheet!LO14="Совсем нет / Not at all",1,IF(Sheet!LP14="Немного / A little",2,IF(Sheet!LQ14="Довольно сильно / Quite a bit",3,IF(Sheet!LR14="Очень сильно / Extremely",4,""))))</f>
        <v>1</v>
      </c>
      <c r="LP14" s="36">
        <f>COUNTIF(LO$3:LO$69,"=4")</f>
        <v>1</v>
      </c>
      <c r="LS14">
        <f>IF(Sheet!LS14="Совсем нет / Not at all",1,IF(Sheet!LT14="Немного / A little",2,IF(Sheet!LU14="Довольно сильно / Quite a bit",3,IF(Sheet!LV14="Очень сильно / Extremely",4,""))))</f>
        <v>1</v>
      </c>
      <c r="LT14" s="48">
        <f>COUNTIF(LS$3:LS$69,"=4")</f>
        <v>7</v>
      </c>
      <c r="LW14">
        <f>IF(Sheet!LW14="Совсем нет / Not at all",1,IF(Sheet!LX14="Немного / A little",2,IF(Sheet!LY14="Довольно сильно / Quite a bit",3,IF(Sheet!LZ14="Очень сильно / Extremely",4,""))))</f>
        <v>1</v>
      </c>
      <c r="LX14" s="36">
        <f>COUNTIF(LW$3:LW$69,"=4")</f>
        <v>3</v>
      </c>
      <c r="MA14">
        <f>IF(Sheet!MA14="Совсем нет / Not at all",1,IF(Sheet!MB14="Немного / A little",2,IF(Sheet!MC14="Довольно сильно / Quite a bit",3,IF(Sheet!MD14="Очень сильно / Extremely",4,""))))</f>
        <v>1</v>
      </c>
      <c r="MB14" s="36">
        <f>COUNTIF(MA$3:MA$69,"=4")</f>
        <v>2</v>
      </c>
      <c r="ME14">
        <f>IF(Sheet!ME14="Совсем нет / Not at all",1,IF(Sheet!MF14="Немного / A little",2,IF(Sheet!MG14="Довольно сильно / Quite a bit",3,IF(Sheet!MH14="Очень сильно / Extremely",4,""))))</f>
        <v>1</v>
      </c>
      <c r="MF14" s="48">
        <f>COUNTIF(ME$3:ME$69,"=4")</f>
        <v>7</v>
      </c>
      <c r="MH14" s="25"/>
      <c r="MI14">
        <f>IF(Sheet!MI14="Совсем нет / Not at all",1,IF(Sheet!MJ14="Немного / A little",2,IF(Sheet!MK14="Довольно сильно / Quite a bit",3,IF(Sheet!ML14="Очень сильно / Extremely",4,""))))</f>
        <v>2</v>
      </c>
      <c r="MJ14" s="50">
        <f>COUNTIF(MI$3:MI$69,"=4")</f>
        <v>9</v>
      </c>
      <c r="MM14">
        <f>IF(Sheet!MM14="Совсем нет / Not at all",1,IF(Sheet!MN14="Немного / A little",2,IF(Sheet!MO14="Довольно сильно / Quite a bit",3,IF(Sheet!MP14="Очень сильно / Extremely",4,""))))</f>
        <v>1</v>
      </c>
      <c r="MN14" s="50">
        <f>COUNTIF(MM$3:MM$69,"=4")</f>
        <v>6</v>
      </c>
      <c r="MQ14">
        <f>IF(Sheet!MQ14="Совсем нет / Not at all",1,IF(Sheet!MR14="Немного / A little",2,IF(Sheet!MS14="Довольно сильно / Quite a bit",3,IF(Sheet!MT14="Очень сильно / Extremely",4,""))))</f>
        <v>1</v>
      </c>
      <c r="MR14" s="50">
        <f>COUNTIF(MQ$3:MQ$69,"=4")</f>
        <v>9</v>
      </c>
      <c r="MU14">
        <f>IF(Sheet!MU14="Совсем нет / Not at all",1,IF(Sheet!MV14="Немного / A little",2,IF(Sheet!MW14="Довольно сильно / Quite a bit",3,IF(Sheet!MX14="Очень сильно / Extremely",4,""))))</f>
        <v>1</v>
      </c>
      <c r="MV14" s="50">
        <f>COUNTIF(MU$3:MU$69,"=4")</f>
        <v>6</v>
      </c>
      <c r="MY14">
        <f>IF(Sheet!MY14="Совсем нет / Not at all",1,IF(Sheet!MZ14="Немного / A little",2,IF(Sheet!NA14="Довольно сильно / Quite a bit",3,IF(Sheet!NB14="Очень сильно / Extremely",4,""))))</f>
        <v>1</v>
      </c>
      <c r="MZ14" s="50">
        <f>COUNTIF(MY$3:MY$69,"=4")</f>
        <v>2</v>
      </c>
      <c r="NC14">
        <f>IF(Sheet!NC14="Совсем нет / Not at all",1,IF(Sheet!ND14="Немного / A little",2,IF(Sheet!NE14="Довольно сильно / Quite a bit",3,IF(Sheet!NF14="Очень сильно / Extremely",4,""))))</f>
        <v>2</v>
      </c>
      <c r="ND14" s="49">
        <f>COUNTIF(NC$3:NC$69,"=4")</f>
        <v>13</v>
      </c>
      <c r="NG14">
        <f>IF(Sheet!NG14="Совсем нет / Not at all",1,IF(Sheet!NH14="Немного / A little",2,IF(Sheet!NI14="Довольно сильно / Quite a bit",3,IF(Sheet!NJ14="Очень сильно / Extremely",4,""))))</f>
        <v>1</v>
      </c>
      <c r="NH14" s="49">
        <f>COUNTIF(NG$3:NG$69,"=4")</f>
        <v>13</v>
      </c>
      <c r="NK14">
        <f>IF(Sheet!NK14="Совсем нет / Not at all",1,IF(Sheet!NL14="Немного / A little",2,IF(Sheet!NM14="Довольно сильно / Quite a bit",3,IF(Sheet!NN14="Очень сильно / Extremely",4,""))))</f>
        <v>2</v>
      </c>
      <c r="NL14" s="50">
        <f>COUNTIF(NK$3:NK$69,"=4")</f>
        <v>9</v>
      </c>
      <c r="NO14">
        <f>IF(Sheet!NO14="Совсем нет / Not at all",1,IF(Sheet!NP14="Немного / A little",2,IF(Sheet!NQ14="Довольно сильно / Quite a bit",3,IF(Sheet!NR14="Очень сильно / Extremely",4,""))))</f>
        <v>2</v>
      </c>
      <c r="NP14" s="49">
        <f>COUNTIF(NO$3:NO$69,"=4")</f>
        <v>11</v>
      </c>
      <c r="NS14">
        <f>IF(Sheet!NS14="Совсем нет / Not at all",1,IF(Sheet!NT14="Немного / A little",2,IF(Sheet!NU14="Довольно сильно / Quite a bit",3,IF(Sheet!NV14="Очень сильно / Extremely",4,""))))</f>
        <v>1</v>
      </c>
      <c r="NT14" s="50">
        <f>COUNTIF(NS$3:NS$69,"=4")</f>
        <v>6</v>
      </c>
      <c r="NW14">
        <f>IF(Sheet!NW14="Совсем нет / Not at all",1,IF(Sheet!NX14="Немного / A little",2,IF(Sheet!NY14="Довольно сильно / Quite a bit",3,IF(Sheet!NZ14="Очень сильно / Extremely",4,""))))</f>
        <v>2</v>
      </c>
      <c r="NX14" s="50">
        <f>COUNTIF(NW$3:NW$69,"=4")</f>
        <v>7</v>
      </c>
      <c r="OA14">
        <f>IF(Sheet!OA14="Совсем нет / Not at all",1,IF(Sheet!OB14="Немного / A little",2,IF(Sheet!OC14="Довольно сильно / Quite a bit",3,IF(Sheet!OD14="Очень сильно / Extremely",4,""))))</f>
        <v>1</v>
      </c>
      <c r="OB14" s="50">
        <f>COUNTIF(OA$3:OA$69,"=4")</f>
        <v>5</v>
      </c>
      <c r="OE14">
        <f>IF(Sheet!OE14="Совсем нет / Not at all",1,IF(Sheet!OF14="Немного / A little",2,IF(Sheet!OG14="Довольно сильно / Quite a bit",3,IF(Sheet!OH14="Очень сильно / Extremely",4,""))))</f>
        <v>3</v>
      </c>
      <c r="OF14" s="49">
        <f>COUNTIF(OE$3:OE$69,"=4")</f>
        <v>14</v>
      </c>
      <c r="OI14">
        <f>IF(Sheet!OI14="Совсем нет / Not at all",1,IF(Sheet!OJ14="Немного / A little",2,IF(Sheet!OK14="Довольно сильно / Quite a bit",3,IF(Sheet!OL14="Очень сильно / Extremely",4,""))))</f>
        <v>1</v>
      </c>
      <c r="OJ14" s="49">
        <f>COUNTIF(OI$3:OI$69,"=4")</f>
        <v>10</v>
      </c>
    </row>
    <row r="15" spans="1:400" ht="16.350000000000001">
      <c r="A15" t="str">
        <f>Sheet!A15</f>
        <v>CI002</v>
      </c>
      <c r="E15" t="s">
        <v>576</v>
      </c>
      <c r="F15" s="18" t="s">
        <v>552</v>
      </c>
      <c r="G15" s="18" t="s">
        <v>551</v>
      </c>
      <c r="KR15" s="27">
        <f>SUM(KU15,KY15,LC15,LG15,LK15,LO15,LS15,LW15,MA15,ME15)/10</f>
        <v>1</v>
      </c>
      <c r="KS15" s="27">
        <f>SUM(MI15,MM15,MQ15,MU15,MY15,NC15,NG15,NK15,NO15,NS15,NW15,OA15,OE15,OI15)/14</f>
        <v>1.0714285714285714</v>
      </c>
      <c r="KU15">
        <f>IF(Sheet!KU15="Совсем нет / Not at all",1,IF(Sheet!KV15="Немного / A little",2,IF(Sheet!KW15="Довольно сильно / Quite a bit",3,IF(Sheet!KX15="Очень сильно / Extremely",4,""))))</f>
        <v>1</v>
      </c>
      <c r="KV15" s="37">
        <f>KV14/64</f>
        <v>4.6875E-2</v>
      </c>
      <c r="KY15">
        <f>IF(Sheet!KY15="Совсем нет / Not at all",1,IF(Sheet!KZ15="Немного / A little",2,IF(Sheet!LA15="Довольно сильно / Quite a bit",3,IF(Sheet!LB15="Очень сильно / Extremely",4,""))))</f>
        <v>1</v>
      </c>
      <c r="KZ15" s="37">
        <f>KZ14/64</f>
        <v>4.6875E-2</v>
      </c>
      <c r="LC15">
        <f>IF(Sheet!LC15="Совсем нет / Not at all",1,IF(Sheet!LD15="Немного / A little",2,IF(Sheet!LE15="Довольно сильно / Quite a bit",3,IF(Sheet!LF15="Очень сильно / Extremely",4,""))))</f>
        <v>1</v>
      </c>
      <c r="LD15" s="37">
        <f>LD14/64</f>
        <v>0</v>
      </c>
      <c r="LG15">
        <f>IF(Sheet!LG15="Совсем нет / Not at all",1,IF(Sheet!LH15="Немного / A little",2,IF(Sheet!LI15="Довольно сильно / Quite a bit",3,IF(Sheet!LJ15="Очень сильно / Extremely",4,""))))</f>
        <v>1</v>
      </c>
      <c r="LH15" s="38">
        <f>LH14/64</f>
        <v>9.375E-2</v>
      </c>
      <c r="LK15">
        <f>IF(Sheet!LK15="Совсем нет / Not at all",1,IF(Sheet!LL15="Немного / A little",2,IF(Sheet!LM15="Довольно сильно / Quite a bit",3,IF(Sheet!LN15="Очень сильно / Extremely",4,""))))</f>
        <v>1</v>
      </c>
      <c r="LL15" s="38">
        <f>LL14/64</f>
        <v>7.8125E-2</v>
      </c>
      <c r="LO15">
        <f>IF(Sheet!LO15="Совсем нет / Not at all",1,IF(Sheet!LP15="Немного / A little",2,IF(Sheet!LQ15="Довольно сильно / Quite a bit",3,IF(Sheet!LR15="Очень сильно / Extremely",4,""))))</f>
        <v>1</v>
      </c>
      <c r="LP15" s="37">
        <f>LP14/64</f>
        <v>1.5625E-2</v>
      </c>
      <c r="LS15">
        <f>IF(Sheet!LS15="Совсем нет / Not at all",1,IF(Sheet!LT15="Немного / A little",2,IF(Sheet!LU15="Довольно сильно / Quite a bit",3,IF(Sheet!LV15="Очень сильно / Extremely",4,""))))</f>
        <v>1</v>
      </c>
      <c r="LT15" s="38">
        <f>LT14/64</f>
        <v>0.109375</v>
      </c>
      <c r="LW15">
        <f>IF(Sheet!LW15="Совсем нет / Not at all",1,IF(Sheet!LX15="Немного / A little",2,IF(Sheet!LY15="Довольно сильно / Quite a bit",3,IF(Sheet!LZ15="Очень сильно / Extremely",4,""))))</f>
        <v>1</v>
      </c>
      <c r="LX15" s="37">
        <f>LX14/64</f>
        <v>4.6875E-2</v>
      </c>
      <c r="MA15">
        <f>IF(Sheet!MA15="Совсем нет / Not at all",1,IF(Sheet!MB15="Немного / A little",2,IF(Sheet!MC15="Довольно сильно / Quite a bit",3,IF(Sheet!MD15="Очень сильно / Extremely",4,""))))</f>
        <v>1</v>
      </c>
      <c r="MB15" s="37">
        <f>MB14/64</f>
        <v>3.125E-2</v>
      </c>
      <c r="ME15">
        <f>IF(Sheet!ME15="Совсем нет / Not at all",1,IF(Sheet!MF15="Немного / A little",2,IF(Sheet!MG15="Довольно сильно / Quite a bit",3,IF(Sheet!MH15="Очень сильно / Extremely",4,""))))</f>
        <v>1</v>
      </c>
      <c r="MF15" s="38">
        <f>MF14/64</f>
        <v>0.109375</v>
      </c>
      <c r="MH15" s="25"/>
      <c r="MI15">
        <f>IF(Sheet!MI15="Совсем нет / Not at all",1,IF(Sheet!MJ15="Немного / A little",2,IF(Sheet!MK15="Довольно сильно / Quite a bit",3,IF(Sheet!ML15="Очень сильно / Extremely",4,""))))</f>
        <v>1</v>
      </c>
      <c r="MJ15" s="52">
        <f>MJ14/64</f>
        <v>0.140625</v>
      </c>
      <c r="MM15">
        <f>IF(Sheet!MM15="Совсем нет / Not at all",1,IF(Sheet!MN15="Немного / A little",2,IF(Sheet!MO15="Довольно сильно / Quite a bit",3,IF(Sheet!MP15="Очень сильно / Extremely",4,""))))</f>
        <v>2</v>
      </c>
      <c r="MN15" s="52">
        <f>MN14/64</f>
        <v>9.375E-2</v>
      </c>
      <c r="MQ15">
        <f>IF(Sheet!MQ15="Совсем нет / Not at all",1,IF(Sheet!MR15="Немного / A little",2,IF(Sheet!MS15="Довольно сильно / Quite a bit",3,IF(Sheet!MT15="Очень сильно / Extremely",4,""))))</f>
        <v>1</v>
      </c>
      <c r="MR15" s="52">
        <f>MR14/64</f>
        <v>0.140625</v>
      </c>
      <c r="MU15">
        <f>IF(Sheet!MU15="Совсем нет / Not at all",1,IF(Sheet!MV15="Немного / A little",2,IF(Sheet!MW15="Довольно сильно / Quite a bit",3,IF(Sheet!MX15="Очень сильно / Extremely",4,""))))</f>
        <v>1</v>
      </c>
      <c r="MV15" s="52">
        <f>MV14/64</f>
        <v>9.375E-2</v>
      </c>
      <c r="MY15">
        <f>IF(Sheet!MY15="Совсем нет / Not at all",1,IF(Sheet!MZ15="Немного / A little",2,IF(Sheet!NA15="Довольно сильно / Quite a bit",3,IF(Sheet!NB15="Очень сильно / Extremely",4,""))))</f>
        <v>1</v>
      </c>
      <c r="MZ15" s="52">
        <f>MZ14/64</f>
        <v>3.125E-2</v>
      </c>
      <c r="NC15">
        <f>IF(Sheet!NC15="Совсем нет / Not at all",1,IF(Sheet!ND15="Немного / A little",2,IF(Sheet!NE15="Довольно сильно / Quite a bit",3,IF(Sheet!NF15="Очень сильно / Extremely",4,""))))</f>
        <v>1</v>
      </c>
      <c r="ND15" s="52">
        <f>ND14/64</f>
        <v>0.203125</v>
      </c>
      <c r="NG15">
        <f>IF(Sheet!NG15="Совсем нет / Not at all",1,IF(Sheet!NH15="Немного / A little",2,IF(Sheet!NI15="Довольно сильно / Quite a bit",3,IF(Sheet!NJ15="Очень сильно / Extremely",4,""))))</f>
        <v>1</v>
      </c>
      <c r="NH15" s="52">
        <f>NH14/64</f>
        <v>0.203125</v>
      </c>
      <c r="NK15">
        <f>IF(Sheet!NK15="Совсем нет / Not at all",1,IF(Sheet!NL15="Немного / A little",2,IF(Sheet!NM15="Довольно сильно / Quite a bit",3,IF(Sheet!NN15="Очень сильно / Extremely",4,""))))</f>
        <v>1</v>
      </c>
      <c r="NL15" s="52">
        <f>NL14/64</f>
        <v>0.140625</v>
      </c>
      <c r="NO15">
        <f>IF(Sheet!NO15="Совсем нет / Not at all",1,IF(Sheet!NP15="Немного / A little",2,IF(Sheet!NQ15="Довольно сильно / Quite a bit",3,IF(Sheet!NR15="Очень сильно / Extremely",4,""))))</f>
        <v>1</v>
      </c>
      <c r="NP15" s="52">
        <f>NP14/64</f>
        <v>0.171875</v>
      </c>
      <c r="NS15">
        <f>IF(Sheet!NS15="Совсем нет / Not at all",1,IF(Sheet!NT15="Немного / A little",2,IF(Sheet!NU15="Довольно сильно / Quite a bit",3,IF(Sheet!NV15="Очень сильно / Extremely",4,""))))</f>
        <v>1</v>
      </c>
      <c r="NT15" s="52">
        <f>NT14/64</f>
        <v>9.375E-2</v>
      </c>
      <c r="NW15">
        <f>IF(Sheet!NW15="Совсем нет / Not at all",1,IF(Sheet!NX15="Немного / A little",2,IF(Sheet!NY15="Довольно сильно / Quite a bit",3,IF(Sheet!NZ15="Очень сильно / Extremely",4,""))))</f>
        <v>1</v>
      </c>
      <c r="NX15" s="52">
        <f>NX14/64</f>
        <v>0.109375</v>
      </c>
      <c r="OA15">
        <f>IF(Sheet!OA15="Совсем нет / Not at all",1,IF(Sheet!OB15="Немного / A little",2,IF(Sheet!OC15="Довольно сильно / Quite a bit",3,IF(Sheet!OD15="Очень сильно / Extremely",4,""))))</f>
        <v>1</v>
      </c>
      <c r="OB15" s="52">
        <f>OB14/64</f>
        <v>7.8125E-2</v>
      </c>
      <c r="OE15">
        <f>IF(Sheet!OE15="Совсем нет / Not at all",1,IF(Sheet!OF15="Немного / A little",2,IF(Sheet!OG15="Довольно сильно / Quite a bit",3,IF(Sheet!OH15="Очень сильно / Extremely",4,""))))</f>
        <v>1</v>
      </c>
      <c r="OF15" s="52">
        <f>OF14/64</f>
        <v>0.21875</v>
      </c>
      <c r="OI15">
        <f>IF(Sheet!OI15="Совсем нет / Not at all",1,IF(Sheet!OJ15="Немного / A little",2,IF(Sheet!OK15="Довольно сильно / Quite a bit",3,IF(Sheet!OL15="Очень сильно / Extremely",4,""))))</f>
        <v>1</v>
      </c>
      <c r="OJ15" s="52">
        <f>OJ14/64</f>
        <v>0.15625</v>
      </c>
    </row>
    <row r="16" spans="1:400" ht="16.350000000000001">
      <c r="A16" t="str">
        <f>Sheet!A16</f>
        <v>YC001</v>
      </c>
      <c r="E16" t="s">
        <v>79</v>
      </c>
      <c r="F16" s="53">
        <v>0.765625</v>
      </c>
      <c r="G16" s="39">
        <v>49</v>
      </c>
      <c r="KR16" s="27">
        <f>SUM(KU16,KY16,LC16,LG16,LK16,LO16,LS16,LW16,MA16,ME16)/10</f>
        <v>1.7</v>
      </c>
      <c r="KS16" s="27">
        <f>SUM(MI16,MM16,MQ16,MU16,MY16,NC16,NG16,NK16,NO16,NS16,NW16,OA16,OE16,OI16)/14</f>
        <v>2.2857142857142856</v>
      </c>
      <c r="KU16">
        <f>IF(Sheet!KU16="Совсем нет / Not at all",1,IF(Sheet!KV16="Немного / A little",2,IF(Sheet!KW16="Довольно сильно / Quite a bit",3,IF(Sheet!KX16="Очень сильно / Extremely",4,""))))</f>
        <v>2</v>
      </c>
      <c r="KY16">
        <f>IF(Sheet!KY16="Совсем нет / Not at all",1,IF(Sheet!KZ16="Немного / A little",2,IF(Sheet!LA16="Довольно сильно / Quite a bit",3,IF(Sheet!LB16="Очень сильно / Extremely",4,""))))</f>
        <v>2</v>
      </c>
      <c r="LC16">
        <f>IF(Sheet!LC16="Совсем нет / Not at all",1,IF(Sheet!LD16="Немного / A little",2,IF(Sheet!LE16="Довольно сильно / Quite a bit",3,IF(Sheet!LF16="Очень сильно / Extremely",4,""))))</f>
        <v>1</v>
      </c>
      <c r="LG16">
        <f>IF(Sheet!LG16="Совсем нет / Not at all",1,IF(Sheet!LH16="Немного / A little",2,IF(Sheet!LI16="Довольно сильно / Quite a bit",3,IF(Sheet!LJ16="Очень сильно / Extremely",4,""))))</f>
        <v>2</v>
      </c>
      <c r="LK16">
        <f>IF(Sheet!LK16="Совсем нет / Not at all",1,IF(Sheet!LL16="Немного / A little",2,IF(Sheet!LM16="Довольно сильно / Quite a bit",3,IF(Sheet!LN16="Очень сильно / Extremely",4,""))))</f>
        <v>2</v>
      </c>
      <c r="LO16">
        <f>IF(Sheet!LO16="Совсем нет / Not at all",1,IF(Sheet!LP16="Немного / A little",2,IF(Sheet!LQ16="Довольно сильно / Quite a bit",3,IF(Sheet!LR16="Очень сильно / Extremely",4,""))))</f>
        <v>1</v>
      </c>
      <c r="LS16">
        <f>IF(Sheet!LS16="Совсем нет / Not at all",1,IF(Sheet!LT16="Немного / A little",2,IF(Sheet!LU16="Довольно сильно / Quite a bit",3,IF(Sheet!LV16="Очень сильно / Extremely",4,""))))</f>
        <v>2</v>
      </c>
      <c r="LW16">
        <f>IF(Sheet!LW16="Совсем нет / Not at all",1,IF(Sheet!LX16="Немного / A little",2,IF(Sheet!LY16="Довольно сильно / Quite a bit",3,IF(Sheet!LZ16="Очень сильно / Extremely",4,""))))</f>
        <v>1</v>
      </c>
      <c r="MA16">
        <f>IF(Sheet!MA16="Совсем нет / Not at all",1,IF(Sheet!MB16="Немного / A little",2,IF(Sheet!MC16="Довольно сильно / Quite a bit",3,IF(Sheet!MD16="Очень сильно / Extremely",4,""))))</f>
        <v>1</v>
      </c>
      <c r="ME16">
        <f>IF(Sheet!ME16="Совсем нет / Not at all",1,IF(Sheet!MF16="Немного / A little",2,IF(Sheet!MG16="Довольно сильно / Quite a bit",3,IF(Sheet!MH16="Очень сильно / Extremely",4,""))))</f>
        <v>3</v>
      </c>
      <c r="MH16" s="25"/>
      <c r="MI16">
        <f>IF(Sheet!MI16="Совсем нет / Not at all",1,IF(Sheet!MJ16="Немного / A little",2,IF(Sheet!MK16="Довольно сильно / Quite a bit",3,IF(Sheet!ML16="Очень сильно / Extremely",4,""))))</f>
        <v>4</v>
      </c>
      <c r="MM16">
        <f>IF(Sheet!MM16="Совсем нет / Not at all",1,IF(Sheet!MN16="Немного / A little",2,IF(Sheet!MO16="Довольно сильно / Quite a bit",3,IF(Sheet!MP16="Очень сильно / Extremely",4,""))))</f>
        <v>3</v>
      </c>
      <c r="MQ16">
        <f>IF(Sheet!MQ16="Совсем нет / Not at all",1,IF(Sheet!MR16="Немного / A little",2,IF(Sheet!MS16="Довольно сильно / Quite a bit",3,IF(Sheet!MT16="Очень сильно / Extremely",4,""))))</f>
        <v>1</v>
      </c>
      <c r="MU16">
        <f>IF(Sheet!MU16="Совсем нет / Not at all",1,IF(Sheet!MV16="Немного / A little",2,IF(Sheet!MW16="Довольно сильно / Quite a bit",3,IF(Sheet!MX16="Очень сильно / Extremely",4,""))))</f>
        <v>1</v>
      </c>
      <c r="MY16">
        <f>IF(Sheet!MY16="Совсем нет / Not at all",1,IF(Sheet!MZ16="Немного / A little",2,IF(Sheet!NA16="Довольно сильно / Quite a bit",3,IF(Sheet!NB16="Очень сильно / Extremely",4,""))))</f>
        <v>2</v>
      </c>
      <c r="NC16">
        <f>IF(Sheet!NC16="Совсем нет / Not at all",1,IF(Sheet!ND16="Немного / A little",2,IF(Sheet!NE16="Довольно сильно / Quite a bit",3,IF(Sheet!NF16="Очень сильно / Extremely",4,""))))</f>
        <v>4</v>
      </c>
      <c r="NG16">
        <f>IF(Sheet!NG16="Совсем нет / Not at all",1,IF(Sheet!NH16="Немного / A little",2,IF(Sheet!NI16="Довольно сильно / Quite a bit",3,IF(Sheet!NJ16="Очень сильно / Extremely",4,""))))</f>
        <v>2</v>
      </c>
      <c r="NK16">
        <f>IF(Sheet!NK16="Совсем нет / Not at all",1,IF(Sheet!NL16="Немного / A little",2,IF(Sheet!NM16="Довольно сильно / Quite a bit",3,IF(Sheet!NN16="Очень сильно / Extremely",4,""))))</f>
        <v>2</v>
      </c>
      <c r="NO16">
        <f>IF(Sheet!NO16="Совсем нет / Not at all",1,IF(Sheet!NP16="Немного / A little",2,IF(Sheet!NQ16="Довольно сильно / Quite a bit",3,IF(Sheet!NR16="Очень сильно / Extremely",4,""))))</f>
        <v>3</v>
      </c>
      <c r="NS16">
        <f>IF(Sheet!NS16="Совсем нет / Not at all",1,IF(Sheet!NT16="Немного / A little",2,IF(Sheet!NU16="Довольно сильно / Quite a bit",3,IF(Sheet!NV16="Очень сильно / Extremely",4,""))))</f>
        <v>1</v>
      </c>
      <c r="NW16">
        <f>IF(Sheet!NW16="Совсем нет / Not at all",1,IF(Sheet!NX16="Немного / A little",2,IF(Sheet!NY16="Довольно сильно / Quite a bit",3,IF(Sheet!NZ16="Очень сильно / Extremely",4,""))))</f>
        <v>1</v>
      </c>
      <c r="OA16">
        <f>IF(Sheet!OA16="Совсем нет / Not at all",1,IF(Sheet!OB16="Немного / A little",2,IF(Sheet!OC16="Довольно сильно / Quite a bit",3,IF(Sheet!OD16="Очень сильно / Extremely",4,""))))</f>
        <v>2</v>
      </c>
      <c r="OE16">
        <f>IF(Sheet!OE16="Совсем нет / Not at all",1,IF(Sheet!OF16="Немного / A little",2,IF(Sheet!OG16="Довольно сильно / Quite a bit",3,IF(Sheet!OH16="Очень сильно / Extremely",4,""))))</f>
        <v>3</v>
      </c>
      <c r="OI16">
        <f>IF(Sheet!OI16="Совсем нет / Not at all",1,IF(Sheet!OJ16="Немного / A little",2,IF(Sheet!OK16="Довольно сильно / Quite a bit",3,IF(Sheet!OL16="Очень сильно / Extremely",4,""))))</f>
        <v>3</v>
      </c>
    </row>
    <row r="17" spans="1:399" ht="13.9">
      <c r="A17" s="39" t="str">
        <f>Sheet!A17</f>
        <v>FG001</v>
      </c>
      <c r="B17" s="39"/>
      <c r="C17" s="39"/>
      <c r="D17" s="39"/>
      <c r="E17" t="s">
        <v>84</v>
      </c>
      <c r="F17" s="15">
        <v>0.734375</v>
      </c>
      <c r="G17">
        <v>47</v>
      </c>
      <c r="I17" s="39"/>
      <c r="J17" s="39"/>
      <c r="K17" s="39"/>
      <c r="L17" s="39"/>
      <c r="O17" s="39"/>
      <c r="P17" s="39"/>
      <c r="Q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27"/>
      <c r="KS17" s="27"/>
      <c r="KT17" s="39"/>
      <c r="KU17" s="39" t="str">
        <f>IF(Sheet!KU17="Совсем нет / Not at all",1,IF(Sheet!KV17="Немного / A little",2,IF(Sheet!KW17="Довольно сильно / Quite a bit",3,IF(Sheet!KX17="Очень сильно / Extremely",4,""))))</f>
        <v/>
      </c>
      <c r="KV17" s="39"/>
      <c r="KW17" s="39"/>
      <c r="KX17" s="39"/>
      <c r="KY17" s="39" t="str">
        <f>IF(Sheet!KY17="Совсем нет / Not at all",1,IF(Sheet!KZ17="Немного / A little",2,IF(Sheet!LA17="Довольно сильно / Quite a bit",3,IF(Sheet!LB17="Очень сильно / Extremely",4,""))))</f>
        <v/>
      </c>
      <c r="KZ17" s="39"/>
      <c r="LA17" s="39"/>
      <c r="LB17" s="39"/>
      <c r="LC17" s="39" t="str">
        <f>IF(Sheet!LC17="Совсем нет / Not at all",1,IF(Sheet!LD17="Немного / A little",2,IF(Sheet!LE17="Довольно сильно / Quite a bit",3,IF(Sheet!LF17="Очень сильно / Extremely",4,""))))</f>
        <v/>
      </c>
      <c r="LD17" s="39"/>
      <c r="LE17" s="39"/>
      <c r="LF17" s="39"/>
      <c r="LG17" s="39" t="str">
        <f>IF(Sheet!LG17="Совсем нет / Not at all",1,IF(Sheet!LH17="Немного / A little",2,IF(Sheet!LI17="Довольно сильно / Quite a bit",3,IF(Sheet!LJ17="Очень сильно / Extremely",4,""))))</f>
        <v/>
      </c>
      <c r="LH17" s="39"/>
      <c r="LI17" s="39"/>
      <c r="LJ17" s="39"/>
      <c r="LK17" s="39" t="str">
        <f>IF(Sheet!LK17="Совсем нет / Not at all",1,IF(Sheet!LL17="Немного / A little",2,IF(Sheet!LM17="Довольно сильно / Quite a bit",3,IF(Sheet!LN17="Очень сильно / Extremely",4,""))))</f>
        <v/>
      </c>
      <c r="LL17" s="39"/>
      <c r="LM17" s="39"/>
      <c r="LN17" s="39"/>
      <c r="LO17" s="39" t="str">
        <f>IF(Sheet!LO17="Совсем нет / Not at all",1,IF(Sheet!LP17="Немного / A little",2,IF(Sheet!LQ17="Довольно сильно / Quite a bit",3,IF(Sheet!LR17="Очень сильно / Extremely",4,""))))</f>
        <v/>
      </c>
      <c r="LP17" s="39"/>
      <c r="LQ17" s="39"/>
      <c r="LR17" s="39"/>
      <c r="LS17" s="39" t="str">
        <f>IF(Sheet!LS17="Совсем нет / Not at all",1,IF(Sheet!LT17="Немного / A little",2,IF(Sheet!LU17="Довольно сильно / Quite a bit",3,IF(Sheet!LV17="Очень сильно / Extremely",4,""))))</f>
        <v/>
      </c>
      <c r="LT17" s="39"/>
      <c r="LU17" s="39"/>
      <c r="LV17" s="39"/>
      <c r="LW17" s="39" t="str">
        <f>IF(Sheet!LW17="Совсем нет / Not at all",1,IF(Sheet!LX17="Немного / A little",2,IF(Sheet!LY17="Довольно сильно / Quite a bit",3,IF(Sheet!LZ17="Очень сильно / Extremely",4,""))))</f>
        <v/>
      </c>
      <c r="LX17" s="39"/>
      <c r="LY17" s="39"/>
      <c r="LZ17" s="39"/>
      <c r="MA17" s="39" t="str">
        <f>IF(Sheet!MA17="Совсем нет / Not at all",1,IF(Sheet!MB17="Немного / A little",2,IF(Sheet!MC17="Довольно сильно / Quite a bit",3,IF(Sheet!MD17="Очень сильно / Extremely",4,""))))</f>
        <v/>
      </c>
      <c r="MB17" s="39"/>
      <c r="MC17" s="39"/>
      <c r="MD17" s="39"/>
      <c r="ME17" s="39" t="str">
        <f>IF(Sheet!ME17="Совсем нет / Not at all",1,IF(Sheet!MF17="Немного / A little",2,IF(Sheet!MG17="Довольно сильно / Quite a bit",3,IF(Sheet!MH17="Очень сильно / Extremely",4,""))))</f>
        <v/>
      </c>
      <c r="MF17" s="39"/>
      <c r="MG17" s="39"/>
      <c r="MH17" s="54"/>
      <c r="MI17" s="39" t="str">
        <f>IF(Sheet!MI17="Совсем нет / Not at all",1,IF(Sheet!MJ17="Немного / A little",2,IF(Sheet!MK17="Довольно сильно / Quite a bit",3,IF(Sheet!ML17="Очень сильно / Extremely",4,""))))</f>
        <v/>
      </c>
      <c r="MJ17" s="39"/>
      <c r="MK17" s="39"/>
      <c r="ML17" s="39"/>
      <c r="MM17" s="39" t="str">
        <f>IF(Sheet!MM17="Совсем нет / Not at all",1,IF(Sheet!MN17="Немного / A little",2,IF(Sheet!MO17="Довольно сильно / Quite a bit",3,IF(Sheet!MP17="Очень сильно / Extremely",4,""))))</f>
        <v/>
      </c>
      <c r="MN17" s="39"/>
      <c r="MO17" s="39"/>
      <c r="MP17" s="39"/>
      <c r="MQ17" s="39" t="str">
        <f>IF(Sheet!MQ17="Совсем нет / Not at all",1,IF(Sheet!MR17="Немного / A little",2,IF(Sheet!MS17="Довольно сильно / Quite a bit",3,IF(Sheet!MT17="Очень сильно / Extremely",4,""))))</f>
        <v/>
      </c>
      <c r="MR17" s="39"/>
      <c r="MS17" s="39"/>
      <c r="MT17" s="39"/>
      <c r="MU17" s="39" t="str">
        <f>IF(Sheet!MU17="Совсем нет / Not at all",1,IF(Sheet!MV17="Немного / A little",2,IF(Sheet!MW17="Довольно сильно / Quite a bit",3,IF(Sheet!MX17="Очень сильно / Extremely",4,""))))</f>
        <v/>
      </c>
      <c r="MV17" s="39"/>
      <c r="MW17" s="39"/>
      <c r="MX17" s="39"/>
      <c r="MY17" s="39" t="str">
        <f>IF(Sheet!MY17="Совсем нет / Not at all",1,IF(Sheet!MZ17="Немного / A little",2,IF(Sheet!NA17="Довольно сильно / Quite a bit",3,IF(Sheet!NB17="Очень сильно / Extremely",4,""))))</f>
        <v/>
      </c>
      <c r="MZ17" s="39"/>
      <c r="NA17" s="39"/>
      <c r="NB17" s="39"/>
      <c r="NC17" s="39" t="str">
        <f>IF(Sheet!NC17="Совсем нет / Not at all",1,IF(Sheet!ND17="Немного / A little",2,IF(Sheet!NE17="Довольно сильно / Quite a bit",3,IF(Sheet!NF17="Очень сильно / Extremely",4,""))))</f>
        <v/>
      </c>
      <c r="ND17" s="39"/>
      <c r="NE17" s="39"/>
      <c r="NF17" s="39"/>
      <c r="NG17" s="39" t="str">
        <f>IF(Sheet!NG17="Совсем нет / Not at all",1,IF(Sheet!NH17="Немного / A little",2,IF(Sheet!NI17="Довольно сильно / Quite a bit",3,IF(Sheet!NJ17="Очень сильно / Extremely",4,""))))</f>
        <v/>
      </c>
      <c r="NH17" s="39"/>
      <c r="NI17" s="39"/>
      <c r="NJ17" s="39"/>
      <c r="NK17" s="39" t="str">
        <f>IF(Sheet!NK17="Совсем нет / Not at all",1,IF(Sheet!NL17="Немного / A little",2,IF(Sheet!NM17="Довольно сильно / Quite a bit",3,IF(Sheet!NN17="Очень сильно / Extremely",4,""))))</f>
        <v/>
      </c>
      <c r="NL17" s="39"/>
      <c r="NM17" s="39"/>
      <c r="NN17" s="39"/>
      <c r="NO17" s="39" t="str">
        <f>IF(Sheet!NO17="Совсем нет / Not at all",1,IF(Sheet!NP17="Немного / A little",2,IF(Sheet!NQ17="Довольно сильно / Quite a bit",3,IF(Sheet!NR17="Очень сильно / Extremely",4,""))))</f>
        <v/>
      </c>
      <c r="NP17" s="39"/>
      <c r="NQ17" s="39"/>
      <c r="NR17" s="39"/>
      <c r="NS17" s="39" t="str">
        <f>IF(Sheet!NS17="Совсем нет / Not at all",1,IF(Sheet!NT17="Немного / A little",2,IF(Sheet!NU17="Довольно сильно / Quite a bit",3,IF(Sheet!NV17="Очень сильно / Extremely",4,""))))</f>
        <v/>
      </c>
      <c r="NT17" s="39"/>
      <c r="NU17" s="39"/>
      <c r="NV17" s="39"/>
      <c r="NW17" s="39" t="str">
        <f>IF(Sheet!NW17="Совсем нет / Not at all",1,IF(Sheet!NX17="Немного / A little",2,IF(Sheet!NY17="Довольно сильно / Quite a bit",3,IF(Sheet!NZ17="Очень сильно / Extremely",4,""))))</f>
        <v/>
      </c>
      <c r="NX17" s="39"/>
      <c r="NY17" s="39"/>
      <c r="NZ17" s="39"/>
      <c r="OA17" s="39" t="str">
        <f>IF(Sheet!OA17="Совсем нет / Not at all",1,IF(Sheet!OB17="Немного / A little",2,IF(Sheet!OC17="Довольно сильно / Quite a bit",3,IF(Sheet!OD17="Очень сильно / Extremely",4,""))))</f>
        <v/>
      </c>
      <c r="OB17" s="39"/>
      <c r="OC17" s="39"/>
      <c r="OD17" s="39"/>
      <c r="OE17" s="39" t="str">
        <f>IF(Sheet!OE17="Совсем нет / Not at all",1,IF(Sheet!OF17="Немного / A little",2,IF(Sheet!OG17="Довольно сильно / Quite a bit",3,IF(Sheet!OH17="Очень сильно / Extremely",4,""))))</f>
        <v/>
      </c>
      <c r="OF17" s="39"/>
      <c r="OG17" s="39"/>
      <c r="OH17" s="39"/>
      <c r="OI17" s="39" t="str">
        <f>IF(Sheet!OI17="Совсем нет / Not at all",1,IF(Sheet!OJ17="Немного / A little",2,IF(Sheet!OK17="Довольно сильно / Quite a bit",3,IF(Sheet!OL17="Очень сильно / Extremely",4,""))))</f>
        <v/>
      </c>
    </row>
    <row r="18" spans="1:399" ht="16.350000000000001">
      <c r="A18" t="str">
        <f>Sheet!A18</f>
        <v>GR001</v>
      </c>
      <c r="E18" t="s">
        <v>85</v>
      </c>
      <c r="F18" s="15">
        <v>0.796875</v>
      </c>
      <c r="G18">
        <v>51</v>
      </c>
      <c r="KR18" s="27">
        <f>SUM(KU18,KY18,LC18,LG18,LK18,LO18,LS18,LW18,MA18,ME18)/10</f>
        <v>1.7</v>
      </c>
      <c r="KS18" s="27">
        <f>SUM(MI18,MM18,MQ18,MU18,MY18,NC18,NG18,NK18,NO18,NS18,NW18,OA18,OE18,OI18)/14</f>
        <v>1.6428571428571428</v>
      </c>
      <c r="KU18">
        <f>IF(Sheet!KU18="Совсем нет / Not at all",1,IF(Sheet!KV18="Немного / A little",2,IF(Sheet!KW18="Довольно сильно / Quite a bit",3,IF(Sheet!KX18="Очень сильно / Extremely",4,""))))</f>
        <v>2</v>
      </c>
      <c r="KY18">
        <f>IF(Sheet!KY18="Совсем нет / Not at all",1,IF(Sheet!KZ18="Немного / A little",2,IF(Sheet!LA18="Довольно сильно / Quite a bit",3,IF(Sheet!LB18="Очень сильно / Extremely",4,""))))</f>
        <v>1</v>
      </c>
      <c r="LC18">
        <f>IF(Sheet!LC18="Совсем нет / Not at all",1,IF(Sheet!LD18="Немного / A little",2,IF(Sheet!LE18="Довольно сильно / Quite a bit",3,IF(Sheet!LF18="Очень сильно / Extremely",4,""))))</f>
        <v>1</v>
      </c>
      <c r="LG18">
        <f>IF(Sheet!LG18="Совсем нет / Not at all",1,IF(Sheet!LH18="Немного / A little",2,IF(Sheet!LI18="Довольно сильно / Quite a bit",3,IF(Sheet!LJ18="Очень сильно / Extremely",4,""))))</f>
        <v>2</v>
      </c>
      <c r="LK18">
        <f>IF(Sheet!LK18="Совсем нет / Not at all",1,IF(Sheet!LL18="Немного / A little",2,IF(Sheet!LM18="Довольно сильно / Quite a bit",3,IF(Sheet!LN18="Очень сильно / Extremely",4,""))))</f>
        <v>2</v>
      </c>
      <c r="LO18">
        <f>IF(Sheet!LO18="Совсем нет / Not at all",1,IF(Sheet!LP18="Немного / A little",2,IF(Sheet!LQ18="Довольно сильно / Quite a bit",3,IF(Sheet!LR18="Очень сильно / Extremely",4,""))))</f>
        <v>2</v>
      </c>
      <c r="LS18">
        <f>IF(Sheet!LS18="Совсем нет / Not at all",1,IF(Sheet!LT18="Немного / A little",2,IF(Sheet!LU18="Довольно сильно / Quite a bit",3,IF(Sheet!LV18="Очень сильно / Extremely",4,""))))</f>
        <v>2</v>
      </c>
      <c r="LW18">
        <f>IF(Sheet!LW18="Совсем нет / Not at all",1,IF(Sheet!LX18="Немного / A little",2,IF(Sheet!LY18="Довольно сильно / Quite a bit",3,IF(Sheet!LZ18="Очень сильно / Extremely",4,""))))</f>
        <v>2</v>
      </c>
      <c r="MA18">
        <f>IF(Sheet!MA18="Совсем нет / Not at all",1,IF(Sheet!MB18="Немного / A little",2,IF(Sheet!MC18="Довольно сильно / Quite a bit",3,IF(Sheet!MD18="Очень сильно / Extremely",4,""))))</f>
        <v>1</v>
      </c>
      <c r="ME18">
        <f>IF(Sheet!ME18="Совсем нет / Not at all",1,IF(Sheet!MF18="Немного / A little",2,IF(Sheet!MG18="Довольно сильно / Quite a bit",3,IF(Sheet!MH18="Очень сильно / Extremely",4,""))))</f>
        <v>2</v>
      </c>
      <c r="MH18" s="25"/>
      <c r="MI18">
        <f>IF(Sheet!MI18="Совсем нет / Not at all",1,IF(Sheet!MJ18="Немного / A little",2,IF(Sheet!MK18="Довольно сильно / Quite a bit",3,IF(Sheet!ML18="Очень сильно / Extremely",4,""))))</f>
        <v>3</v>
      </c>
      <c r="MM18">
        <f>IF(Sheet!MM18="Совсем нет / Not at all",1,IF(Sheet!MN18="Немного / A little",2,IF(Sheet!MO18="Довольно сильно / Quite a bit",3,IF(Sheet!MP18="Очень сильно / Extremely",4,""))))</f>
        <v>1</v>
      </c>
      <c r="MQ18">
        <f>IF(Sheet!MQ18="Совсем нет / Not at all",1,IF(Sheet!MR18="Немного / A little",2,IF(Sheet!MS18="Довольно сильно / Quite a bit",3,IF(Sheet!MT18="Очень сильно / Extremely",4,""))))</f>
        <v>1</v>
      </c>
      <c r="MU18">
        <f>IF(Sheet!MU18="Совсем нет / Not at all",1,IF(Sheet!MV18="Немного / A little",2,IF(Sheet!MW18="Довольно сильно / Quite a bit",3,IF(Sheet!MX18="Очень сильно / Extremely",4,""))))</f>
        <v>1</v>
      </c>
      <c r="MY18">
        <f>IF(Sheet!MY18="Совсем нет / Not at all",1,IF(Sheet!MZ18="Немного / A little",2,IF(Sheet!NA18="Довольно сильно / Quite a bit",3,IF(Sheet!NB18="Очень сильно / Extremely",4,""))))</f>
        <v>1</v>
      </c>
      <c r="NC18">
        <f>IF(Sheet!NC18="Совсем нет / Not at all",1,IF(Sheet!ND18="Немного / A little",2,IF(Sheet!NE18="Довольно сильно / Quite a bit",3,IF(Sheet!NF18="Очень сильно / Extremely",4,""))))</f>
        <v>1</v>
      </c>
      <c r="NG18">
        <f>IF(Sheet!NG18="Совсем нет / Not at all",1,IF(Sheet!NH18="Немного / A little",2,IF(Sheet!NI18="Довольно сильно / Quite a bit",3,IF(Sheet!NJ18="Очень сильно / Extremely",4,""))))</f>
        <v>2</v>
      </c>
      <c r="NK18">
        <f>IF(Sheet!NK18="Совсем нет / Not at all",1,IF(Sheet!NL18="Немного / A little",2,IF(Sheet!NM18="Довольно сильно / Quite a bit",3,IF(Sheet!NN18="Очень сильно / Extremely",4,""))))</f>
        <v>2</v>
      </c>
      <c r="NO18">
        <f>IF(Sheet!NO18="Совсем нет / Not at all",1,IF(Sheet!NP18="Немного / A little",2,IF(Sheet!NQ18="Довольно сильно / Quite a bit",3,IF(Sheet!NR18="Очень сильно / Extremely",4,""))))</f>
        <v>1</v>
      </c>
      <c r="NS18">
        <f>IF(Sheet!NS18="Совсем нет / Not at all",1,IF(Sheet!NT18="Немного / A little",2,IF(Sheet!NU18="Довольно сильно / Quite a bit",3,IF(Sheet!NV18="Очень сильно / Extremely",4,""))))</f>
        <v>1</v>
      </c>
      <c r="NW18">
        <f>IF(Sheet!NW18="Совсем нет / Not at all",1,IF(Sheet!NX18="Немного / A little",2,IF(Sheet!NY18="Довольно сильно / Quite a bit",3,IF(Sheet!NZ18="Очень сильно / Extremely",4,""))))</f>
        <v>1</v>
      </c>
      <c r="OA18">
        <f>IF(Sheet!OA18="Совсем нет / Not at all",1,IF(Sheet!OB18="Немного / A little",2,IF(Sheet!OC18="Довольно сильно / Quite a bit",3,IF(Sheet!OD18="Очень сильно / Extremely",4,""))))</f>
        <v>2</v>
      </c>
      <c r="OE18">
        <f>IF(Sheet!OE18="Совсем нет / Not at all",1,IF(Sheet!OF18="Немного / A little",2,IF(Sheet!OG18="Довольно сильно / Quite a bit",3,IF(Sheet!OH18="Очень сильно / Extremely",4,""))))</f>
        <v>3</v>
      </c>
      <c r="OI18">
        <f>IF(Sheet!OI18="Совсем нет / Not at all",1,IF(Sheet!OJ18="Немного / A little",2,IF(Sheet!OK18="Довольно сильно / Quite a bit",3,IF(Sheet!OL18="Очень сильно / Extremely",4,""))))</f>
        <v>3</v>
      </c>
    </row>
    <row r="19" spans="1:399" ht="16.350000000000001">
      <c r="A19" t="str">
        <f>Sheet!A19</f>
        <v>TB001</v>
      </c>
      <c r="E19" t="s">
        <v>86</v>
      </c>
      <c r="F19" s="15">
        <v>0.859375</v>
      </c>
      <c r="G19">
        <v>55</v>
      </c>
      <c r="KR19" s="27">
        <f>SUM(KU19,KY19,LC19,LG19,LK19,LO19,LS19,LW19,MA19,ME19)/10</f>
        <v>1.3</v>
      </c>
      <c r="KS19" s="27">
        <f>SUM(MI19,MM19,MQ19,MU19,MY19,NC19,NG19,NK19,NO19,NS19,NW19,OA19,OE19,OI19)/14</f>
        <v>1.5</v>
      </c>
      <c r="KU19">
        <f>IF(Sheet!KU19="Совсем нет / Not at all",1,IF(Sheet!KV19="Немного / A little",2,IF(Sheet!KW19="Довольно сильно / Quite a bit",3,IF(Sheet!KX19="Очень сильно / Extremely",4,""))))</f>
        <v>2</v>
      </c>
      <c r="KY19">
        <f>IF(Sheet!KY19="Совсем нет / Not at all",1,IF(Sheet!KZ19="Немного / A little",2,IF(Sheet!LA19="Довольно сильно / Quite a bit",3,IF(Sheet!LB19="Очень сильно / Extremely",4,""))))</f>
        <v>2</v>
      </c>
      <c r="LC19">
        <f>IF(Sheet!LC19="Совсем нет / Not at all",1,IF(Sheet!LD19="Немного / A little",2,IF(Sheet!LE19="Довольно сильно / Quite a bit",3,IF(Sheet!LF19="Очень сильно / Extremely",4,""))))</f>
        <v>1</v>
      </c>
      <c r="LG19">
        <f>IF(Sheet!LG19="Совсем нет / Not at all",1,IF(Sheet!LH19="Немного / A little",2,IF(Sheet!LI19="Довольно сильно / Quite a bit",3,IF(Sheet!LJ19="Очень сильно / Extremely",4,""))))</f>
        <v>1</v>
      </c>
      <c r="LK19">
        <f>IF(Sheet!LK19="Совсем нет / Not at all",1,IF(Sheet!LL19="Немного / A little",2,IF(Sheet!LM19="Довольно сильно / Quite a bit",3,IF(Sheet!LN19="Очень сильно / Extremely",4,""))))</f>
        <v>1</v>
      </c>
      <c r="LO19">
        <f>IF(Sheet!LO19="Совсем нет / Not at all",1,IF(Sheet!LP19="Немного / A little",2,IF(Sheet!LQ19="Довольно сильно / Quite a bit",3,IF(Sheet!LR19="Очень сильно / Extremely",4,""))))</f>
        <v>1</v>
      </c>
      <c r="LS19">
        <f>IF(Sheet!LS19="Совсем нет / Not at all",1,IF(Sheet!LT19="Немного / A little",2,IF(Sheet!LU19="Довольно сильно / Quite a bit",3,IF(Sheet!LV19="Очень сильно / Extremely",4,""))))</f>
        <v>2</v>
      </c>
      <c r="LW19">
        <f>IF(Sheet!LW19="Совсем нет / Not at all",1,IF(Sheet!LX19="Немного / A little",2,IF(Sheet!LY19="Довольно сильно / Quite a bit",3,IF(Sheet!LZ19="Очень сильно / Extremely",4,""))))</f>
        <v>1</v>
      </c>
      <c r="MA19">
        <f>IF(Sheet!MA19="Совсем нет / Not at all",1,IF(Sheet!MB19="Немного / A little",2,IF(Sheet!MC19="Довольно сильно / Quite a bit",3,IF(Sheet!MD19="Очень сильно / Extremely",4,""))))</f>
        <v>1</v>
      </c>
      <c r="ME19">
        <f>IF(Sheet!ME19="Совсем нет / Not at all",1,IF(Sheet!MF19="Немного / A little",2,IF(Sheet!MG19="Довольно сильно / Quite a bit",3,IF(Sheet!MH19="Очень сильно / Extremely",4,""))))</f>
        <v>1</v>
      </c>
      <c r="MH19" s="25"/>
      <c r="MI19">
        <f>IF(Sheet!MI19="Совсем нет / Not at all",1,IF(Sheet!MJ19="Немного / A little",2,IF(Sheet!MK19="Довольно сильно / Quite a bit",3,IF(Sheet!ML19="Очень сильно / Extremely",4,""))))</f>
        <v>2</v>
      </c>
      <c r="MM19">
        <f>IF(Sheet!MM19="Совсем нет / Not at all",1,IF(Sheet!MN19="Немного / A little",2,IF(Sheet!MO19="Довольно сильно / Quite a bit",3,IF(Sheet!MP19="Очень сильно / Extremely",4,""))))</f>
        <v>2</v>
      </c>
      <c r="MQ19">
        <f>IF(Sheet!MQ19="Совсем нет / Not at all",1,IF(Sheet!MR19="Немного / A little",2,IF(Sheet!MS19="Довольно сильно / Quite a bit",3,IF(Sheet!MT19="Очень сильно / Extremely",4,""))))</f>
        <v>1</v>
      </c>
      <c r="MU19">
        <f>IF(Sheet!MU19="Совсем нет / Not at all",1,IF(Sheet!MV19="Немного / A little",2,IF(Sheet!MW19="Довольно сильно / Quite a bit",3,IF(Sheet!MX19="Очень сильно / Extremely",4,""))))</f>
        <v>2</v>
      </c>
      <c r="MY19">
        <f>IF(Sheet!MY19="Совсем нет / Not at all",1,IF(Sheet!MZ19="Немного / A little",2,IF(Sheet!NA19="Довольно сильно / Quite a bit",3,IF(Sheet!NB19="Очень сильно / Extremely",4,""))))</f>
        <v>1</v>
      </c>
      <c r="NC19">
        <f>IF(Sheet!NC19="Совсем нет / Not at all",1,IF(Sheet!ND19="Немного / A little",2,IF(Sheet!NE19="Довольно сильно / Quite a bit",3,IF(Sheet!NF19="Очень сильно / Extremely",4,""))))</f>
        <v>2</v>
      </c>
      <c r="NG19">
        <f>IF(Sheet!NG19="Совсем нет / Not at all",1,IF(Sheet!NH19="Немного / A little",2,IF(Sheet!NI19="Довольно сильно / Quite a bit",3,IF(Sheet!NJ19="Очень сильно / Extremely",4,""))))</f>
        <v>1</v>
      </c>
      <c r="NK19">
        <f>IF(Sheet!NK19="Совсем нет / Not at all",1,IF(Sheet!NL19="Немного / A little",2,IF(Sheet!NM19="Довольно сильно / Quite a bit",3,IF(Sheet!NN19="Очень сильно / Extremely",4,""))))</f>
        <v>1</v>
      </c>
      <c r="NO19">
        <f>IF(Sheet!NO19="Совсем нет / Not at all",1,IF(Sheet!NP19="Немного / A little",2,IF(Sheet!NQ19="Довольно сильно / Quite a bit",3,IF(Sheet!NR19="Очень сильно / Extremely",4,""))))</f>
        <v>2</v>
      </c>
      <c r="NS19">
        <f>IF(Sheet!NS19="Совсем нет / Not at all",1,IF(Sheet!NT19="Немного / A little",2,IF(Sheet!NU19="Довольно сильно / Quite a bit",3,IF(Sheet!NV19="Очень сильно / Extremely",4,""))))</f>
        <v>3</v>
      </c>
      <c r="NW19">
        <f>IF(Sheet!NW19="Совсем нет / Not at all",1,IF(Sheet!NX19="Немного / A little",2,IF(Sheet!NY19="Довольно сильно / Quite a bit",3,IF(Sheet!NZ19="Очень сильно / Extremely",4,""))))</f>
        <v>1</v>
      </c>
      <c r="OA19">
        <f>IF(Sheet!OA19="Совсем нет / Not at all",1,IF(Sheet!OB19="Немного / A little",2,IF(Sheet!OC19="Довольно сильно / Quite a bit",3,IF(Sheet!OD19="Очень сильно / Extremely",4,""))))</f>
        <v>1</v>
      </c>
      <c r="OE19">
        <f>IF(Sheet!OE19="Совсем нет / Not at all",1,IF(Sheet!OF19="Немного / A little",2,IF(Sheet!OG19="Довольно сильно / Quite a bit",3,IF(Sheet!OH19="Очень сильно / Extremely",4,""))))</f>
        <v>1</v>
      </c>
      <c r="OI19">
        <f>IF(Sheet!OI19="Совсем нет / Not at all",1,IF(Sheet!OJ19="Немного / A little",2,IF(Sheet!OK19="Довольно сильно / Quite a bit",3,IF(Sheet!OL19="Очень сильно / Extremely",4,""))))</f>
        <v>1</v>
      </c>
    </row>
    <row r="20" spans="1:399" ht="16.350000000000001">
      <c r="A20" t="str">
        <f>Sheet!A20</f>
        <v>VI001</v>
      </c>
      <c r="E20" t="s">
        <v>91</v>
      </c>
      <c r="F20" s="15">
        <v>0.828125</v>
      </c>
      <c r="G20">
        <v>53</v>
      </c>
      <c r="KR20" s="27">
        <f>SUM(KU20,KY20,LC20,LG20,LK20,LO20,LS20,LW20,MA20,ME20)/10</f>
        <v>1.9</v>
      </c>
      <c r="KS20" s="27">
        <f>SUM(MI20,MM20,MQ20,MU20,MY20,NC20,NG20,NK20,NO20,NS20,NW20,OA20,OE20,OI20)/14</f>
        <v>2.3571428571428572</v>
      </c>
      <c r="KU20">
        <f>IF(Sheet!KU20="Совсем нет / Not at all",1,IF(Sheet!KV20="Немного / A little",2,IF(Sheet!KW20="Довольно сильно / Quite a bit",3,IF(Sheet!KX20="Очень сильно / Extremely",4,""))))</f>
        <v>1</v>
      </c>
      <c r="KY20">
        <f>IF(Sheet!KY20="Совсем нет / Not at all",1,IF(Sheet!KZ20="Немного / A little",2,IF(Sheet!LA20="Довольно сильно / Quite a bit",3,IF(Sheet!LB20="Очень сильно / Extremely",4,""))))</f>
        <v>2</v>
      </c>
      <c r="LC20">
        <f>IF(Sheet!LC20="Совсем нет / Not at all",1,IF(Sheet!LD20="Немного / A little",2,IF(Sheet!LE20="Довольно сильно / Quite a bit",3,IF(Sheet!LF20="Очень сильно / Extremely",4,""))))</f>
        <v>2</v>
      </c>
      <c r="LG20">
        <f>IF(Sheet!LG20="Совсем нет / Not at all",1,IF(Sheet!LH20="Немного / A little",2,IF(Sheet!LI20="Довольно сильно / Quite a bit",3,IF(Sheet!LJ20="Очень сильно / Extremely",4,""))))</f>
        <v>2</v>
      </c>
      <c r="LK20">
        <f>IF(Sheet!LK20="Совсем нет / Not at all",1,IF(Sheet!LL20="Немного / A little",2,IF(Sheet!LM20="Довольно сильно / Quite a bit",3,IF(Sheet!LN20="Очень сильно / Extremely",4,""))))</f>
        <v>1</v>
      </c>
      <c r="LO20">
        <f>IF(Sheet!LO20="Совсем нет / Not at all",1,IF(Sheet!LP20="Немного / A little",2,IF(Sheet!LQ20="Довольно сильно / Quite a bit",3,IF(Sheet!LR20="Очень сильно / Extremely",4,""))))</f>
        <v>1</v>
      </c>
      <c r="LS20">
        <f>IF(Sheet!LS20="Совсем нет / Not at all",1,IF(Sheet!LT20="Немного / A little",2,IF(Sheet!LU20="Довольно сильно / Quite a bit",3,IF(Sheet!LV20="Очень сильно / Extremely",4,""))))</f>
        <v>3</v>
      </c>
      <c r="LW20">
        <f>IF(Sheet!LW20="Совсем нет / Not at all",1,IF(Sheet!LX20="Немного / A little",2,IF(Sheet!LY20="Довольно сильно / Quite a bit",3,IF(Sheet!LZ20="Очень сильно / Extremely",4,""))))</f>
        <v>3</v>
      </c>
      <c r="MA20">
        <f>IF(Sheet!MA20="Совсем нет / Not at all",1,IF(Sheet!MB20="Немного / A little",2,IF(Sheet!MC20="Довольно сильно / Quite a bit",3,IF(Sheet!MD20="Очень сильно / Extremely",4,""))))</f>
        <v>1</v>
      </c>
      <c r="ME20">
        <f>IF(Sheet!ME20="Совсем нет / Not at all",1,IF(Sheet!MF20="Немного / A little",2,IF(Sheet!MG20="Довольно сильно / Quite a bit",3,IF(Sheet!MH20="Очень сильно / Extremely",4,""))))</f>
        <v>3</v>
      </c>
      <c r="MH20" s="25"/>
      <c r="MI20">
        <f>IF(Sheet!MI20="Совсем нет / Not at all",1,IF(Sheet!MJ20="Немного / A little",2,IF(Sheet!MK20="Довольно сильно / Quite a bit",3,IF(Sheet!ML20="Очень сильно / Extremely",4,""))))</f>
        <v>4</v>
      </c>
      <c r="MM20">
        <f>IF(Sheet!MM20="Совсем нет / Not at all",1,IF(Sheet!MN20="Немного / A little",2,IF(Sheet!MO20="Довольно сильно / Quite a bit",3,IF(Sheet!MP20="Очень сильно / Extremely",4,""))))</f>
        <v>2</v>
      </c>
      <c r="MQ20">
        <f>IF(Sheet!MQ20="Совсем нет / Not at all",1,IF(Sheet!MR20="Немного / A little",2,IF(Sheet!MS20="Довольно сильно / Quite a bit",3,IF(Sheet!MT20="Очень сильно / Extremely",4,""))))</f>
        <v>1</v>
      </c>
      <c r="MU20">
        <f>IF(Sheet!MU20="Совсем нет / Not at all",1,IF(Sheet!MV20="Немного / A little",2,IF(Sheet!MW20="Довольно сильно / Quite a bit",3,IF(Sheet!MX20="Очень сильно / Extremely",4,""))))</f>
        <v>1</v>
      </c>
      <c r="MY20">
        <f>IF(Sheet!MY20="Совсем нет / Not at all",1,IF(Sheet!MZ20="Немного / A little",2,IF(Sheet!NA20="Довольно сильно / Quite a bit",3,IF(Sheet!NB20="Очень сильно / Extremely",4,""))))</f>
        <v>1</v>
      </c>
      <c r="NC20">
        <f>IF(Sheet!NC20="Совсем нет / Not at all",1,IF(Sheet!ND20="Немного / A little",2,IF(Sheet!NE20="Довольно сильно / Quite a bit",3,IF(Sheet!NF20="Очень сильно / Extremely",4,""))))</f>
        <v>2</v>
      </c>
      <c r="NG20">
        <f>IF(Sheet!NG20="Совсем нет / Not at all",1,IF(Sheet!NH20="Немного / A little",2,IF(Sheet!NI20="Довольно сильно / Quite a bit",3,IF(Sheet!NJ20="Очень сильно / Extremely",4,""))))</f>
        <v>4</v>
      </c>
      <c r="NK20">
        <f>IF(Sheet!NK20="Совсем нет / Not at all",1,IF(Sheet!NL20="Немного / A little",2,IF(Sheet!NM20="Довольно сильно / Quite a bit",3,IF(Sheet!NN20="Очень сильно / Extremely",4,""))))</f>
        <v>3</v>
      </c>
      <c r="NO20">
        <f>IF(Sheet!NO20="Совсем нет / Not at all",1,IF(Sheet!NP20="Немного / A little",2,IF(Sheet!NQ20="Довольно сильно / Quite a bit",3,IF(Sheet!NR20="Очень сильно / Extremely",4,""))))</f>
        <v>1</v>
      </c>
      <c r="NS20">
        <f>IF(Sheet!NS20="Совсем нет / Not at all",1,IF(Sheet!NT20="Немного / A little",2,IF(Sheet!NU20="Довольно сильно / Quite a bit",3,IF(Sheet!NV20="Очень сильно / Extremely",4,""))))</f>
        <v>2</v>
      </c>
      <c r="NW20">
        <f>IF(Sheet!NW20="Совсем нет / Not at all",1,IF(Sheet!NX20="Немного / A little",2,IF(Sheet!NY20="Довольно сильно / Quite a bit",3,IF(Sheet!NZ20="Очень сильно / Extremely",4,""))))</f>
        <v>2</v>
      </c>
      <c r="OA20">
        <f>IF(Sheet!OA20="Совсем нет / Not at all",1,IF(Sheet!OB20="Немного / A little",2,IF(Sheet!OC20="Довольно сильно / Quite a bit",3,IF(Sheet!OD20="Очень сильно / Extremely",4,""))))</f>
        <v>3</v>
      </c>
      <c r="OE20">
        <f>IF(Sheet!OE20="Совсем нет / Not at all",1,IF(Sheet!OF20="Немного / A little",2,IF(Sheet!OG20="Довольно сильно / Quite a bit",3,IF(Sheet!OH20="Очень сильно / Extremely",4,""))))</f>
        <v>4</v>
      </c>
      <c r="OI20">
        <f>IF(Sheet!OI20="Совсем нет / Not at all",1,IF(Sheet!OJ20="Немного / A little",2,IF(Sheet!OK20="Довольно сильно / Quite a bit",3,IF(Sheet!OL20="Очень сильно / Extremely",4,""))))</f>
        <v>3</v>
      </c>
    </row>
    <row r="21" spans="1:399" ht="16.350000000000001">
      <c r="A21" t="str">
        <f>Sheet!A21</f>
        <v>ID MT002</v>
      </c>
      <c r="KR21" s="27">
        <f>SUM(KU21,KY21,LC21,LG21,LK21,LO21,LS21,LW21,MA21,ME21)/10</f>
        <v>1.8</v>
      </c>
      <c r="KS21" s="27">
        <f>SUM(MI21,MM21,MQ21,MU21,MY21,NC21,NG21,NK21,NO21,NS21,NW21,OA21,OE21,OI21)/14</f>
        <v>2.2142857142857144</v>
      </c>
      <c r="KU21">
        <f>IF(Sheet!KU21="Совсем нет / Not at all",1,IF(Sheet!KV21="Немного / A little",2,IF(Sheet!KW21="Довольно сильно / Quite a bit",3,IF(Sheet!KX21="Очень сильно / Extremely",4,""))))</f>
        <v>1</v>
      </c>
      <c r="KY21">
        <f>IF(Sheet!KY21="Совсем нет / Not at all",1,IF(Sheet!KZ21="Немного / A little",2,IF(Sheet!LA21="Довольно сильно / Quite a bit",3,IF(Sheet!LB21="Очень сильно / Extremely",4,""))))</f>
        <v>2</v>
      </c>
      <c r="LC21">
        <f>IF(Sheet!LC21="Совсем нет / Not at all",1,IF(Sheet!LD21="Немного / A little",2,IF(Sheet!LE21="Довольно сильно / Quite a bit",3,IF(Sheet!LF21="Очень сильно / Extremely",4,""))))</f>
        <v>2</v>
      </c>
      <c r="LG21">
        <f>IF(Sheet!LG21="Совсем нет / Not at all",1,IF(Sheet!LH21="Немного / A little",2,IF(Sheet!LI21="Довольно сильно / Quite a bit",3,IF(Sheet!LJ21="Очень сильно / Extremely",4,""))))</f>
        <v>2</v>
      </c>
      <c r="LK21">
        <f>IF(Sheet!LK21="Совсем нет / Not at all",1,IF(Sheet!LL21="Немного / A little",2,IF(Sheet!LM21="Довольно сильно / Quite a bit",3,IF(Sheet!LN21="Очень сильно / Extremely",4,""))))</f>
        <v>1</v>
      </c>
      <c r="LO21">
        <f>IF(Sheet!LO21="Совсем нет / Not at all",1,IF(Sheet!LP21="Немного / A little",2,IF(Sheet!LQ21="Довольно сильно / Quite a bit",3,IF(Sheet!LR21="Очень сильно / Extremely",4,""))))</f>
        <v>1</v>
      </c>
      <c r="LS21">
        <f>IF(Sheet!LS21="Совсем нет / Not at all",1,IF(Sheet!LT21="Немного / A little",2,IF(Sheet!LU21="Довольно сильно / Quite a bit",3,IF(Sheet!LV21="Очень сильно / Extremely",4,""))))</f>
        <v>3</v>
      </c>
      <c r="LW21">
        <f>IF(Sheet!LW21="Совсем нет / Not at all",1,IF(Sheet!LX21="Немного / A little",2,IF(Sheet!LY21="Довольно сильно / Quite a bit",3,IF(Sheet!LZ21="Очень сильно / Extremely",4,""))))</f>
        <v>3</v>
      </c>
      <c r="MA21">
        <f>IF(Sheet!MA21="Совсем нет / Not at all",1,IF(Sheet!MB21="Немного / A little",2,IF(Sheet!MC21="Довольно сильно / Quite a bit",3,IF(Sheet!MD21="Очень сильно / Extremely",4,""))))</f>
        <v>1</v>
      </c>
      <c r="ME21">
        <f>IF(Sheet!ME21="Совсем нет / Not at all",1,IF(Sheet!MF21="Немного / A little",2,IF(Sheet!MG21="Довольно сильно / Quite a bit",3,IF(Sheet!MH21="Очень сильно / Extremely",4,""))))</f>
        <v>2</v>
      </c>
      <c r="MH21" s="25"/>
      <c r="MI21">
        <f>IF(Sheet!MI21="Совсем нет / Not at all",1,IF(Sheet!MJ21="Немного / A little",2,IF(Sheet!MK21="Довольно сильно / Quite a bit",3,IF(Sheet!ML21="Очень сильно / Extremely",4,""))))</f>
        <v>3</v>
      </c>
      <c r="MM21">
        <f>IF(Sheet!MM21="Совсем нет / Not at all",1,IF(Sheet!MN21="Немного / A little",2,IF(Sheet!MO21="Довольно сильно / Quite a bit",3,IF(Sheet!MP21="Очень сильно / Extremely",4,""))))</f>
        <v>3</v>
      </c>
      <c r="MQ21">
        <f>IF(Sheet!MQ21="Совсем нет / Not at all",1,IF(Sheet!MR21="Немного / A little",2,IF(Sheet!MS21="Довольно сильно / Quite a bit",3,IF(Sheet!MT21="Очень сильно / Extremely",4,""))))</f>
        <v>1</v>
      </c>
      <c r="MU21">
        <f>IF(Sheet!MU21="Совсем нет / Not at all",1,IF(Sheet!MV21="Немного / A little",2,IF(Sheet!MW21="Довольно сильно / Quite a bit",3,IF(Sheet!MX21="Очень сильно / Extremely",4,""))))</f>
        <v>2</v>
      </c>
      <c r="MY21">
        <f>IF(Sheet!MY21="Совсем нет / Not at all",1,IF(Sheet!MZ21="Немного / A little",2,IF(Sheet!NA21="Довольно сильно / Quite a bit",3,IF(Sheet!NB21="Очень сильно / Extremely",4,""))))</f>
        <v>1</v>
      </c>
      <c r="NC21">
        <f>IF(Sheet!NC21="Совсем нет / Not at all",1,IF(Sheet!ND21="Немного / A little",2,IF(Sheet!NE21="Довольно сильно / Quite a bit",3,IF(Sheet!NF21="Очень сильно / Extremely",4,""))))</f>
        <v>2</v>
      </c>
      <c r="NG21">
        <f>IF(Sheet!NG21="Совсем нет / Not at all",1,IF(Sheet!NH21="Немного / A little",2,IF(Sheet!NI21="Довольно сильно / Quite a bit",3,IF(Sheet!NJ21="Очень сильно / Extremely",4,""))))</f>
        <v>2</v>
      </c>
      <c r="NK21">
        <f>IF(Sheet!NK21="Совсем нет / Not at all",1,IF(Sheet!NL21="Немного / A little",2,IF(Sheet!NM21="Довольно сильно / Quite a bit",3,IF(Sheet!NN21="Очень сильно / Extremely",4,""))))</f>
        <v>2</v>
      </c>
      <c r="NO21">
        <f>IF(Sheet!NO21="Совсем нет / Not at all",1,IF(Sheet!NP21="Немного / A little",2,IF(Sheet!NQ21="Довольно сильно / Quite a bit",3,IF(Sheet!NR21="Очень сильно / Extremely",4,""))))</f>
        <v>3</v>
      </c>
      <c r="NS21">
        <f>IF(Sheet!NS21="Совсем нет / Not at all",1,IF(Sheet!NT21="Немного / A little",2,IF(Sheet!NU21="Довольно сильно / Quite a bit",3,IF(Sheet!NV21="Очень сильно / Extremely",4,""))))</f>
        <v>2</v>
      </c>
      <c r="NW21">
        <f>IF(Sheet!NW21="Совсем нет / Not at all",1,IF(Sheet!NX21="Немного / A little",2,IF(Sheet!NY21="Довольно сильно / Quite a bit",3,IF(Sheet!NZ21="Очень сильно / Extremely",4,""))))</f>
        <v>3</v>
      </c>
      <c r="OA21">
        <f>IF(Sheet!OA21="Совсем нет / Not at all",1,IF(Sheet!OB21="Немного / A little",2,IF(Sheet!OC21="Довольно сильно / Quite a bit",3,IF(Sheet!OD21="Очень сильно / Extremely",4,""))))</f>
        <v>2</v>
      </c>
      <c r="OE21">
        <f>IF(Sheet!OE21="Совсем нет / Not at all",1,IF(Sheet!OF21="Немного / A little",2,IF(Sheet!OG21="Довольно сильно / Quite a bit",3,IF(Sheet!OH21="Очень сильно / Extremely",4,""))))</f>
        <v>2</v>
      </c>
      <c r="OI21">
        <f>IF(Sheet!OI21="Совсем нет / Not at all",1,IF(Sheet!OJ21="Немного / A little",2,IF(Sheet!OK21="Довольно сильно / Quite a bit",3,IF(Sheet!OL21="Очень сильно / Extremely",4,""))))</f>
        <v>3</v>
      </c>
    </row>
    <row r="22" spans="1:399" ht="16.350000000000001">
      <c r="A22" t="str">
        <f>Sheet!A22</f>
        <v>TI001</v>
      </c>
      <c r="KR22" s="27">
        <f>SUM(KU22,KY22,LC22,LG22,LK22,LO22,LS22,LW22,MA22,ME22)/10</f>
        <v>2.1</v>
      </c>
      <c r="KS22" s="27">
        <f>SUM(MI22,MM22,MQ22,MU22,MY22,NC22,NG22,NK22,NO22,NS22,NW22,OA22,OE22,OI22)/14</f>
        <v>3.1428571428571428</v>
      </c>
      <c r="KU22">
        <f>IF(Sheet!KU22="Совсем нет / Not at all",1,IF(Sheet!KV22="Немного / A little",2,IF(Sheet!KW22="Довольно сильно / Quite a bit",3,IF(Sheet!KX22="Очень сильно / Extremely",4,""))))</f>
        <v>2</v>
      </c>
      <c r="KY22">
        <f>IF(Sheet!KY22="Совсем нет / Not at all",1,IF(Sheet!KZ22="Немного / A little",2,IF(Sheet!LA22="Довольно сильно / Quite a bit",3,IF(Sheet!LB22="Очень сильно / Extremely",4,""))))</f>
        <v>3</v>
      </c>
      <c r="LC22">
        <f>IF(Sheet!LC22="Совсем нет / Not at all",1,IF(Sheet!LD22="Немного / A little",2,IF(Sheet!LE22="Довольно сильно / Quite a bit",3,IF(Sheet!LF22="Очень сильно / Extremely",4,""))))</f>
        <v>2</v>
      </c>
      <c r="LG22">
        <f>IF(Sheet!LG22="Совсем нет / Not at all",1,IF(Sheet!LH22="Немного / A little",2,IF(Sheet!LI22="Довольно сильно / Quite a bit",3,IF(Sheet!LJ22="Очень сильно / Extremely",4,""))))</f>
        <v>2</v>
      </c>
      <c r="LK22">
        <f>IF(Sheet!LK22="Совсем нет / Not at all",1,IF(Sheet!LL22="Немного / A little",2,IF(Sheet!LM22="Довольно сильно / Quite a bit",3,IF(Sheet!LN22="Очень сильно / Extremely",4,""))))</f>
        <v>2</v>
      </c>
      <c r="LO22">
        <f>IF(Sheet!LO22="Совсем нет / Not at all",1,IF(Sheet!LP22="Немного / A little",2,IF(Sheet!LQ22="Довольно сильно / Quite a bit",3,IF(Sheet!LR22="Очень сильно / Extremely",4,""))))</f>
        <v>1</v>
      </c>
      <c r="LS22">
        <f>IF(Sheet!LS22="Совсем нет / Not at all",1,IF(Sheet!LT22="Немного / A little",2,IF(Sheet!LU22="Довольно сильно / Quite a bit",3,IF(Sheet!LV22="Очень сильно / Extremely",4,""))))</f>
        <v>2</v>
      </c>
      <c r="LW22">
        <f>IF(Sheet!LW22="Совсем нет / Not at all",1,IF(Sheet!LX22="Немного / A little",2,IF(Sheet!LY22="Довольно сильно / Quite a bit",3,IF(Sheet!LZ22="Очень сильно / Extremely",4,""))))</f>
        <v>2</v>
      </c>
      <c r="MA22">
        <f>IF(Sheet!MA22="Совсем нет / Not at all",1,IF(Sheet!MB22="Немного / A little",2,IF(Sheet!MC22="Довольно сильно / Quite a bit",3,IF(Sheet!MD22="Очень сильно / Extremely",4,""))))</f>
        <v>2</v>
      </c>
      <c r="ME22">
        <f>IF(Sheet!ME22="Совсем нет / Not at all",1,IF(Sheet!MF22="Немного / A little",2,IF(Sheet!MG22="Довольно сильно / Quite a bit",3,IF(Sheet!MH22="Очень сильно / Extremely",4,""))))</f>
        <v>3</v>
      </c>
      <c r="MH22" s="25"/>
      <c r="MI22">
        <f>IF(Sheet!MI22="Совсем нет / Not at all",1,IF(Sheet!MJ22="Немного / A little",2,IF(Sheet!MK22="Довольно сильно / Quite a bit",3,IF(Sheet!ML22="Очень сильно / Extremely",4,""))))</f>
        <v>4</v>
      </c>
      <c r="MM22">
        <f>IF(Sheet!MM22="Совсем нет / Not at all",1,IF(Sheet!MN22="Немного / A little",2,IF(Sheet!MO22="Довольно сильно / Quite a bit",3,IF(Sheet!MP22="Очень сильно / Extremely",4,""))))</f>
        <v>3</v>
      </c>
      <c r="MQ22">
        <f>IF(Sheet!MQ22="Совсем нет / Not at all",1,IF(Sheet!MR22="Немного / A little",2,IF(Sheet!MS22="Довольно сильно / Quite a bit",3,IF(Sheet!MT22="Очень сильно / Extremely",4,""))))</f>
        <v>4</v>
      </c>
      <c r="MU22">
        <f>IF(Sheet!MU22="Совсем нет / Not at all",1,IF(Sheet!MV22="Немного / A little",2,IF(Sheet!MW22="Довольно сильно / Quite a bit",3,IF(Sheet!MX22="Очень сильно / Extremely",4,""))))</f>
        <v>2</v>
      </c>
      <c r="MY22">
        <f>IF(Sheet!MY22="Совсем нет / Not at all",1,IF(Sheet!MZ22="Немного / A little",2,IF(Sheet!NA22="Довольно сильно / Quite a bit",3,IF(Sheet!NB22="Очень сильно / Extremely",4,""))))</f>
        <v>2</v>
      </c>
      <c r="NC22">
        <f>IF(Sheet!NC22="Совсем нет / Not at all",1,IF(Sheet!ND22="Немного / A little",2,IF(Sheet!NE22="Довольно сильно / Quite a bit",3,IF(Sheet!NF22="Очень сильно / Extremely",4,""))))</f>
        <v>4</v>
      </c>
      <c r="NG22">
        <f>IF(Sheet!NG22="Совсем нет / Not at all",1,IF(Sheet!NH22="Немного / A little",2,IF(Sheet!NI22="Довольно сильно / Quite a bit",3,IF(Sheet!NJ22="Очень сильно / Extremely",4,""))))</f>
        <v>3</v>
      </c>
      <c r="NK22">
        <f>IF(Sheet!NK22="Совсем нет / Not at all",1,IF(Sheet!NL22="Немного / A little",2,IF(Sheet!NM22="Довольно сильно / Quite a bit",3,IF(Sheet!NN22="Очень сильно / Extremely",4,""))))</f>
        <v>4</v>
      </c>
      <c r="NO22">
        <f>IF(Sheet!NO22="Совсем нет / Not at all",1,IF(Sheet!NP22="Немного / A little",2,IF(Sheet!NQ22="Довольно сильно / Quite a bit",3,IF(Sheet!NR22="Очень сильно / Extremely",4,""))))</f>
        <v>4</v>
      </c>
      <c r="NS22">
        <f>IF(Sheet!NS22="Совсем нет / Not at all",1,IF(Sheet!NT22="Немного / A little",2,IF(Sheet!NU22="Довольно сильно / Quite a bit",3,IF(Sheet!NV22="Очень сильно / Extremely",4,""))))</f>
        <v>3</v>
      </c>
      <c r="NW22">
        <f>IF(Sheet!NW22="Совсем нет / Not at all",1,IF(Sheet!NX22="Немного / A little",2,IF(Sheet!NY22="Довольно сильно / Quite a bit",3,IF(Sheet!NZ22="Очень сильно / Extremely",4,""))))</f>
        <v>4</v>
      </c>
      <c r="OA22">
        <f>IF(Sheet!OA22="Совсем нет / Not at all",1,IF(Sheet!OB22="Немного / A little",2,IF(Sheet!OC22="Довольно сильно / Quite a bit",3,IF(Sheet!OD22="Очень сильно / Extremely",4,""))))</f>
        <v>2</v>
      </c>
      <c r="OE22">
        <f>IF(Sheet!OE22="Совсем нет / Not at all",1,IF(Sheet!OF22="Немного / A little",2,IF(Sheet!OG22="Довольно сильно / Quite a bit",3,IF(Sheet!OH22="Очень сильно / Extremely",4,""))))</f>
        <v>3</v>
      </c>
      <c r="OI22">
        <f>IF(Sheet!OI22="Совсем нет / Not at all",1,IF(Sheet!OJ22="Немного / A little",2,IF(Sheet!OK22="Довольно сильно / Quite a bit",3,IF(Sheet!OL22="Очень сильно / Extremely",4,""))))</f>
        <v>2</v>
      </c>
    </row>
    <row r="23" spans="1:399" ht="16.350000000000001">
      <c r="A23" t="str">
        <f>Sheet!A23</f>
        <v>TK001</v>
      </c>
      <c r="E23" t="s">
        <v>576</v>
      </c>
      <c r="F23" s="18" t="s">
        <v>552</v>
      </c>
      <c r="G23" s="18" t="s">
        <v>551</v>
      </c>
      <c r="KR23" s="27">
        <f>SUM(KU23,KY23,LC23,LG23,LK23,LO23,LS23,LW23,MA23,ME23)/10</f>
        <v>1.3</v>
      </c>
      <c r="KS23" s="27">
        <f>SUM(MI23,MM23,MQ23,MU23,MY23,NC23,NG23,NK23,NO23,NS23,NW23,OA23,OE23,OI23)/14</f>
        <v>2.3571428571428572</v>
      </c>
      <c r="KU23">
        <f>IF(Sheet!KU23="Совсем нет / Not at all",1,IF(Sheet!KV23="Немного / A little",2,IF(Sheet!KW23="Довольно сильно / Quite a bit",3,IF(Sheet!KX23="Очень сильно / Extremely",4,""))))</f>
        <v>1</v>
      </c>
      <c r="KY23">
        <f>IF(Sheet!KY23="Совсем нет / Not at all",1,IF(Sheet!KZ23="Немного / A little",2,IF(Sheet!LA23="Довольно сильно / Quite a bit",3,IF(Sheet!LB23="Очень сильно / Extremely",4,""))))</f>
        <v>2</v>
      </c>
      <c r="LC23">
        <f>IF(Sheet!LC23="Совсем нет / Not at all",1,IF(Sheet!LD23="Немного / A little",2,IF(Sheet!LE23="Довольно сильно / Quite a bit",3,IF(Sheet!LF23="Очень сильно / Extremely",4,""))))</f>
        <v>1</v>
      </c>
      <c r="LG23">
        <f>IF(Sheet!LG23="Совсем нет / Not at all",1,IF(Sheet!LH23="Немного / A little",2,IF(Sheet!LI23="Довольно сильно / Quite a bit",3,IF(Sheet!LJ23="Очень сильно / Extremely",4,""))))</f>
        <v>2</v>
      </c>
      <c r="LK23">
        <f>IF(Sheet!LK23="Совсем нет / Not at all",1,IF(Sheet!LL23="Немного / A little",2,IF(Sheet!LM23="Довольно сильно / Quite a bit",3,IF(Sheet!LN23="Очень сильно / Extremely",4,""))))</f>
        <v>1</v>
      </c>
      <c r="LO23">
        <f>IF(Sheet!LO23="Совсем нет / Not at all",1,IF(Sheet!LP23="Немного / A little",2,IF(Sheet!LQ23="Довольно сильно / Quite a bit",3,IF(Sheet!LR23="Очень сильно / Extremely",4,""))))</f>
        <v>1</v>
      </c>
      <c r="LS23">
        <f>IF(Sheet!LS23="Совсем нет / Not at all",1,IF(Sheet!LT23="Немного / A little",2,IF(Sheet!LU23="Довольно сильно / Quite a bit",3,IF(Sheet!LV23="Очень сильно / Extremely",4,""))))</f>
        <v>1</v>
      </c>
      <c r="LW23">
        <f>IF(Sheet!LW23="Совсем нет / Not at all",1,IF(Sheet!LX23="Немного / A little",2,IF(Sheet!LY23="Довольно сильно / Quite a bit",3,IF(Sheet!LZ23="Очень сильно / Extremely",4,""))))</f>
        <v>2</v>
      </c>
      <c r="MA23">
        <f>IF(Sheet!MA23="Совсем нет / Not at all",1,IF(Sheet!MB23="Немного / A little",2,IF(Sheet!MC23="Довольно сильно / Quite a bit",3,IF(Sheet!MD23="Очень сильно / Extremely",4,""))))</f>
        <v>1</v>
      </c>
      <c r="ME23">
        <f>IF(Sheet!ME23="Совсем нет / Not at all",1,IF(Sheet!MF23="Немного / A little",2,IF(Sheet!MG23="Довольно сильно / Quite a bit",3,IF(Sheet!MH23="Очень сильно / Extremely",4,""))))</f>
        <v>1</v>
      </c>
      <c r="MH23" s="25"/>
      <c r="MI23">
        <f>IF(Sheet!MI23="Совсем нет / Not at all",1,IF(Sheet!MJ23="Немного / A little",2,IF(Sheet!MK23="Довольно сильно / Quite a bit",3,IF(Sheet!ML23="Очень сильно / Extremely",4,""))))</f>
        <v>2</v>
      </c>
      <c r="MM23">
        <f>IF(Sheet!MM23="Совсем нет / Not at all",1,IF(Sheet!MN23="Немного / A little",2,IF(Sheet!MO23="Довольно сильно / Quite a bit",3,IF(Sheet!MP23="Очень сильно / Extremely",4,""))))</f>
        <v>1</v>
      </c>
      <c r="MQ23">
        <f>IF(Sheet!MQ23="Совсем нет / Not at all",1,IF(Sheet!MR23="Немного / A little",2,IF(Sheet!MS23="Довольно сильно / Quite a bit",3,IF(Sheet!MT23="Очень сильно / Extremely",4,""))))</f>
        <v>1</v>
      </c>
      <c r="MU23">
        <f>IF(Sheet!MU23="Совсем нет / Not at all",1,IF(Sheet!MV23="Немного / A little",2,IF(Sheet!MW23="Довольно сильно / Quite a bit",3,IF(Sheet!MX23="Очень сильно / Extremely",4,""))))</f>
        <v>3</v>
      </c>
      <c r="MY23">
        <f>IF(Sheet!MY23="Совсем нет / Not at all",1,IF(Sheet!MZ23="Немного / A little",2,IF(Sheet!NA23="Довольно сильно / Quite a bit",3,IF(Sheet!NB23="Очень сильно / Extremely",4,""))))</f>
        <v>2</v>
      </c>
      <c r="NC23">
        <f>IF(Sheet!NC23="Совсем нет / Not at all",1,IF(Sheet!ND23="Немного / A little",2,IF(Sheet!NE23="Довольно сильно / Quite a bit",3,IF(Sheet!NF23="Очень сильно / Extremely",4,""))))</f>
        <v>4</v>
      </c>
      <c r="NG23">
        <f>IF(Sheet!NG23="Совсем нет / Not at all",1,IF(Sheet!NH23="Немного / A little",2,IF(Sheet!NI23="Довольно сильно / Quite a bit",3,IF(Sheet!NJ23="Очень сильно / Extremely",4,""))))</f>
        <v>3</v>
      </c>
      <c r="NK23">
        <f>IF(Sheet!NK23="Совсем нет / Not at all",1,IF(Sheet!NL23="Немного / A little",2,IF(Sheet!NM23="Довольно сильно / Quite a bit",3,IF(Sheet!NN23="Очень сильно / Extremely",4,""))))</f>
        <v>3</v>
      </c>
      <c r="NO23">
        <f>IF(Sheet!NO23="Совсем нет / Not at all",1,IF(Sheet!NP23="Немного / A little",2,IF(Sheet!NQ23="Довольно сильно / Quite a bit",3,IF(Sheet!NR23="Очень сильно / Extremely",4,""))))</f>
        <v>3</v>
      </c>
      <c r="NS23">
        <f>IF(Sheet!NS23="Совсем нет / Not at all",1,IF(Sheet!NT23="Немного / A little",2,IF(Sheet!NU23="Довольно сильно / Quite a bit",3,IF(Sheet!NV23="Очень сильно / Extremely",4,""))))</f>
        <v>1</v>
      </c>
      <c r="NW23">
        <f>IF(Sheet!NW23="Совсем нет / Not at all",1,IF(Sheet!NX23="Немного / A little",2,IF(Sheet!NY23="Довольно сильно / Quite a bit",3,IF(Sheet!NZ23="Очень сильно / Extremely",4,""))))</f>
        <v>2</v>
      </c>
      <c r="OA23">
        <f>IF(Sheet!OA23="Совсем нет / Not at all",1,IF(Sheet!OB23="Немного / A little",2,IF(Sheet!OC23="Довольно сильно / Quite a bit",3,IF(Sheet!OD23="Очень сильно / Extremely",4,""))))</f>
        <v>3</v>
      </c>
      <c r="OE23">
        <f>IF(Sheet!OE23="Совсем нет / Not at all",1,IF(Sheet!OF23="Немного / A little",2,IF(Sheet!OG23="Довольно сильно / Quite a bit",3,IF(Sheet!OH23="Очень сильно / Extremely",4,""))))</f>
        <v>3</v>
      </c>
      <c r="OI23">
        <f>IF(Sheet!OI23="Совсем нет / Not at all",1,IF(Sheet!OJ23="Немного / A little",2,IF(Sheet!OK23="Довольно сильно / Quite a bit",3,IF(Sheet!OL23="Очень сильно / Extremely",4,""))))</f>
        <v>2</v>
      </c>
    </row>
    <row r="24" spans="1:399" ht="16.350000000000001">
      <c r="A24" t="str">
        <f>Sheet!A24</f>
        <v>PG001</v>
      </c>
      <c r="E24" t="s">
        <v>84</v>
      </c>
      <c r="F24">
        <v>13</v>
      </c>
      <c r="G24" s="15">
        <v>0.203125</v>
      </c>
      <c r="KR24" s="27">
        <f>SUM(KU24,KY24,LC24,LG24,LK24,LO24,LS24,LW24,MA24,ME24)/10</f>
        <v>1.8</v>
      </c>
      <c r="KS24" s="27">
        <f>SUM(MI24,MM24,MQ24,MU24,MY24,NC24,NG24,NK24,NO24,NS24,NW24,OA24,OE24,OI24)/14</f>
        <v>2.4285714285714284</v>
      </c>
      <c r="KU24">
        <f>IF(Sheet!KU24="Совсем нет / Not at all",1,IF(Sheet!KV24="Немного / A little",2,IF(Sheet!KW24="Довольно сильно / Quite a bit",3,IF(Sheet!KX24="Очень сильно / Extremely",4,""))))</f>
        <v>2</v>
      </c>
      <c r="KY24">
        <f>IF(Sheet!KY24="Совсем нет / Not at all",1,IF(Sheet!KZ24="Немного / A little",2,IF(Sheet!LA24="Довольно сильно / Quite a bit",3,IF(Sheet!LB24="Очень сильно / Extremely",4,""))))</f>
        <v>2</v>
      </c>
      <c r="LC24">
        <f>IF(Sheet!LC24="Совсем нет / Not at all",1,IF(Sheet!LD24="Немного / A little",2,IF(Sheet!LE24="Довольно сильно / Quite a bit",3,IF(Sheet!LF24="Очень сильно / Extremely",4,""))))</f>
        <v>1</v>
      </c>
      <c r="LG24">
        <f>IF(Sheet!LG24="Совсем нет / Not at all",1,IF(Sheet!LH24="Немного / A little",2,IF(Sheet!LI24="Довольно сильно / Quite a bit",3,IF(Sheet!LJ24="Очень сильно / Extremely",4,""))))</f>
        <v>2</v>
      </c>
      <c r="LK24">
        <f>IF(Sheet!LK24="Совсем нет / Not at all",1,IF(Sheet!LL24="Немного / A little",2,IF(Sheet!LM24="Довольно сильно / Quite a bit",3,IF(Sheet!LN24="Очень сильно / Extremely",4,""))))</f>
        <v>2</v>
      </c>
      <c r="LO24">
        <f>IF(Sheet!LO24="Совсем нет / Not at all",1,IF(Sheet!LP24="Немного / A little",2,IF(Sheet!LQ24="Довольно сильно / Quite a bit",3,IF(Sheet!LR24="Очень сильно / Extremely",4,""))))</f>
        <v>1</v>
      </c>
      <c r="LS24">
        <f>IF(Sheet!LS24="Совсем нет / Not at all",1,IF(Sheet!LT24="Немного / A little",2,IF(Sheet!LU24="Довольно сильно / Quite a bit",3,IF(Sheet!LV24="Очень сильно / Extremely",4,""))))</f>
        <v>3</v>
      </c>
      <c r="LW24">
        <f>IF(Sheet!LW24="Совсем нет / Not at all",1,IF(Sheet!LX24="Немного / A little",2,IF(Sheet!LY24="Довольно сильно / Quite a bit",3,IF(Sheet!LZ24="Очень сильно / Extremely",4,""))))</f>
        <v>2</v>
      </c>
      <c r="MA24">
        <f>IF(Sheet!MA24="Совсем нет / Not at all",1,IF(Sheet!MB24="Немного / A little",2,IF(Sheet!MC24="Довольно сильно / Quite a bit",3,IF(Sheet!MD24="Очень сильно / Extremely",4,""))))</f>
        <v>1</v>
      </c>
      <c r="ME24">
        <f>IF(Sheet!ME24="Совсем нет / Not at all",1,IF(Sheet!MF24="Немного / A little",2,IF(Sheet!MG24="Довольно сильно / Quite a bit",3,IF(Sheet!MH24="Очень сильно / Extremely",4,""))))</f>
        <v>2</v>
      </c>
      <c r="MH24" s="25"/>
      <c r="MI24">
        <f>IF(Sheet!MI24="Совсем нет / Not at all",1,IF(Sheet!MJ24="Немного / A little",2,IF(Sheet!MK24="Довольно сильно / Quite a bit",3,IF(Sheet!ML24="Очень сильно / Extremely",4,""))))</f>
        <v>3</v>
      </c>
      <c r="MM24">
        <f>IF(Sheet!MM24="Совсем нет / Not at all",1,IF(Sheet!MN24="Немного / A little",2,IF(Sheet!MO24="Довольно сильно / Quite a bit",3,IF(Sheet!MP24="Очень сильно / Extremely",4,""))))</f>
        <v>3</v>
      </c>
      <c r="MQ24">
        <f>IF(Sheet!MQ24="Совсем нет / Not at all",1,IF(Sheet!MR24="Немного / A little",2,IF(Sheet!MS24="Довольно сильно / Quite a bit",3,IF(Sheet!MT24="Очень сильно / Extremely",4,""))))</f>
        <v>3</v>
      </c>
      <c r="MU24">
        <f>IF(Sheet!MU24="Совсем нет / Not at all",1,IF(Sheet!MV24="Немного / A little",2,IF(Sheet!MW24="Довольно сильно / Quite a bit",3,IF(Sheet!MX24="Очень сильно / Extremely",4,""))))</f>
        <v>2</v>
      </c>
      <c r="MY24">
        <f>IF(Sheet!MY24="Совсем нет / Not at all",1,IF(Sheet!MZ24="Немного / A little",2,IF(Sheet!NA24="Довольно сильно / Quite a bit",3,IF(Sheet!NB24="Очень сильно / Extremely",4,""))))</f>
        <v>1</v>
      </c>
      <c r="NC24">
        <f>IF(Sheet!NC24="Совсем нет / Not at all",1,IF(Sheet!ND24="Немного / A little",2,IF(Sheet!NE24="Довольно сильно / Quite a bit",3,IF(Sheet!NF24="Очень сильно / Extremely",4,""))))</f>
        <v>3</v>
      </c>
      <c r="NG24">
        <f>IF(Sheet!NG24="Совсем нет / Not at all",1,IF(Sheet!NH24="Немного / A little",2,IF(Sheet!NI24="Довольно сильно / Quite a bit",3,IF(Sheet!NJ24="Очень сильно / Extremely",4,""))))</f>
        <v>3</v>
      </c>
      <c r="NK24">
        <f>IF(Sheet!NK24="Совсем нет / Not at all",1,IF(Sheet!NL24="Немного / A little",2,IF(Sheet!NM24="Довольно сильно / Quite a bit",3,IF(Sheet!NN24="Очень сильно / Extremely",4,""))))</f>
        <v>3</v>
      </c>
      <c r="NO24">
        <f>IF(Sheet!NO24="Совсем нет / Not at all",1,IF(Sheet!NP24="Немного / A little",2,IF(Sheet!NQ24="Довольно сильно / Quite a bit",3,IF(Sheet!NR24="Очень сильно / Extremely",4,""))))</f>
        <v>2</v>
      </c>
      <c r="NS24">
        <f>IF(Sheet!NS24="Совсем нет / Not at all",1,IF(Sheet!NT24="Немного / A little",2,IF(Sheet!NU24="Довольно сильно / Quite a bit",3,IF(Sheet!NV24="Очень сильно / Extremely",4,""))))</f>
        <v>3</v>
      </c>
      <c r="NW24">
        <f>IF(Sheet!NW24="Совсем нет / Not at all",1,IF(Sheet!NX24="Немного / A little",2,IF(Sheet!NY24="Довольно сильно / Quite a bit",3,IF(Sheet!NZ24="Очень сильно / Extremely",4,""))))</f>
        <v>3</v>
      </c>
      <c r="OA24">
        <f>IF(Sheet!OA24="Совсем нет / Not at all",1,IF(Sheet!OB24="Немного / A little",2,IF(Sheet!OC24="Довольно сильно / Quite a bit",3,IF(Sheet!OD24="Очень сильно / Extremely",4,""))))</f>
        <v>1</v>
      </c>
      <c r="OE24">
        <f>IF(Sheet!OE24="Совсем нет / Not at all",1,IF(Sheet!OF24="Немного / A little",2,IF(Sheet!OG24="Довольно сильно / Quite a bit",3,IF(Sheet!OH24="Очень сильно / Extremely",4,""))))</f>
        <v>2</v>
      </c>
      <c r="OI24">
        <f>IF(Sheet!OI24="Совсем нет / Not at all",1,IF(Sheet!OJ24="Немного / A little",2,IF(Sheet!OK24="Довольно сильно / Quite a bit",3,IF(Sheet!OL24="Очень сильно / Extremely",4,""))))</f>
        <v>2</v>
      </c>
    </row>
    <row r="25" spans="1:399" ht="16.350000000000001">
      <c r="A25" t="str">
        <f>Sheet!A25</f>
        <v>CV001</v>
      </c>
      <c r="E25" t="s">
        <v>85</v>
      </c>
      <c r="F25">
        <v>13</v>
      </c>
      <c r="G25" s="15">
        <v>0.203125</v>
      </c>
      <c r="KR25" s="27">
        <f>SUM(KU25,KY25,LC25,LG25,LK25,LO25,LS25,LW25,MA25,ME25)/10</f>
        <v>1.9</v>
      </c>
      <c r="KS25" s="27">
        <f>SUM(MI25,MM25,MQ25,MU25,MY25,NC25,NG25,NK25,NO25,NS25,NW25,OA25,OE25,OI25)/14</f>
        <v>1.8571428571428572</v>
      </c>
      <c r="KU25">
        <f>IF(Sheet!KU25="Совсем нет / Not at all",1,IF(Sheet!KV25="Немного / A little",2,IF(Sheet!KW25="Довольно сильно / Quite a bit",3,IF(Sheet!KX25="Очень сильно / Extremely",4,""))))</f>
        <v>1</v>
      </c>
      <c r="KY25">
        <f>IF(Sheet!KY25="Совсем нет / Not at all",1,IF(Sheet!KZ25="Немного / A little",2,IF(Sheet!LA25="Довольно сильно / Quite a bit",3,IF(Sheet!LB25="Очень сильно / Extremely",4,""))))</f>
        <v>1</v>
      </c>
      <c r="LC25">
        <f>IF(Sheet!LC25="Совсем нет / Not at all",1,IF(Sheet!LD25="Немного / A little",2,IF(Sheet!LE25="Довольно сильно / Quite a bit",3,IF(Sheet!LF25="Очень сильно / Extremely",4,""))))</f>
        <v>2</v>
      </c>
      <c r="LG25">
        <f>IF(Sheet!LG25="Совсем нет / Not at all",1,IF(Sheet!LH25="Немного / A little",2,IF(Sheet!LI25="Довольно сильно / Quite a bit",3,IF(Sheet!LJ25="Очень сильно / Extremely",4,""))))</f>
        <v>3</v>
      </c>
      <c r="LK25">
        <f>IF(Sheet!LK25="Совсем нет / Not at all",1,IF(Sheet!LL25="Немного / A little",2,IF(Sheet!LM25="Довольно сильно / Quite a bit",3,IF(Sheet!LN25="Очень сильно / Extremely",4,""))))</f>
        <v>4</v>
      </c>
      <c r="LO25">
        <f>IF(Sheet!LO25="Совсем нет / Not at all",1,IF(Sheet!LP25="Немного / A little",2,IF(Sheet!LQ25="Довольно сильно / Quite a bit",3,IF(Sheet!LR25="Очень сильно / Extremely",4,""))))</f>
        <v>2</v>
      </c>
      <c r="LS25">
        <f>IF(Sheet!LS25="Совсем нет / Not at all",1,IF(Sheet!LT25="Немного / A little",2,IF(Sheet!LU25="Довольно сильно / Quite a bit",3,IF(Sheet!LV25="Очень сильно / Extremely",4,""))))</f>
        <v>2</v>
      </c>
      <c r="LW25">
        <f>IF(Sheet!LW25="Совсем нет / Not at all",1,IF(Sheet!LX25="Немного / A little",2,IF(Sheet!LY25="Довольно сильно / Quite a bit",3,IF(Sheet!LZ25="Очень сильно / Extremely",4,""))))</f>
        <v>1</v>
      </c>
      <c r="MA25">
        <f>IF(Sheet!MA25="Совсем нет / Not at all",1,IF(Sheet!MB25="Немного / A little",2,IF(Sheet!MC25="Довольно сильно / Quite a bit",3,IF(Sheet!MD25="Очень сильно / Extremely",4,""))))</f>
        <v>1</v>
      </c>
      <c r="ME25">
        <f>IF(Sheet!ME25="Совсем нет / Not at all",1,IF(Sheet!MF25="Немного / A little",2,IF(Sheet!MG25="Довольно сильно / Quite a bit",3,IF(Sheet!MH25="Очень сильно / Extremely",4,""))))</f>
        <v>2</v>
      </c>
      <c r="MH25" s="25"/>
      <c r="MI25">
        <f>IF(Sheet!MI25="Совсем нет / Not at all",1,IF(Sheet!MJ25="Немного / A little",2,IF(Sheet!MK25="Довольно сильно / Quite a bit",3,IF(Sheet!ML25="Очень сильно / Extremely",4,""))))</f>
        <v>2</v>
      </c>
      <c r="MM25">
        <f>IF(Sheet!MM25="Совсем нет / Not at all",1,IF(Sheet!MN25="Немного / A little",2,IF(Sheet!MO25="Довольно сильно / Quite a bit",3,IF(Sheet!MP25="Очень сильно / Extremely",4,""))))</f>
        <v>1</v>
      </c>
      <c r="MQ25">
        <f>IF(Sheet!MQ25="Совсем нет / Not at all",1,IF(Sheet!MR25="Немного / A little",2,IF(Sheet!MS25="Довольно сильно / Quite a bit",3,IF(Sheet!MT25="Очень сильно / Extremely",4,""))))</f>
        <v>4</v>
      </c>
      <c r="MU25">
        <f>IF(Sheet!MU25="Совсем нет / Not at all",1,IF(Sheet!MV25="Немного / A little",2,IF(Sheet!MW25="Довольно сильно / Quite a bit",3,IF(Sheet!MX25="Очень сильно / Extremely",4,""))))</f>
        <v>2</v>
      </c>
      <c r="MY25">
        <f>IF(Sheet!MY25="Совсем нет / Not at all",1,IF(Sheet!MZ25="Немного / A little",2,IF(Sheet!NA25="Довольно сильно / Quite a bit",3,IF(Sheet!NB25="Очень сильно / Extremely",4,""))))</f>
        <v>1</v>
      </c>
      <c r="NC25">
        <f>IF(Sheet!NC25="Совсем нет / Not at all",1,IF(Sheet!ND25="Немного / A little",2,IF(Sheet!NE25="Довольно сильно / Quite a bit",3,IF(Sheet!NF25="Очень сильно / Extremely",4,""))))</f>
        <v>1</v>
      </c>
      <c r="NG25">
        <f>IF(Sheet!NG25="Совсем нет / Not at all",1,IF(Sheet!NH25="Немного / A little",2,IF(Sheet!NI25="Довольно сильно / Quite a bit",3,IF(Sheet!NJ25="Очень сильно / Extremely",4,""))))</f>
        <v>1</v>
      </c>
      <c r="NK25">
        <f>IF(Sheet!NK25="Совсем нет / Not at all",1,IF(Sheet!NL25="Немного / A little",2,IF(Sheet!NM25="Довольно сильно / Quite a bit",3,IF(Sheet!NN25="Очень сильно / Extremely",4,""))))</f>
        <v>2</v>
      </c>
      <c r="NO25">
        <f>IF(Sheet!NO25="Совсем нет / Not at all",1,IF(Sheet!NP25="Немного / A little",2,IF(Sheet!NQ25="Довольно сильно / Quite a bit",3,IF(Sheet!NR25="Очень сильно / Extremely",4,""))))</f>
        <v>2</v>
      </c>
      <c r="NS25">
        <f>IF(Sheet!NS25="Совсем нет / Not at all",1,IF(Sheet!NT25="Немного / A little",2,IF(Sheet!NU25="Довольно сильно / Quite a bit",3,IF(Sheet!NV25="Очень сильно / Extremely",4,""))))</f>
        <v>1</v>
      </c>
      <c r="NW25">
        <f>IF(Sheet!NW25="Совсем нет / Not at all",1,IF(Sheet!NX25="Немного / A little",2,IF(Sheet!NY25="Довольно сильно / Quite a bit",3,IF(Sheet!NZ25="Очень сильно / Extremely",4,""))))</f>
        <v>3</v>
      </c>
      <c r="OA25">
        <f>IF(Sheet!OA25="Совсем нет / Not at all",1,IF(Sheet!OB25="Немного / A little",2,IF(Sheet!OC25="Довольно сильно / Quite a bit",3,IF(Sheet!OD25="Очень сильно / Extremely",4,""))))</f>
        <v>2</v>
      </c>
      <c r="OE25">
        <f>IF(Sheet!OE25="Совсем нет / Not at all",1,IF(Sheet!OF25="Немного / A little",2,IF(Sheet!OG25="Довольно сильно / Quite a bit",3,IF(Sheet!OH25="Очень сильно / Extremely",4,""))))</f>
        <v>3</v>
      </c>
      <c r="OI25">
        <f>IF(Sheet!OI25="Совсем нет / Not at all",1,IF(Sheet!OJ25="Немного / A little",2,IF(Sheet!OK25="Довольно сильно / Quite a bit",3,IF(Sheet!OL25="Очень сильно / Extremely",4,""))))</f>
        <v>1</v>
      </c>
    </row>
    <row r="26" spans="1:399" ht="16.350000000000001">
      <c r="A26" t="str">
        <f>Sheet!A26</f>
        <v>CG001</v>
      </c>
      <c r="E26" t="s">
        <v>87</v>
      </c>
      <c r="F26">
        <v>11</v>
      </c>
      <c r="G26" s="15">
        <v>0.171875</v>
      </c>
      <c r="KR26" s="27">
        <f>SUM(KU26,KY26,LC26,LG26,LK26,LO26,LS26,LW26,MA26,ME26)/10</f>
        <v>2</v>
      </c>
      <c r="KS26" s="27">
        <f>SUM(MI26,MM26,MQ26,MU26,MY26,NC26,NG26,NK26,NO26,NS26,NW26,OA26,OE26,OI26)/14</f>
        <v>2.1428571428571428</v>
      </c>
      <c r="KU26">
        <f>IF(Sheet!KU26="Совсем нет / Not at all",1,IF(Sheet!KV26="Немного / A little",2,IF(Sheet!KW26="Довольно сильно / Quite a bit",3,IF(Sheet!KX26="Очень сильно / Extremely",4,""))))</f>
        <v>3</v>
      </c>
      <c r="KY26">
        <f>IF(Sheet!KY26="Совсем нет / Not at all",1,IF(Sheet!KZ26="Немного / A little",2,IF(Sheet!LA26="Довольно сильно / Quite a bit",3,IF(Sheet!LB26="Очень сильно / Extremely",4,""))))</f>
        <v>2</v>
      </c>
      <c r="LC26">
        <f>IF(Sheet!LC26="Совсем нет / Not at all",1,IF(Sheet!LD26="Немного / A little",2,IF(Sheet!LE26="Довольно сильно / Quite a bit",3,IF(Sheet!LF26="Очень сильно / Extremely",4,""))))</f>
        <v>2</v>
      </c>
      <c r="LG26">
        <f>IF(Sheet!LG26="Совсем нет / Not at all",1,IF(Sheet!LH26="Немного / A little",2,IF(Sheet!LI26="Довольно сильно / Quite a bit",3,IF(Sheet!LJ26="Очень сильно / Extremely",4,""))))</f>
        <v>2</v>
      </c>
      <c r="LK26">
        <f>IF(Sheet!LK26="Совсем нет / Not at all",1,IF(Sheet!LL26="Немного / A little",2,IF(Sheet!LM26="Довольно сильно / Quite a bit",3,IF(Sheet!LN26="Очень сильно / Extremely",4,""))))</f>
        <v>1</v>
      </c>
      <c r="LO26">
        <f>IF(Sheet!LO26="Совсем нет / Not at all",1,IF(Sheet!LP26="Немного / A little",2,IF(Sheet!LQ26="Довольно сильно / Quite a bit",3,IF(Sheet!LR26="Очень сильно / Extremely",4,""))))</f>
        <v>1</v>
      </c>
      <c r="LS26">
        <f>IF(Sheet!LS26="Совсем нет / Not at all",1,IF(Sheet!LT26="Немного / A little",2,IF(Sheet!LU26="Довольно сильно / Quite a bit",3,IF(Sheet!LV26="Очень сильно / Extremely",4,""))))</f>
        <v>2</v>
      </c>
      <c r="LW26">
        <f>IF(Sheet!LW26="Совсем нет / Not at all",1,IF(Sheet!LX26="Немного / A little",2,IF(Sheet!LY26="Довольно сильно / Quite a bit",3,IF(Sheet!LZ26="Очень сильно / Extremely",4,""))))</f>
        <v>1</v>
      </c>
      <c r="MA26">
        <f>IF(Sheet!MA26="Совсем нет / Not at all",1,IF(Sheet!MB26="Немного / A little",2,IF(Sheet!MC26="Довольно сильно / Quite a bit",3,IF(Sheet!MD26="Очень сильно / Extremely",4,""))))</f>
        <v>3</v>
      </c>
      <c r="ME26">
        <f>IF(Sheet!ME26="Совсем нет / Not at all",1,IF(Sheet!MF26="Немного / A little",2,IF(Sheet!MG26="Довольно сильно / Quite a bit",3,IF(Sheet!MH26="Очень сильно / Extremely",4,""))))</f>
        <v>3</v>
      </c>
      <c r="MH26" s="25"/>
      <c r="MI26">
        <f>IF(Sheet!MI26="Совсем нет / Not at all",1,IF(Sheet!MJ26="Немного / A little",2,IF(Sheet!MK26="Довольно сильно / Quite a bit",3,IF(Sheet!ML26="Очень сильно / Extremely",4,""))))</f>
        <v>2</v>
      </c>
      <c r="MM26">
        <f>IF(Sheet!MM26="Совсем нет / Not at all",1,IF(Sheet!MN26="Немного / A little",2,IF(Sheet!MO26="Довольно сильно / Quite a bit",3,IF(Sheet!MP26="Очень сильно / Extremely",4,""))))</f>
        <v>2</v>
      </c>
      <c r="MQ26">
        <f>IF(Sheet!MQ26="Совсем нет / Not at all",1,IF(Sheet!MR26="Немного / A little",2,IF(Sheet!MS26="Довольно сильно / Quite a bit",3,IF(Sheet!MT26="Очень сильно / Extremely",4,""))))</f>
        <v>2</v>
      </c>
      <c r="MU26">
        <f>IF(Sheet!MU26="Совсем нет / Not at all",1,IF(Sheet!MV26="Немного / A little",2,IF(Sheet!MW26="Довольно сильно / Quite a bit",3,IF(Sheet!MX26="Очень сильно / Extremely",4,""))))</f>
        <v>2</v>
      </c>
      <c r="MY26">
        <f>IF(Sheet!MY26="Совсем нет / Not at all",1,IF(Sheet!MZ26="Немного / A little",2,IF(Sheet!NA26="Довольно сильно / Quite a bit",3,IF(Sheet!NB26="Очень сильно / Extremely",4,""))))</f>
        <v>1</v>
      </c>
      <c r="NC26">
        <f>IF(Sheet!NC26="Совсем нет / Not at all",1,IF(Sheet!ND26="Немного / A little",2,IF(Sheet!NE26="Довольно сильно / Quite a bit",3,IF(Sheet!NF26="Очень сильно / Extremely",4,""))))</f>
        <v>1</v>
      </c>
      <c r="NG26">
        <f>IF(Sheet!NG26="Совсем нет / Not at all",1,IF(Sheet!NH26="Немного / A little",2,IF(Sheet!NI26="Довольно сильно / Quite a bit",3,IF(Sheet!NJ26="Очень сильно / Extremely",4,""))))</f>
        <v>3</v>
      </c>
      <c r="NK26">
        <f>IF(Sheet!NK26="Совсем нет / Not at all",1,IF(Sheet!NL26="Немного / A little",2,IF(Sheet!NM26="Довольно сильно / Quite a bit",3,IF(Sheet!NN26="Очень сильно / Extremely",4,""))))</f>
        <v>2</v>
      </c>
      <c r="NO26">
        <f>IF(Sheet!NO26="Совсем нет / Not at all",1,IF(Sheet!NP26="Немного / A little",2,IF(Sheet!NQ26="Довольно сильно / Quite a bit",3,IF(Sheet!NR26="Очень сильно / Extremely",4,""))))</f>
        <v>3</v>
      </c>
      <c r="NS26">
        <f>IF(Sheet!NS26="Совсем нет / Not at all",1,IF(Sheet!NT26="Немного / A little",2,IF(Sheet!NU26="Довольно сильно / Quite a bit",3,IF(Sheet!NV26="Очень сильно / Extremely",4,""))))</f>
        <v>3</v>
      </c>
      <c r="NW26">
        <f>IF(Sheet!NW26="Совсем нет / Not at all",1,IF(Sheet!NX26="Немного / A little",2,IF(Sheet!NY26="Довольно сильно / Quite a bit",3,IF(Sheet!NZ26="Очень сильно / Extremely",4,""))))</f>
        <v>2</v>
      </c>
      <c r="OA26">
        <f>IF(Sheet!OA26="Совсем нет / Not at all",1,IF(Sheet!OB26="Немного / A little",2,IF(Sheet!OC26="Довольно сильно / Quite a bit",3,IF(Sheet!OD26="Очень сильно / Extremely",4,""))))</f>
        <v>2</v>
      </c>
      <c r="OE26">
        <f>IF(Sheet!OE26="Совсем нет / Not at all",1,IF(Sheet!OF26="Немного / A little",2,IF(Sheet!OG26="Довольно сильно / Quite a bit",3,IF(Sheet!OH26="Очень сильно / Extremely",4,""))))</f>
        <v>2</v>
      </c>
      <c r="OI26">
        <f>IF(Sheet!OI26="Совсем нет / Not at all",1,IF(Sheet!OJ26="Немного / A little",2,IF(Sheet!OK26="Довольно сильно / Quite a bit",3,IF(Sheet!OL26="Очень сильно / Extremely",4,""))))</f>
        <v>3</v>
      </c>
    </row>
    <row r="27" spans="1:399" ht="16.350000000000001">
      <c r="A27" t="str">
        <f>Sheet!A27</f>
        <v>RG001</v>
      </c>
      <c r="E27" t="s">
        <v>91</v>
      </c>
      <c r="F27">
        <v>14</v>
      </c>
      <c r="G27" s="15">
        <v>0.21875</v>
      </c>
      <c r="KR27" s="27">
        <f>SUM(KU27,KY27,LC27,LG27,LK27,LO27,LS27,LW27,MA27,ME27)/10</f>
        <v>2.7</v>
      </c>
      <c r="KS27" s="27">
        <f>SUM(MI27,MM27,MQ27,MU27,MY27,NC27,NG27,NK27,NO27,NS27,NW27,OA27,OE27,OI27)/14</f>
        <v>3.2142857142857144</v>
      </c>
      <c r="KU27">
        <f>IF(Sheet!KU27="Совсем нет / Not at all",1,IF(Sheet!KV27="Немного / A little",2,IF(Sheet!KW27="Довольно сильно / Quite a bit",3,IF(Sheet!KX27="Очень сильно / Extremely",4,""))))</f>
        <v>2</v>
      </c>
      <c r="KY27">
        <f>IF(Sheet!KY27="Совсем нет / Not at all",1,IF(Sheet!KZ27="Немного / A little",2,IF(Sheet!LA27="Довольно сильно / Quite a bit",3,IF(Sheet!LB27="Очень сильно / Extremely",4,""))))</f>
        <v>2</v>
      </c>
      <c r="LC27">
        <f>IF(Sheet!LC27="Совсем нет / Not at all",1,IF(Sheet!LD27="Немного / A little",2,IF(Sheet!LE27="Довольно сильно / Quite a bit",3,IF(Sheet!LF27="Очень сильно / Extremely",4,""))))</f>
        <v>2</v>
      </c>
      <c r="LG27">
        <f>IF(Sheet!LG27="Совсем нет / Not at all",1,IF(Sheet!LH27="Немного / A little",2,IF(Sheet!LI27="Довольно сильно / Quite a bit",3,IF(Sheet!LJ27="Очень сильно / Extremely",4,""))))</f>
        <v>3</v>
      </c>
      <c r="LK27">
        <f>IF(Sheet!LK27="Совсем нет / Not at all",1,IF(Sheet!LL27="Немного / A little",2,IF(Sheet!LM27="Довольно сильно / Quite a bit",3,IF(Sheet!LN27="Очень сильно / Extremely",4,""))))</f>
        <v>4</v>
      </c>
      <c r="LO27">
        <f>IF(Sheet!LO27="Совсем нет / Not at all",1,IF(Sheet!LP27="Немного / A little",2,IF(Sheet!LQ27="Довольно сильно / Quite a bit",3,IF(Sheet!LR27="Очень сильно / Extremely",4,""))))</f>
        <v>2</v>
      </c>
      <c r="LS27">
        <f>IF(Sheet!LS27="Совсем нет / Not at all",1,IF(Sheet!LT27="Немного / A little",2,IF(Sheet!LU27="Довольно сильно / Quite a bit",3,IF(Sheet!LV27="Очень сильно / Extremely",4,""))))</f>
        <v>4</v>
      </c>
      <c r="LW27">
        <f>IF(Sheet!LW27="Совсем нет / Not at all",1,IF(Sheet!LX27="Немного / A little",2,IF(Sheet!LY27="Довольно сильно / Quite a bit",3,IF(Sheet!LZ27="Очень сильно / Extremely",4,""))))</f>
        <v>2</v>
      </c>
      <c r="MA27">
        <f>IF(Sheet!MA27="Совсем нет / Not at all",1,IF(Sheet!MB27="Немного / A little",2,IF(Sheet!MC27="Довольно сильно / Quite a bit",3,IF(Sheet!MD27="Очень сильно / Extremely",4,""))))</f>
        <v>2</v>
      </c>
      <c r="ME27">
        <f>IF(Sheet!ME27="Совсем нет / Not at all",1,IF(Sheet!MF27="Немного / A little",2,IF(Sheet!MG27="Довольно сильно / Quite a bit",3,IF(Sheet!MH27="Очень сильно / Extremely",4,""))))</f>
        <v>4</v>
      </c>
      <c r="MH27" s="25"/>
      <c r="MI27">
        <f>IF(Sheet!MI27="Совсем нет / Not at all",1,IF(Sheet!MJ27="Немного / A little",2,IF(Sheet!MK27="Довольно сильно / Quite a bit",3,IF(Sheet!ML27="Очень сильно / Extremely",4,""))))</f>
        <v>4</v>
      </c>
      <c r="MM27">
        <f>IF(Sheet!MM27="Совсем нет / Not at all",1,IF(Sheet!MN27="Немного / A little",2,IF(Sheet!MO27="Довольно сильно / Quite a bit",3,IF(Sheet!MP27="Очень сильно / Extremely",4,""))))</f>
        <v>2</v>
      </c>
      <c r="MQ27">
        <f>IF(Sheet!MQ27="Совсем нет / Not at all",1,IF(Sheet!MR27="Немного / A little",2,IF(Sheet!MS27="Довольно сильно / Quite a bit",3,IF(Sheet!MT27="Очень сильно / Extremely",4,""))))</f>
        <v>4</v>
      </c>
      <c r="MU27">
        <f>IF(Sheet!MU27="Совсем нет / Not at all",1,IF(Sheet!MV27="Немного / A little",2,IF(Sheet!MW27="Довольно сильно / Quite a bit",3,IF(Sheet!MX27="Очень сильно / Extremely",4,""))))</f>
        <v>4</v>
      </c>
      <c r="MY27">
        <f>IF(Sheet!MY27="Совсем нет / Not at all",1,IF(Sheet!MZ27="Немного / A little",2,IF(Sheet!NA27="Довольно сильно / Quite a bit",3,IF(Sheet!NB27="Очень сильно / Extremely",4,""))))</f>
        <v>1</v>
      </c>
      <c r="NC27">
        <f>IF(Sheet!NC27="Совсем нет / Not at all",1,IF(Sheet!ND27="Немного / A little",2,IF(Sheet!NE27="Довольно сильно / Quite a bit",3,IF(Sheet!NF27="Очень сильно / Extremely",4,""))))</f>
        <v>4</v>
      </c>
      <c r="NG27">
        <f>IF(Sheet!NG27="Совсем нет / Not at all",1,IF(Sheet!NH27="Немного / A little",2,IF(Sheet!NI27="Довольно сильно / Quite a bit",3,IF(Sheet!NJ27="Очень сильно / Extremely",4,""))))</f>
        <v>4</v>
      </c>
      <c r="NK27">
        <f>IF(Sheet!NK27="Совсем нет / Not at all",1,IF(Sheet!NL27="Немного / A little",2,IF(Sheet!NM27="Довольно сильно / Quite a bit",3,IF(Sheet!NN27="Очень сильно / Extremely",4,""))))</f>
        <v>4</v>
      </c>
      <c r="NO27">
        <f>IF(Sheet!NO27="Совсем нет / Not at all",1,IF(Sheet!NP27="Немного / A little",2,IF(Sheet!NQ27="Довольно сильно / Quite a bit",3,IF(Sheet!NR27="Очень сильно / Extremely",4,""))))</f>
        <v>3</v>
      </c>
      <c r="NS27">
        <f>IF(Sheet!NS27="Совсем нет / Not at all",1,IF(Sheet!NT27="Немного / A little",2,IF(Sheet!NU27="Довольно сильно / Quite a bit",3,IF(Sheet!NV27="Очень сильно / Extremely",4,""))))</f>
        <v>2</v>
      </c>
      <c r="NW27">
        <f>IF(Sheet!NW27="Совсем нет / Not at all",1,IF(Sheet!NX27="Немного / A little",2,IF(Sheet!NY27="Довольно сильно / Quite a bit",3,IF(Sheet!NZ27="Очень сильно / Extremely",4,""))))</f>
        <v>4</v>
      </c>
      <c r="OA27">
        <f>IF(Sheet!OA27="Совсем нет / Not at all",1,IF(Sheet!OB27="Немного / A little",2,IF(Sheet!OC27="Довольно сильно / Quite a bit",3,IF(Sheet!OD27="Очень сильно / Extremely",4,""))))</f>
        <v>4</v>
      </c>
      <c r="OE27">
        <f>IF(Sheet!OE27="Совсем нет / Not at all",1,IF(Sheet!OF27="Немного / A little",2,IF(Sheet!OG27="Довольно сильно / Quite a bit",3,IF(Sheet!OH27="Очень сильно / Extremely",4,""))))</f>
        <v>4</v>
      </c>
      <c r="OI27">
        <f>IF(Sheet!OI27="Совсем нет / Not at all",1,IF(Sheet!OJ27="Немного / A little",2,IF(Sheet!OK27="Довольно сильно / Quite a bit",3,IF(Sheet!OL27="Очень сильно / Extremely",4,""))))</f>
        <v>1</v>
      </c>
    </row>
    <row r="28" spans="1:399" ht="16.350000000000001">
      <c r="A28" t="str">
        <f>Sheet!A28</f>
        <v>AO001</v>
      </c>
      <c r="E28" t="s">
        <v>92</v>
      </c>
      <c r="F28">
        <v>10</v>
      </c>
      <c r="G28" s="15">
        <v>0.15625</v>
      </c>
      <c r="KR28" s="27">
        <f>SUM(KU28,KY28,LC28,LG28,LK28,LO28,LS28,LW28,MA28,ME28)/10</f>
        <v>1.3</v>
      </c>
      <c r="KS28" s="27">
        <f>SUM(MI28,MM28,MQ28,MU28,MY28,NC28,NG28,NK28,NO28,NS28,NW28,OA28,OE28,OI28)/14</f>
        <v>2.2857142857142856</v>
      </c>
      <c r="KU28">
        <f>IF(Sheet!KU28="Совсем нет / Not at all",1,IF(Sheet!KV28="Немного / A little",2,IF(Sheet!KW28="Довольно сильно / Quite a bit",3,IF(Sheet!KX28="Очень сильно / Extremely",4,""))))</f>
        <v>1</v>
      </c>
      <c r="KY28">
        <f>IF(Sheet!KY28="Совсем нет / Not at all",1,IF(Sheet!KZ28="Немного / A little",2,IF(Sheet!LA28="Довольно сильно / Quite a bit",3,IF(Sheet!LB28="Очень сильно / Extremely",4,""))))</f>
        <v>1</v>
      </c>
      <c r="LC28">
        <f>IF(Sheet!LC28="Совсем нет / Not at all",1,IF(Sheet!LD28="Немного / A little",2,IF(Sheet!LE28="Довольно сильно / Quite a bit",3,IF(Sheet!LF28="Очень сильно / Extremely",4,""))))</f>
        <v>2</v>
      </c>
      <c r="LG28">
        <f>IF(Sheet!LG28="Совсем нет / Not at all",1,IF(Sheet!LH28="Немного / A little",2,IF(Sheet!LI28="Довольно сильно / Quite a bit",3,IF(Sheet!LJ28="Очень сильно / Extremely",4,""))))</f>
        <v>1</v>
      </c>
      <c r="LK28">
        <f>IF(Sheet!LK28="Совсем нет / Not at all",1,IF(Sheet!LL28="Немного / A little",2,IF(Sheet!LM28="Довольно сильно / Quite a bit",3,IF(Sheet!LN28="Очень сильно / Extremely",4,""))))</f>
        <v>1</v>
      </c>
      <c r="LO28">
        <f>IF(Sheet!LO28="Совсем нет / Not at all",1,IF(Sheet!LP28="Немного / A little",2,IF(Sheet!LQ28="Довольно сильно / Quite a bit",3,IF(Sheet!LR28="Очень сильно / Extremely",4,""))))</f>
        <v>1</v>
      </c>
      <c r="LS28">
        <f>IF(Sheet!LS28="Совсем нет / Not at all",1,IF(Sheet!LT28="Немного / A little",2,IF(Sheet!LU28="Довольно сильно / Quite a bit",3,IF(Sheet!LV28="Очень сильно / Extremely",4,""))))</f>
        <v>1</v>
      </c>
      <c r="LW28">
        <f>IF(Sheet!LW28="Совсем нет / Not at all",1,IF(Sheet!LX28="Немного / A little",2,IF(Sheet!LY28="Довольно сильно / Quite a bit",3,IF(Sheet!LZ28="Очень сильно / Extremely",4,""))))</f>
        <v>2</v>
      </c>
      <c r="MA28">
        <f>IF(Sheet!MA28="Совсем нет / Not at all",1,IF(Sheet!MB28="Немного / A little",2,IF(Sheet!MC28="Довольно сильно / Quite a bit",3,IF(Sheet!MD28="Очень сильно / Extremely",4,""))))</f>
        <v>1</v>
      </c>
      <c r="ME28">
        <f>IF(Sheet!ME28="Совсем нет / Not at all",1,IF(Sheet!MF28="Немного / A little",2,IF(Sheet!MG28="Довольно сильно / Quite a bit",3,IF(Sheet!MH28="Очень сильно / Extremely",4,""))))</f>
        <v>2</v>
      </c>
      <c r="MH28" s="25"/>
      <c r="MI28">
        <f>IF(Sheet!MI28="Совсем нет / Not at all",1,IF(Sheet!MJ28="Немного / A little",2,IF(Sheet!MK28="Довольно сильно / Quite a bit",3,IF(Sheet!ML28="Очень сильно / Extremely",4,""))))</f>
        <v>2</v>
      </c>
      <c r="MM28">
        <f>IF(Sheet!MM28="Совсем нет / Not at all",1,IF(Sheet!MN28="Немного / A little",2,IF(Sheet!MO28="Довольно сильно / Quite a bit",3,IF(Sheet!MP28="Очень сильно / Extremely",4,""))))</f>
        <v>3</v>
      </c>
      <c r="MQ28">
        <f>IF(Sheet!MQ28="Совсем нет / Not at all",1,IF(Sheet!MR28="Немного / A little",2,IF(Sheet!MS28="Довольно сильно / Quite a bit",3,IF(Sheet!MT28="Очень сильно / Extremely",4,""))))</f>
        <v>2</v>
      </c>
      <c r="MU28">
        <f>IF(Sheet!MU28="Совсем нет / Not at all",1,IF(Sheet!MV28="Немного / A little",2,IF(Sheet!MW28="Довольно сильно / Quite a bit",3,IF(Sheet!MX28="Очень сильно / Extremely",4,""))))</f>
        <v>3</v>
      </c>
      <c r="MY28">
        <f>IF(Sheet!MY28="Совсем нет / Not at all",1,IF(Sheet!MZ28="Немного / A little",2,IF(Sheet!NA28="Довольно сильно / Quite a bit",3,IF(Sheet!NB28="Очень сильно / Extremely",4,""))))</f>
        <v>2</v>
      </c>
      <c r="NC28">
        <f>IF(Sheet!NC28="Совсем нет / Not at all",1,IF(Sheet!ND28="Немного / A little",2,IF(Sheet!NE28="Довольно сильно / Quite a bit",3,IF(Sheet!NF28="Очень сильно / Extremely",4,""))))</f>
        <v>3</v>
      </c>
      <c r="NG28">
        <f>IF(Sheet!NG28="Совсем нет / Not at all",1,IF(Sheet!NH28="Немного / A little",2,IF(Sheet!NI28="Довольно сильно / Quite a bit",3,IF(Sheet!NJ28="Очень сильно / Extremely",4,""))))</f>
        <v>3</v>
      </c>
      <c r="NK28">
        <f>IF(Sheet!NK28="Совсем нет / Not at all",1,IF(Sheet!NL28="Немного / A little",2,IF(Sheet!NM28="Довольно сильно / Quite a bit",3,IF(Sheet!NN28="Очень сильно / Extremely",4,""))))</f>
        <v>3</v>
      </c>
      <c r="NO28">
        <f>IF(Sheet!NO28="Совсем нет / Not at all",1,IF(Sheet!NP28="Немного / A little",2,IF(Sheet!NQ28="Довольно сильно / Quite a bit",3,IF(Sheet!NR28="Очень сильно / Extremely",4,""))))</f>
        <v>1</v>
      </c>
      <c r="NS28">
        <f>IF(Sheet!NS28="Совсем нет / Not at all",1,IF(Sheet!NT28="Немного / A little",2,IF(Sheet!NU28="Довольно сильно / Quite a bit",3,IF(Sheet!NV28="Очень сильно / Extremely",4,""))))</f>
        <v>2</v>
      </c>
      <c r="NW28">
        <f>IF(Sheet!NW28="Совсем нет / Not at all",1,IF(Sheet!NX28="Немного / A little",2,IF(Sheet!NY28="Довольно сильно / Quite a bit",3,IF(Sheet!NZ28="Очень сильно / Extremely",4,""))))</f>
        <v>1</v>
      </c>
      <c r="OA28">
        <f>IF(Sheet!OA28="Совсем нет / Not at all",1,IF(Sheet!OB28="Немного / A little",2,IF(Sheet!OC28="Довольно сильно / Quite a bit",3,IF(Sheet!OD28="Очень сильно / Extremely",4,""))))</f>
        <v>2</v>
      </c>
      <c r="OE28">
        <f>IF(Sheet!OE28="Совсем нет / Not at all",1,IF(Sheet!OF28="Немного / A little",2,IF(Sheet!OG28="Довольно сильно / Quite a bit",3,IF(Sheet!OH28="Очень сильно / Extremely",4,""))))</f>
        <v>2</v>
      </c>
      <c r="OI28">
        <f>IF(Sheet!OI28="Совсем нет / Not at all",1,IF(Sheet!OJ28="Немного / A little",2,IF(Sheet!OK28="Довольно сильно / Quite a bit",3,IF(Sheet!OL28="Очень сильно / Extremely",4,""))))</f>
        <v>3</v>
      </c>
    </row>
    <row r="29" spans="1:399" ht="16.350000000000001">
      <c r="A29" t="str">
        <f>Sheet!A29</f>
        <v>FO001</v>
      </c>
      <c r="KR29" s="27">
        <f>SUM(KU29,KY29,LC29,LG29,LK29,LO29,LS29,LW29,MA29,ME29)/10</f>
        <v>3.5</v>
      </c>
      <c r="KS29" s="27">
        <f>SUM(MI29,MM29,MQ29,MU29,MY29,NC29,NG29,NK29,NO29,NS29,NW29,OA29,OE29,OI29)/14</f>
        <v>3.6428571428571428</v>
      </c>
      <c r="KU29">
        <f>IF(Sheet!KU29="Совсем нет / Not at all",1,IF(Sheet!KV29="Немного / A little",2,IF(Sheet!KW29="Довольно сильно / Quite a bit",3,IF(Sheet!KX29="Очень сильно / Extremely",4,""))))</f>
        <v>4</v>
      </c>
      <c r="KY29">
        <f>IF(Sheet!KY29="Совсем нет / Not at all",1,IF(Sheet!KZ29="Немного / A little",2,IF(Sheet!LA29="Довольно сильно / Quite a bit",3,IF(Sheet!LB29="Очень сильно / Extremely",4,""))))</f>
        <v>3</v>
      </c>
      <c r="LC29">
        <f>IF(Sheet!LC29="Совсем нет / Not at all",1,IF(Sheet!LD29="Немного / A little",2,IF(Sheet!LE29="Довольно сильно / Quite a bit",3,IF(Sheet!LF29="Очень сильно / Extremely",4,""))))</f>
        <v>2</v>
      </c>
      <c r="LG29">
        <f>IF(Sheet!LG29="Совсем нет / Not at all",1,IF(Sheet!LH29="Немного / A little",2,IF(Sheet!LI29="Довольно сильно / Quite a bit",3,IF(Sheet!LJ29="Очень сильно / Extremely",4,""))))</f>
        <v>4</v>
      </c>
      <c r="LK29">
        <f>IF(Sheet!LK29="Совсем нет / Not at all",1,IF(Sheet!LL29="Немного / A little",2,IF(Sheet!LM29="Довольно сильно / Quite a bit",3,IF(Sheet!LN29="Очень сильно / Extremely",4,""))))</f>
        <v>4</v>
      </c>
      <c r="LO29">
        <f>IF(Sheet!LO29="Совсем нет / Not at all",1,IF(Sheet!LP29="Немного / A little",2,IF(Sheet!LQ29="Довольно сильно / Quite a bit",3,IF(Sheet!LR29="Очень сильно / Extremely",4,""))))</f>
        <v>4</v>
      </c>
      <c r="LS29">
        <f>IF(Sheet!LS29="Совсем нет / Not at all",1,IF(Sheet!LT29="Немного / A little",2,IF(Sheet!LU29="Довольно сильно / Quite a bit",3,IF(Sheet!LV29="Очень сильно / Extremely",4,""))))</f>
        <v>4</v>
      </c>
      <c r="LW29">
        <f>IF(Sheet!LW29="Совсем нет / Not at all",1,IF(Sheet!LX29="Немного / A little",2,IF(Sheet!LY29="Довольно сильно / Quite a bit",3,IF(Sheet!LZ29="Очень сильно / Extremely",4,""))))</f>
        <v>2</v>
      </c>
      <c r="MA29">
        <f>IF(Sheet!MA29="Совсем нет / Not at all",1,IF(Sheet!MB29="Немного / A little",2,IF(Sheet!MC29="Довольно сильно / Quite a bit",3,IF(Sheet!MD29="Очень сильно / Extremely",4,""))))</f>
        <v>4</v>
      </c>
      <c r="ME29">
        <f>IF(Sheet!ME29="Совсем нет / Not at all",1,IF(Sheet!MF29="Немного / A little",2,IF(Sheet!MG29="Довольно сильно / Quite a bit",3,IF(Sheet!MH29="Очень сильно / Extremely",4,""))))</f>
        <v>4</v>
      </c>
      <c r="MI29">
        <f>IF(Sheet!MI29="Совсем нет / Not at all",1,IF(Sheet!MJ29="Немного / A little",2,IF(Sheet!MK29="Довольно сильно / Quite a bit",3,IF(Sheet!ML29="Очень сильно / Extremely",4,""))))</f>
        <v>3</v>
      </c>
      <c r="MM29">
        <f>IF(Sheet!MM29="Совсем нет / Not at all",1,IF(Sheet!MN29="Немного / A little",2,IF(Sheet!MO29="Довольно сильно / Quite a bit",3,IF(Sheet!MP29="Очень сильно / Extremely",4,""))))</f>
        <v>4</v>
      </c>
      <c r="MQ29">
        <f>IF(Sheet!MQ29="Совсем нет / Not at all",1,IF(Sheet!MR29="Немного / A little",2,IF(Sheet!MS29="Довольно сильно / Quite a bit",3,IF(Sheet!MT29="Очень сильно / Extremely",4,""))))</f>
        <v>3</v>
      </c>
      <c r="MU29">
        <f>IF(Sheet!MU29="Совсем нет / Not at all",1,IF(Sheet!MV29="Немного / A little",2,IF(Sheet!MW29="Довольно сильно / Quite a bit",3,IF(Sheet!MX29="Очень сильно / Extremely",4,""))))</f>
        <v>3</v>
      </c>
      <c r="MY29">
        <f>IF(Sheet!MY29="Совсем нет / Not at all",1,IF(Sheet!MZ29="Немного / A little",2,IF(Sheet!NA29="Довольно сильно / Quite a bit",3,IF(Sheet!NB29="Очень сильно / Extremely",4,""))))</f>
        <v>3</v>
      </c>
      <c r="NC29">
        <f>IF(Sheet!NC29="Совсем нет / Not at all",1,IF(Sheet!ND29="Немного / A little",2,IF(Sheet!NE29="Довольно сильно / Quite a bit",3,IF(Sheet!NF29="Очень сильно / Extremely",4,""))))</f>
        <v>4</v>
      </c>
      <c r="NG29">
        <f>IF(Sheet!NG29="Совсем нет / Not at all",1,IF(Sheet!NH29="Немного / A little",2,IF(Sheet!NI29="Довольно сильно / Quite a bit",3,IF(Sheet!NJ29="Очень сильно / Extremely",4,""))))</f>
        <v>4</v>
      </c>
      <c r="NK29">
        <f>IF(Sheet!NK29="Совсем нет / Not at all",1,IF(Sheet!NL29="Немного / A little",2,IF(Sheet!NM29="Довольно сильно / Quite a bit",3,IF(Sheet!NN29="Очень сильно / Extremely",4,""))))</f>
        <v>4</v>
      </c>
      <c r="NO29">
        <f>IF(Sheet!NO29="Совсем нет / Not at all",1,IF(Sheet!NP29="Немного / A little",2,IF(Sheet!NQ29="Довольно сильно / Quite a bit",3,IF(Sheet!NR29="Очень сильно / Extremely",4,""))))</f>
        <v>4</v>
      </c>
      <c r="NS29">
        <f>IF(Sheet!NS29="Совсем нет / Not at all",1,IF(Sheet!NT29="Немного / A little",2,IF(Sheet!NU29="Довольно сильно / Quite a bit",3,IF(Sheet!NV29="Очень сильно / Extremely",4,""))))</f>
        <v>3</v>
      </c>
      <c r="NW29">
        <f>IF(Sheet!NW29="Совсем нет / Not at all",1,IF(Sheet!NX29="Немного / A little",2,IF(Sheet!NY29="Довольно сильно / Quite a bit",3,IF(Sheet!NZ29="Очень сильно / Extremely",4,""))))</f>
        <v>4</v>
      </c>
      <c r="OA29">
        <f>IF(Sheet!OA29="Совсем нет / Not at all",1,IF(Sheet!OB29="Немного / A little",2,IF(Sheet!OC29="Довольно сильно / Quite a bit",3,IF(Sheet!OD29="Очень сильно / Extremely",4,""))))</f>
        <v>4</v>
      </c>
      <c r="OE29">
        <f>IF(Sheet!OE29="Совсем нет / Not at all",1,IF(Sheet!OF29="Немного / A little",2,IF(Sheet!OG29="Довольно сильно / Quite a bit",3,IF(Sheet!OH29="Очень сильно / Extremely",4,""))))</f>
        <v>4</v>
      </c>
      <c r="OI29">
        <f>IF(Sheet!OI29="Совсем нет / Not at all",1,IF(Sheet!OJ29="Немного / A little",2,IF(Sheet!OK29="Довольно сильно / Quite a bit",3,IF(Sheet!OL29="Очень сильно / Extremely",4,""))))</f>
        <v>4</v>
      </c>
    </row>
    <row r="30" spans="1:399" ht="16.350000000000001">
      <c r="A30" t="str">
        <f>Sheet!A30</f>
        <v>uu001</v>
      </c>
      <c r="KR30" s="27">
        <f>SUM(KU30,KY30,LC30,LG30,LK30,LO30,LS30,LW30,MA30,ME30)/10</f>
        <v>1.2</v>
      </c>
      <c r="KS30" s="27">
        <f>SUM(MI30,MM30,MQ30,MU30,MY30,NC30,NG30,NK30,NO30,NS30,NW30,OA30,OE30,OI30)/14</f>
        <v>1.5</v>
      </c>
      <c r="KU30">
        <f>IF(Sheet!KU30="Совсем нет / Not at all",1,IF(Sheet!KV30="Немного / A little",2,IF(Sheet!KW30="Довольно сильно / Quite a bit",3,IF(Sheet!KX30="Очень сильно / Extremely",4,""))))</f>
        <v>2</v>
      </c>
      <c r="KY30">
        <f>IF(Sheet!KY30="Совсем нет / Not at all",1,IF(Sheet!KZ30="Немного / A little",2,IF(Sheet!LA30="Довольно сильно / Quite a bit",3,IF(Sheet!LB30="Очень сильно / Extremely",4,""))))</f>
        <v>1</v>
      </c>
      <c r="LC30">
        <f>IF(Sheet!LC30="Совсем нет / Not at all",1,IF(Sheet!LD30="Немного / A little",2,IF(Sheet!LE30="Довольно сильно / Quite a bit",3,IF(Sheet!LF30="Очень сильно / Extremely",4,""))))</f>
        <v>1</v>
      </c>
      <c r="LG30">
        <f>IF(Sheet!LG30="Совсем нет / Not at all",1,IF(Sheet!LH30="Немного / A little",2,IF(Sheet!LI30="Довольно сильно / Quite a bit",3,IF(Sheet!LJ30="Очень сильно / Extremely",4,""))))</f>
        <v>1</v>
      </c>
      <c r="LK30">
        <f>IF(Sheet!LK30="Совсем нет / Not at all",1,IF(Sheet!LL30="Немного / A little",2,IF(Sheet!LM30="Довольно сильно / Quite a bit",3,IF(Sheet!LN30="Очень сильно / Extremely",4,""))))</f>
        <v>1</v>
      </c>
      <c r="LO30">
        <f>IF(Sheet!LO30="Совсем нет / Not at all",1,IF(Sheet!LP30="Немного / A little",2,IF(Sheet!LQ30="Довольно сильно / Quite a bit",3,IF(Sheet!LR30="Очень сильно / Extremely",4,""))))</f>
        <v>1</v>
      </c>
      <c r="LS30">
        <f>IF(Sheet!LS30="Совсем нет / Not at all",1,IF(Sheet!LT30="Немного / A little",2,IF(Sheet!LU30="Довольно сильно / Quite a bit",3,IF(Sheet!LV30="Очень сильно / Extremely",4,""))))</f>
        <v>1</v>
      </c>
      <c r="LW30">
        <f>IF(Sheet!LW30="Совсем нет / Not at all",1,IF(Sheet!LX30="Немного / A little",2,IF(Sheet!LY30="Довольно сильно / Quite a bit",3,IF(Sheet!LZ30="Очень сильно / Extremely",4,""))))</f>
        <v>1</v>
      </c>
      <c r="MA30">
        <f>IF(Sheet!MA30="Совсем нет / Not at all",1,IF(Sheet!MB30="Немного / A little",2,IF(Sheet!MC30="Довольно сильно / Quite a bit",3,IF(Sheet!MD30="Очень сильно / Extremely",4,""))))</f>
        <v>1</v>
      </c>
      <c r="ME30">
        <f>IF(Sheet!ME30="Совсем нет / Not at all",1,IF(Sheet!MF30="Немного / A little",2,IF(Sheet!MG30="Довольно сильно / Quite a bit",3,IF(Sheet!MH30="Очень сильно / Extremely",4,""))))</f>
        <v>2</v>
      </c>
      <c r="MI30">
        <f>IF(Sheet!MI30="Совсем нет / Not at all",1,IF(Sheet!MJ30="Немного / A little",2,IF(Sheet!MK30="Довольно сильно / Quite a bit",3,IF(Sheet!ML30="Очень сильно / Extremely",4,""))))</f>
        <v>1</v>
      </c>
      <c r="MM30">
        <f>IF(Sheet!MM30="Совсем нет / Not at all",1,IF(Sheet!MN30="Немного / A little",2,IF(Sheet!MO30="Довольно сильно / Quite a bit",3,IF(Sheet!MP30="Очень сильно / Extremely",4,""))))</f>
        <v>1</v>
      </c>
      <c r="MQ30">
        <f>IF(Sheet!MQ30="Совсем нет / Not at all",1,IF(Sheet!MR30="Немного / A little",2,IF(Sheet!MS30="Довольно сильно / Quite a bit",3,IF(Sheet!MT30="Очень сильно / Extremely",4,""))))</f>
        <v>1</v>
      </c>
      <c r="MU30">
        <f>IF(Sheet!MU30="Совсем нет / Not at all",1,IF(Sheet!MV30="Немного / A little",2,IF(Sheet!MW30="Довольно сильно / Quite a bit",3,IF(Sheet!MX30="Очень сильно / Extremely",4,""))))</f>
        <v>1</v>
      </c>
      <c r="MY30">
        <f>IF(Sheet!MY30="Совсем нет / Not at all",1,IF(Sheet!MZ30="Немного / A little",2,IF(Sheet!NA30="Довольно сильно / Quite a bit",3,IF(Sheet!NB30="Очень сильно / Extremely",4,""))))</f>
        <v>1</v>
      </c>
      <c r="NC30">
        <f>IF(Sheet!NC30="Совсем нет / Not at all",1,IF(Sheet!ND30="Немного / A little",2,IF(Sheet!NE30="Довольно сильно / Quite a bit",3,IF(Sheet!NF30="Очень сильно / Extremely",4,""))))</f>
        <v>2</v>
      </c>
      <c r="NG30">
        <f>IF(Sheet!NG30="Совсем нет / Not at all",1,IF(Sheet!NH30="Немного / A little",2,IF(Sheet!NI30="Довольно сильно / Quite a bit",3,IF(Sheet!NJ30="Очень сильно / Extremely",4,""))))</f>
        <v>3</v>
      </c>
      <c r="NK30">
        <f>IF(Sheet!NK30="Совсем нет / Not at all",1,IF(Sheet!NL30="Немного / A little",2,IF(Sheet!NM30="Довольно сильно / Quite a bit",3,IF(Sheet!NN30="Очень сильно / Extremely",4,""))))</f>
        <v>2</v>
      </c>
      <c r="NO30">
        <f>IF(Sheet!NO30="Совсем нет / Not at all",1,IF(Sheet!NP30="Немного / A little",2,IF(Sheet!NQ30="Довольно сильно / Quite a bit",3,IF(Sheet!NR30="Очень сильно / Extremely",4,""))))</f>
        <v>1</v>
      </c>
      <c r="NS30">
        <f>IF(Sheet!NS30="Совсем нет / Not at all",1,IF(Sheet!NT30="Немного / A little",2,IF(Sheet!NU30="Довольно сильно / Quite a bit",3,IF(Sheet!NV30="Очень сильно / Extremely",4,""))))</f>
        <v>2</v>
      </c>
      <c r="NW30">
        <f>IF(Sheet!NW30="Совсем нет / Not at all",1,IF(Sheet!NX30="Немного / A little",2,IF(Sheet!NY30="Довольно сильно / Quite a bit",3,IF(Sheet!NZ30="Очень сильно / Extremely",4,""))))</f>
        <v>1</v>
      </c>
      <c r="OA30">
        <f>IF(Sheet!OA30="Совсем нет / Not at all",1,IF(Sheet!OB30="Немного / A little",2,IF(Sheet!OC30="Довольно сильно / Quite a bit",3,IF(Sheet!OD30="Очень сильно / Extremely",4,""))))</f>
        <v>1</v>
      </c>
      <c r="OE30">
        <f>IF(Sheet!OE30="Совсем нет / Not at all",1,IF(Sheet!OF30="Немного / A little",2,IF(Sheet!OG30="Довольно сильно / Quite a bit",3,IF(Sheet!OH30="Очень сильно / Extremely",4,""))))</f>
        <v>2</v>
      </c>
      <c r="OI30">
        <f>IF(Sheet!OI30="Совсем нет / Not at all",1,IF(Sheet!OJ30="Немного / A little",2,IF(Sheet!OK30="Довольно сильно / Quite a bit",3,IF(Sheet!OL30="Очень сильно / Extremely",4,""))))</f>
        <v>2</v>
      </c>
    </row>
    <row r="31" spans="1:399" ht="16.350000000000001">
      <c r="A31" t="str">
        <f>Sheet!A31</f>
        <v>ID FP001</v>
      </c>
      <c r="KR31" s="27">
        <f>SUM(KU31,KY31,LC31,LG31,LK31,LO31,LS31,LW31,MA31,ME31)/10</f>
        <v>1.4</v>
      </c>
      <c r="KS31" s="27">
        <f>SUM(MI31,MM31,MQ31,MU31,MY31,NC31,NG31,NK31,NO31,NS31,NW31,OA31,OE31,OI31)/14</f>
        <v>1.8571428571428572</v>
      </c>
      <c r="KU31">
        <f>IF(Sheet!KU31="Совсем нет / Not at all",1,IF(Sheet!KV31="Немного / A little",2,IF(Sheet!KW31="Довольно сильно / Quite a bit",3,IF(Sheet!KX31="Очень сильно / Extremely",4,""))))</f>
        <v>1</v>
      </c>
      <c r="KY31">
        <f>IF(Sheet!KY31="Совсем нет / Not at all",1,IF(Sheet!KZ31="Немного / A little",2,IF(Sheet!LA31="Довольно сильно / Quite a bit",3,IF(Sheet!LB31="Очень сильно / Extremely",4,""))))</f>
        <v>1</v>
      </c>
      <c r="LC31">
        <f>IF(Sheet!LC31="Совсем нет / Not at all",1,IF(Sheet!LD31="Немного / A little",2,IF(Sheet!LE31="Довольно сильно / Quite a bit",3,IF(Sheet!LF31="Очень сильно / Extremely",4,""))))</f>
        <v>1</v>
      </c>
      <c r="LG31">
        <f>IF(Sheet!LG31="Совсем нет / Not at all",1,IF(Sheet!LH31="Немного / A little",2,IF(Sheet!LI31="Довольно сильно / Quite a bit",3,IF(Sheet!LJ31="Очень сильно / Extremely",4,""))))</f>
        <v>2</v>
      </c>
      <c r="LK31">
        <f>IF(Sheet!LK31="Совсем нет / Not at all",1,IF(Sheet!LL31="Немного / A little",2,IF(Sheet!LM31="Довольно сильно / Quite a bit",3,IF(Sheet!LN31="Очень сильно / Extremely",4,""))))</f>
        <v>2</v>
      </c>
      <c r="LO31">
        <f>IF(Sheet!LO31="Совсем нет / Not at all",1,IF(Sheet!LP31="Немного / A little",2,IF(Sheet!LQ31="Довольно сильно / Quite a bit",3,IF(Sheet!LR31="Очень сильно / Extremely",4,""))))</f>
        <v>1</v>
      </c>
      <c r="LS31">
        <f>IF(Sheet!LS31="Совсем нет / Not at all",1,IF(Sheet!LT31="Немного / A little",2,IF(Sheet!LU31="Довольно сильно / Quite a bit",3,IF(Sheet!LV31="Очень сильно / Extremely",4,""))))</f>
        <v>2</v>
      </c>
      <c r="LW31">
        <f>IF(Sheet!LW31="Совсем нет / Not at all",1,IF(Sheet!LX31="Немного / A little",2,IF(Sheet!LY31="Довольно сильно / Quite a bit",3,IF(Sheet!LZ31="Очень сильно / Extremely",4,""))))</f>
        <v>1</v>
      </c>
      <c r="MA31">
        <f>IF(Sheet!MA31="Совсем нет / Not at all",1,IF(Sheet!MB31="Немного / A little",2,IF(Sheet!MC31="Довольно сильно / Quite a bit",3,IF(Sheet!MD31="Очень сильно / Extremely",4,""))))</f>
        <v>1</v>
      </c>
      <c r="ME31">
        <f>IF(Sheet!ME31="Совсем нет / Not at all",1,IF(Sheet!MF31="Немного / A little",2,IF(Sheet!MG31="Довольно сильно / Quite a bit",3,IF(Sheet!MH31="Очень сильно / Extremely",4,""))))</f>
        <v>2</v>
      </c>
      <c r="MI31">
        <f>IF(Sheet!MI31="Совсем нет / Not at all",1,IF(Sheet!MJ31="Немного / A little",2,IF(Sheet!MK31="Довольно сильно / Quite a bit",3,IF(Sheet!ML31="Очень сильно / Extremely",4,""))))</f>
        <v>2</v>
      </c>
      <c r="MM31">
        <f>IF(Sheet!MM31="Совсем нет / Not at all",1,IF(Sheet!MN31="Немного / A little",2,IF(Sheet!MO31="Довольно сильно / Quite a bit",3,IF(Sheet!MP31="Очень сильно / Extremely",4,""))))</f>
        <v>2</v>
      </c>
      <c r="MQ31">
        <f>IF(Sheet!MQ31="Совсем нет / Not at all",1,IF(Sheet!MR31="Немного / A little",2,IF(Sheet!MS31="Довольно сильно / Quite a bit",3,IF(Sheet!MT31="Очень сильно / Extremely",4,""))))</f>
        <v>1</v>
      </c>
      <c r="MU31">
        <f>IF(Sheet!MU31="Совсем нет / Not at all",1,IF(Sheet!MV31="Немного / A little",2,IF(Sheet!MW31="Довольно сильно / Quite a bit",3,IF(Sheet!MX31="Очень сильно / Extremely",4,""))))</f>
        <v>2</v>
      </c>
      <c r="MY31">
        <f>IF(Sheet!MY31="Совсем нет / Not at all",1,IF(Sheet!MZ31="Немного / A little",2,IF(Sheet!NA31="Довольно сильно / Quite a bit",3,IF(Sheet!NB31="Очень сильно / Extremely",4,""))))</f>
        <v>2</v>
      </c>
      <c r="NC31">
        <f>IF(Sheet!NC31="Совсем нет / Not at all",1,IF(Sheet!ND31="Немного / A little",2,IF(Sheet!NE31="Довольно сильно / Quite a bit",3,IF(Sheet!NF31="Очень сильно / Extremely",4,""))))</f>
        <v>1</v>
      </c>
      <c r="NG31">
        <f>IF(Sheet!NG31="Совсем нет / Not at all",1,IF(Sheet!NH31="Немного / A little",2,IF(Sheet!NI31="Довольно сильно / Quite a bit",3,IF(Sheet!NJ31="Очень сильно / Extremely",4,""))))</f>
        <v>1</v>
      </c>
      <c r="NK31">
        <f>IF(Sheet!NK31="Совсем нет / Not at all",1,IF(Sheet!NL31="Немного / A little",2,IF(Sheet!NM31="Довольно сильно / Quite a bit",3,IF(Sheet!NN31="Очень сильно / Extremely",4,""))))</f>
        <v>3</v>
      </c>
      <c r="NO31">
        <f>IF(Sheet!NO31="Совсем нет / Not at all",1,IF(Sheet!NP31="Немного / A little",2,IF(Sheet!NQ31="Довольно сильно / Quite a bit",3,IF(Sheet!NR31="Очень сильно / Extremely",4,""))))</f>
        <v>3</v>
      </c>
      <c r="NS31">
        <f>IF(Sheet!NS31="Совсем нет / Not at all",1,IF(Sheet!NT31="Немного / A little",2,IF(Sheet!NU31="Довольно сильно / Quite a bit",3,IF(Sheet!NV31="Очень сильно / Extremely",4,""))))</f>
        <v>2</v>
      </c>
      <c r="NW31">
        <f>IF(Sheet!NW31="Совсем нет / Not at all",1,IF(Sheet!NX31="Немного / A little",2,IF(Sheet!NY31="Довольно сильно / Quite a bit",3,IF(Sheet!NZ31="Очень сильно / Extremely",4,""))))</f>
        <v>2</v>
      </c>
      <c r="OA31">
        <f>IF(Sheet!OA31="Совсем нет / Not at all",1,IF(Sheet!OB31="Немного / A little",2,IF(Sheet!OC31="Довольно сильно / Quite a bit",3,IF(Sheet!OD31="Очень сильно / Extremely",4,""))))</f>
        <v>1</v>
      </c>
      <c r="OE31">
        <f>IF(Sheet!OE31="Совсем нет / Not at all",1,IF(Sheet!OF31="Немного / A little",2,IF(Sheet!OG31="Довольно сильно / Quite a bit",3,IF(Sheet!OH31="Очень сильно / Extremely",4,""))))</f>
        <v>2</v>
      </c>
      <c r="OI31">
        <f>IF(Sheet!OI31="Совсем нет / Not at all",1,IF(Sheet!OJ31="Немного / A little",2,IF(Sheet!OK31="Довольно сильно / Quite a bit",3,IF(Sheet!OL31="Очень сильно / Extremely",4,""))))</f>
        <v>2</v>
      </c>
    </row>
    <row r="32" spans="1:399" ht="16.350000000000001">
      <c r="A32" t="str">
        <f>Sheet!A32</f>
        <v>FN001</v>
      </c>
      <c r="KR32" s="27">
        <f>SUM(KU32,KY32,LC32,LG32,LK32,LO32,LS32,LW32,MA32,ME32)/10</f>
        <v>1.9</v>
      </c>
      <c r="KS32" s="27">
        <f>SUM(MI32,MM32,MQ32,MU32,MY32,NC32,NG32,NK32,NO32,NS32,NW32,OA32,OE32,OI32)/14</f>
        <v>2.4285714285714284</v>
      </c>
      <c r="KU32">
        <f>IF(Sheet!KU32="Совсем нет / Not at all",1,IF(Sheet!KV32="Немного / A little",2,IF(Sheet!KW32="Довольно сильно / Quite a bit",3,IF(Sheet!KX32="Очень сильно / Extremely",4,""))))</f>
        <v>1</v>
      </c>
      <c r="KY32">
        <f>IF(Sheet!KY32="Совсем нет / Not at all",1,IF(Sheet!KZ32="Немного / A little",2,IF(Sheet!LA32="Довольно сильно / Quite a bit",3,IF(Sheet!LB32="Очень сильно / Extremely",4,""))))</f>
        <v>2</v>
      </c>
      <c r="LC32">
        <f>IF(Sheet!LC32="Совсем нет / Not at all",1,IF(Sheet!LD32="Немного / A little",2,IF(Sheet!LE32="Довольно сильно / Quite a bit",3,IF(Sheet!LF32="Очень сильно / Extremely",4,""))))</f>
        <v>3</v>
      </c>
      <c r="LG32">
        <f>IF(Sheet!LG32="Совсем нет / Not at all",1,IF(Sheet!LH32="Немного / A little",2,IF(Sheet!LI32="Довольно сильно / Quite a bit",3,IF(Sheet!LJ32="Очень сильно / Extremely",4,""))))</f>
        <v>2</v>
      </c>
      <c r="LK32">
        <f>IF(Sheet!LK32="Совсем нет / Not at all",1,IF(Sheet!LL32="Немного / A little",2,IF(Sheet!LM32="Довольно сильно / Quite a bit",3,IF(Sheet!LN32="Очень сильно / Extremely",4,""))))</f>
        <v>2</v>
      </c>
      <c r="LO32">
        <f>IF(Sheet!LO32="Совсем нет / Not at all",1,IF(Sheet!LP32="Немного / A little",2,IF(Sheet!LQ32="Довольно сильно / Quite a bit",3,IF(Sheet!LR32="Очень сильно / Extremely",4,""))))</f>
        <v>1</v>
      </c>
      <c r="LS32">
        <f>IF(Sheet!LS32="Совсем нет / Not at all",1,IF(Sheet!LT32="Немного / A little",2,IF(Sheet!LU32="Довольно сильно / Quite a bit",3,IF(Sheet!LV32="Очень сильно / Extremely",4,""))))</f>
        <v>3</v>
      </c>
      <c r="LW32">
        <f>IF(Sheet!LW32="Совсем нет / Not at all",1,IF(Sheet!LX32="Немного / A little",2,IF(Sheet!LY32="Довольно сильно / Quite a bit",3,IF(Sheet!LZ32="Очень сильно / Extremely",4,""))))</f>
        <v>2</v>
      </c>
      <c r="MA32">
        <f>IF(Sheet!MA32="Совсем нет / Not at all",1,IF(Sheet!MB32="Немного / A little",2,IF(Sheet!MC32="Довольно сильно / Quite a bit",3,IF(Sheet!MD32="Очень сильно / Extremely",4,""))))</f>
        <v>1</v>
      </c>
      <c r="ME32">
        <f>IF(Sheet!ME32="Совсем нет / Not at all",1,IF(Sheet!MF32="Немного / A little",2,IF(Sheet!MG32="Довольно сильно / Quite a bit",3,IF(Sheet!MH32="Очень сильно / Extremely",4,""))))</f>
        <v>2</v>
      </c>
      <c r="MI32">
        <f>IF(Sheet!MI32="Совсем нет / Not at all",1,IF(Sheet!MJ32="Немного / A little",2,IF(Sheet!MK32="Довольно сильно / Quite a bit",3,IF(Sheet!ML32="Очень сильно / Extremely",4,""))))</f>
        <v>2</v>
      </c>
      <c r="MM32">
        <f>IF(Sheet!MM32="Совсем нет / Not at all",1,IF(Sheet!MN32="Немного / A little",2,IF(Sheet!MO32="Довольно сильно / Quite a bit",3,IF(Sheet!MP32="Очень сильно / Extremely",4,""))))</f>
        <v>3</v>
      </c>
      <c r="MQ32">
        <f>IF(Sheet!MQ32="Совсем нет / Not at all",1,IF(Sheet!MR32="Немного / A little",2,IF(Sheet!MS32="Довольно сильно / Quite a bit",3,IF(Sheet!MT32="Очень сильно / Extremely",4,""))))</f>
        <v>1</v>
      </c>
      <c r="MU32">
        <f>IF(Sheet!MU32="Совсем нет / Not at all",1,IF(Sheet!MV32="Немного / A little",2,IF(Sheet!MW32="Довольно сильно / Quite a bit",3,IF(Sheet!MX32="Очень сильно / Extremely",4,""))))</f>
        <v>1</v>
      </c>
      <c r="MY32">
        <f>IF(Sheet!MY32="Совсем нет / Not at all",1,IF(Sheet!MZ32="Немного / A little",2,IF(Sheet!NA32="Довольно сильно / Quite a bit",3,IF(Sheet!NB32="Очень сильно / Extremely",4,""))))</f>
        <v>4</v>
      </c>
      <c r="NC32">
        <f>IF(Sheet!NC32="Совсем нет / Not at all",1,IF(Sheet!ND32="Немного / A little",2,IF(Sheet!NE32="Довольно сильно / Quite a bit",3,IF(Sheet!NF32="Очень сильно / Extremely",4,""))))</f>
        <v>4</v>
      </c>
      <c r="NG32">
        <f>IF(Sheet!NG32="Совсем нет / Not at all",1,IF(Sheet!NH32="Немного / A little",2,IF(Sheet!NI32="Довольно сильно / Quite a bit",3,IF(Sheet!NJ32="Очень сильно / Extremely",4,""))))</f>
        <v>2</v>
      </c>
      <c r="NK32">
        <f>IF(Sheet!NK32="Совсем нет / Not at all",1,IF(Sheet!NL32="Немного / A little",2,IF(Sheet!NM32="Довольно сильно / Quite a bit",3,IF(Sheet!NN32="Очень сильно / Extremely",4,""))))</f>
        <v>3</v>
      </c>
      <c r="NO32">
        <f>IF(Sheet!NO32="Совсем нет / Not at all",1,IF(Sheet!NP32="Немного / A little",2,IF(Sheet!NQ32="Довольно сильно / Quite a bit",3,IF(Sheet!NR32="Очень сильно / Extremely",4,""))))</f>
        <v>2</v>
      </c>
      <c r="NS32">
        <f>IF(Sheet!NS32="Совсем нет / Not at all",1,IF(Sheet!NT32="Немного / A little",2,IF(Sheet!NU32="Довольно сильно / Quite a bit",3,IF(Sheet!NV32="Очень сильно / Extremely",4,""))))</f>
        <v>1</v>
      </c>
      <c r="NW32">
        <f>IF(Sheet!NW32="Совсем нет / Not at all",1,IF(Sheet!NX32="Немного / A little",2,IF(Sheet!NY32="Довольно сильно / Quite a bit",3,IF(Sheet!NZ32="Очень сильно / Extremely",4,""))))</f>
        <v>4</v>
      </c>
      <c r="OA32">
        <f>IF(Sheet!OA32="Совсем нет / Not at all",1,IF(Sheet!OB32="Немного / A little",2,IF(Sheet!OC32="Довольно сильно / Quite a bit",3,IF(Sheet!OD32="Очень сильно / Extremely",4,""))))</f>
        <v>1</v>
      </c>
      <c r="OE32">
        <f>IF(Sheet!OE32="Совсем нет / Not at all",1,IF(Sheet!OF32="Немного / A little",2,IF(Sheet!OG32="Довольно сильно / Quite a bit",3,IF(Sheet!OH32="Очень сильно / Extremely",4,""))))</f>
        <v>2</v>
      </c>
      <c r="OI32">
        <f>IF(Sheet!OI32="Совсем нет / Not at all",1,IF(Sheet!OJ32="Немного / A little",2,IF(Sheet!OK32="Довольно сильно / Quite a bit",3,IF(Sheet!OL32="Очень сильно / Extremely",4,""))))</f>
        <v>4</v>
      </c>
    </row>
    <row r="33" spans="1:399" ht="16.350000000000001">
      <c r="A33" t="str">
        <f>Sheet!A33</f>
        <v>NI001</v>
      </c>
      <c r="KR33" s="27">
        <f>SUM(KU33,KY33,LC33,LG33,LK33,LO33,LS33,LW33,MA33,ME33)/10</f>
        <v>1.4</v>
      </c>
      <c r="KS33" s="27">
        <f>SUM(MI33,MM33,MQ33,MU33,MY33,NC33,NG33,NK33,NO33,NS33,NW33,OA33,OE33,OI33)/14</f>
        <v>2.5714285714285716</v>
      </c>
      <c r="KU33">
        <f>IF(Sheet!KU33="Совсем нет / Not at all",1,IF(Sheet!KV33="Немного / A little",2,IF(Sheet!KW33="Довольно сильно / Quite a bit",3,IF(Sheet!KX33="Очень сильно / Extremely",4,""))))</f>
        <v>1</v>
      </c>
      <c r="KY33">
        <f>IF(Sheet!KY33="Совсем нет / Not at all",1,IF(Sheet!KZ33="Немного / A little",2,IF(Sheet!LA33="Довольно сильно / Quite a bit",3,IF(Sheet!LB33="Очень сильно / Extremely",4,""))))</f>
        <v>1</v>
      </c>
      <c r="LC33">
        <f>IF(Sheet!LC33="Совсем нет / Not at all",1,IF(Sheet!LD33="Немного / A little",2,IF(Sheet!LE33="Довольно сильно / Quite a bit",3,IF(Sheet!LF33="Очень сильно / Extremely",4,""))))</f>
        <v>1</v>
      </c>
      <c r="LG33">
        <f>IF(Sheet!LG33="Совсем нет / Not at all",1,IF(Sheet!LH33="Немного / A little",2,IF(Sheet!LI33="Довольно сильно / Quite a bit",3,IF(Sheet!LJ33="Очень сильно / Extremely",4,""))))</f>
        <v>1</v>
      </c>
      <c r="LK33">
        <f>IF(Sheet!LK33="Совсем нет / Not at all",1,IF(Sheet!LL33="Немного / A little",2,IF(Sheet!LM33="Довольно сильно / Quite a bit",3,IF(Sheet!LN33="Очень сильно / Extremely",4,""))))</f>
        <v>1</v>
      </c>
      <c r="LO33">
        <f>IF(Sheet!LO33="Совсем нет / Not at all",1,IF(Sheet!LP33="Немного / A little",2,IF(Sheet!LQ33="Довольно сильно / Quite a bit",3,IF(Sheet!LR33="Очень сильно / Extremely",4,""))))</f>
        <v>1</v>
      </c>
      <c r="LS33">
        <f>IF(Sheet!LS33="Совсем нет / Not at all",1,IF(Sheet!LT33="Немного / A little",2,IF(Sheet!LU33="Довольно сильно / Quite a bit",3,IF(Sheet!LV33="Очень сильно / Extremely",4,""))))</f>
        <v>1</v>
      </c>
      <c r="LW33">
        <f>IF(Sheet!LW33="Совсем нет / Not at all",1,IF(Sheet!LX33="Немного / A little",2,IF(Sheet!LY33="Довольно сильно / Quite a bit",3,IF(Sheet!LZ33="Очень сильно / Extremely",4,""))))</f>
        <v>3</v>
      </c>
      <c r="MA33">
        <f>IF(Sheet!MA33="Совсем нет / Not at all",1,IF(Sheet!MB33="Немного / A little",2,IF(Sheet!MC33="Довольно сильно / Quite a bit",3,IF(Sheet!MD33="Очень сильно / Extremely",4,""))))</f>
        <v>2</v>
      </c>
      <c r="ME33">
        <f>IF(Sheet!ME33="Совсем нет / Not at all",1,IF(Sheet!MF33="Немного / A little",2,IF(Sheet!MG33="Довольно сильно / Quite a bit",3,IF(Sheet!MH33="Очень сильно / Extremely",4,""))))</f>
        <v>2</v>
      </c>
      <c r="MI33">
        <f>IF(Sheet!MI33="Совсем нет / Not at all",1,IF(Sheet!MJ33="Немного / A little",2,IF(Sheet!MK33="Довольно сильно / Quite a bit",3,IF(Sheet!ML33="Очень сильно / Extremely",4,""))))</f>
        <v>4</v>
      </c>
      <c r="MM33">
        <f>IF(Sheet!MM33="Совсем нет / Not at all",1,IF(Sheet!MN33="Немного / A little",2,IF(Sheet!MO33="Довольно сильно / Quite a bit",3,IF(Sheet!MP33="Очень сильно / Extremely",4,""))))</f>
        <v>3</v>
      </c>
      <c r="MQ33">
        <f>IF(Sheet!MQ33="Совсем нет / Not at all",1,IF(Sheet!MR33="Немного / A little",2,IF(Sheet!MS33="Довольно сильно / Quite a bit",3,IF(Sheet!MT33="Очень сильно / Extremely",4,""))))</f>
        <v>1</v>
      </c>
      <c r="MU33">
        <f>IF(Sheet!MU33="Совсем нет / Not at all",1,IF(Sheet!MV33="Немного / A little",2,IF(Sheet!MW33="Довольно сильно / Quite a bit",3,IF(Sheet!MX33="Очень сильно / Extremely",4,""))))</f>
        <v>3</v>
      </c>
      <c r="MY33">
        <f>IF(Sheet!MY33="Совсем нет / Not at all",1,IF(Sheet!MZ33="Немного / A little",2,IF(Sheet!NA33="Довольно сильно / Quite a bit",3,IF(Sheet!NB33="Очень сильно / Extremely",4,""))))</f>
        <v>1</v>
      </c>
      <c r="NC33">
        <f>IF(Sheet!NC33="Совсем нет / Not at all",1,IF(Sheet!ND33="Немного / A little",2,IF(Sheet!NE33="Довольно сильно / Quite a bit",3,IF(Sheet!NF33="Очень сильно / Extremely",4,""))))</f>
        <v>2</v>
      </c>
      <c r="NG33">
        <f>IF(Sheet!NG33="Совсем нет / Not at all",1,IF(Sheet!NH33="Немного / A little",2,IF(Sheet!NI33="Довольно сильно / Quite a bit",3,IF(Sheet!NJ33="Очень сильно / Extremely",4,""))))</f>
        <v>2</v>
      </c>
      <c r="NK33">
        <f>IF(Sheet!NK33="Совсем нет / Not at all",1,IF(Sheet!NL33="Немного / A little",2,IF(Sheet!NM33="Довольно сильно / Quite a bit",3,IF(Sheet!NN33="Очень сильно / Extremely",4,""))))</f>
        <v>3</v>
      </c>
      <c r="NO33">
        <f>IF(Sheet!NO33="Совсем нет / Not at all",1,IF(Sheet!NP33="Немного / A little",2,IF(Sheet!NQ33="Довольно сильно / Quite a bit",3,IF(Sheet!NR33="Очень сильно / Extremely",4,""))))</f>
        <v>2</v>
      </c>
      <c r="NS33">
        <f>IF(Sheet!NS33="Совсем нет / Not at all",1,IF(Sheet!NT33="Немного / A little",2,IF(Sheet!NU33="Довольно сильно / Quite a bit",3,IF(Sheet!NV33="Очень сильно / Extremely",4,""))))</f>
        <v>4</v>
      </c>
      <c r="NW33">
        <f>IF(Sheet!NW33="Совсем нет / Not at all",1,IF(Sheet!NX33="Немного / A little",2,IF(Sheet!NY33="Довольно сильно / Quite a bit",3,IF(Sheet!NZ33="Очень сильно / Extremely",4,""))))</f>
        <v>1</v>
      </c>
      <c r="OA33">
        <f>IF(Sheet!OA33="Совсем нет / Not at all",1,IF(Sheet!OB33="Немного / A little",2,IF(Sheet!OC33="Довольно сильно / Quite a bit",3,IF(Sheet!OD33="Очень сильно / Extremely",4,""))))</f>
        <v>3</v>
      </c>
      <c r="OE33">
        <f>IF(Sheet!OE33="Совсем нет / Not at all",1,IF(Sheet!OF33="Немного / A little",2,IF(Sheet!OG33="Довольно сильно / Quite a bit",3,IF(Sheet!OH33="Очень сильно / Extremely",4,""))))</f>
        <v>4</v>
      </c>
      <c r="OI33">
        <f>IF(Sheet!OI33="Совсем нет / Not at all",1,IF(Sheet!OJ33="Немного / A little",2,IF(Sheet!OK33="Довольно сильно / Quite a bit",3,IF(Sheet!OL33="Очень сильно / Extremely",4,""))))</f>
        <v>3</v>
      </c>
    </row>
    <row r="34" spans="1:399" ht="16.350000000000001">
      <c r="A34" t="str">
        <f>Sheet!A34</f>
        <v>EE001</v>
      </c>
      <c r="KR34" s="27">
        <f>SUM(KU34,KY34,LC34,LG34,LK34,LO34,LS34,LW34,MA34,ME34)/10</f>
        <v>3.5</v>
      </c>
      <c r="KS34" s="27">
        <f>SUM(MI34,MM34,MQ34,MU34,MY34,NC34,NG34,NK34,NO34,NS34,NW34,OA34,OE34,OI34)/14</f>
        <v>2.9285714285714284</v>
      </c>
      <c r="KU34">
        <f>IF(Sheet!KU34="Совсем нет / Not at all",1,IF(Sheet!KV34="Немного / A little",2,IF(Sheet!KW34="Довольно сильно / Quite a bit",3,IF(Sheet!KX34="Очень сильно / Extremely",4,""))))</f>
        <v>4</v>
      </c>
      <c r="KY34">
        <f>IF(Sheet!KY34="Совсем нет / Not at all",1,IF(Sheet!KZ34="Немного / A little",2,IF(Sheet!LA34="Довольно сильно / Quite a bit",3,IF(Sheet!LB34="Очень сильно / Extremely",4,""))))</f>
        <v>4</v>
      </c>
      <c r="LC34">
        <f>IF(Sheet!LC34="Совсем нет / Not at all",1,IF(Sheet!LD34="Немного / A little",2,IF(Sheet!LE34="Довольно сильно / Quite a bit",3,IF(Sheet!LF34="Очень сильно / Extremely",4,""))))</f>
        <v>3</v>
      </c>
      <c r="LG34">
        <f>IF(Sheet!LG34="Совсем нет / Not at all",1,IF(Sheet!LH34="Немного / A little",2,IF(Sheet!LI34="Довольно сильно / Quite a bit",3,IF(Sheet!LJ34="Очень сильно / Extremely",4,""))))</f>
        <v>4</v>
      </c>
      <c r="LK34">
        <f>IF(Sheet!LK34="Совсем нет / Not at all",1,IF(Sheet!LL34="Немного / A little",2,IF(Sheet!LM34="Довольно сильно / Quite a bit",3,IF(Sheet!LN34="Очень сильно / Extremely",4,""))))</f>
        <v>4</v>
      </c>
      <c r="LO34">
        <f>IF(Sheet!LO34="Совсем нет / Not at all",1,IF(Sheet!LP34="Немного / A little",2,IF(Sheet!LQ34="Довольно сильно / Quite a bit",3,IF(Sheet!LR34="Очень сильно / Extremely",4,""))))</f>
        <v>2</v>
      </c>
      <c r="LS34">
        <f>IF(Sheet!LS34="Совсем нет / Not at all",1,IF(Sheet!LT34="Немного / A little",2,IF(Sheet!LU34="Довольно сильно / Quite a bit",3,IF(Sheet!LV34="Очень сильно / Extremely",4,""))))</f>
        <v>4</v>
      </c>
      <c r="LW34">
        <f>IF(Sheet!LW34="Совсем нет / Not at all",1,IF(Sheet!LX34="Немного / A little",2,IF(Sheet!LY34="Довольно сильно / Quite a bit",3,IF(Sheet!LZ34="Очень сильно / Extremely",4,""))))</f>
        <v>4</v>
      </c>
      <c r="MA34">
        <f>IF(Sheet!MA34="Совсем нет / Not at all",1,IF(Sheet!MB34="Немного / A little",2,IF(Sheet!MC34="Довольно сильно / Quite a bit",3,IF(Sheet!MD34="Очень сильно / Extremely",4,""))))</f>
        <v>2</v>
      </c>
      <c r="ME34">
        <f>IF(Sheet!ME34="Совсем нет / Not at all",1,IF(Sheet!MF34="Немного / A little",2,IF(Sheet!MG34="Довольно сильно / Quite a bit",3,IF(Sheet!MH34="Очень сильно / Extremely",4,""))))</f>
        <v>4</v>
      </c>
      <c r="MI34">
        <f>IF(Sheet!MI34="Совсем нет / Not at all",1,IF(Sheet!MJ34="Немного / A little",2,IF(Sheet!MK34="Довольно сильно / Quite a bit",3,IF(Sheet!ML34="Очень сильно / Extremely",4,""))))</f>
        <v>4</v>
      </c>
      <c r="MM34">
        <f>IF(Sheet!MM34="Совсем нет / Not at all",1,IF(Sheet!MN34="Немного / A little",2,IF(Sheet!MO34="Довольно сильно / Quite a bit",3,IF(Sheet!MP34="Очень сильно / Extremely",4,""))))</f>
        <v>3</v>
      </c>
      <c r="MQ34">
        <f>IF(Sheet!MQ34="Совсем нет / Not at all",1,IF(Sheet!MR34="Немного / A little",2,IF(Sheet!MS34="Довольно сильно / Quite a bit",3,IF(Sheet!MT34="Очень сильно / Extremely",4,""))))</f>
        <v>4</v>
      </c>
      <c r="MU34">
        <f>IF(Sheet!MU34="Совсем нет / Not at all",1,IF(Sheet!MV34="Немного / A little",2,IF(Sheet!MW34="Довольно сильно / Quite a bit",3,IF(Sheet!MX34="Очень сильно / Extremely",4,""))))</f>
        <v>1</v>
      </c>
      <c r="MY34">
        <f>IF(Sheet!MY34="Совсем нет / Not at all",1,IF(Sheet!MZ34="Немного / A little",2,IF(Sheet!NA34="Довольно сильно / Quite a bit",3,IF(Sheet!NB34="Очень сильно / Extremely",4,""))))</f>
        <v>1</v>
      </c>
      <c r="NC34">
        <f>IF(Sheet!NC34="Совсем нет / Not at all",1,IF(Sheet!ND34="Немного / A little",2,IF(Sheet!NE34="Довольно сильно / Quite a bit",3,IF(Sheet!NF34="Очень сильно / Extremely",4,""))))</f>
        <v>4</v>
      </c>
      <c r="NG34">
        <f>IF(Sheet!NG34="Совсем нет / Not at all",1,IF(Sheet!NH34="Немного / A little",2,IF(Sheet!NI34="Довольно сильно / Quite a bit",3,IF(Sheet!NJ34="Очень сильно / Extremely",4,""))))</f>
        <v>2</v>
      </c>
      <c r="NK34">
        <f>IF(Sheet!NK34="Совсем нет / Not at all",1,IF(Sheet!NL34="Немного / A little",2,IF(Sheet!NM34="Довольно сильно / Quite a bit",3,IF(Sheet!NN34="Очень сильно / Extremely",4,""))))</f>
        <v>3</v>
      </c>
      <c r="NO34">
        <f>IF(Sheet!NO34="Совсем нет / Not at all",1,IF(Sheet!NP34="Немного / A little",2,IF(Sheet!NQ34="Довольно сильно / Quite a bit",3,IF(Sheet!NR34="Очень сильно / Extremely",4,""))))</f>
        <v>2</v>
      </c>
      <c r="NS34">
        <f>IF(Sheet!NS34="Совсем нет / Not at all",1,IF(Sheet!NT34="Немного / A little",2,IF(Sheet!NU34="Довольно сильно / Quite a bit",3,IF(Sheet!NV34="Очень сильно / Extremely",4,""))))</f>
        <v>2</v>
      </c>
      <c r="NW34">
        <f>IF(Sheet!NW34="Совсем нет / Not at all",1,IF(Sheet!NX34="Немного / A little",2,IF(Sheet!NY34="Довольно сильно / Quite a bit",3,IF(Sheet!NZ34="Очень сильно / Extremely",4,""))))</f>
        <v>3</v>
      </c>
      <c r="OA34">
        <f>IF(Sheet!OA34="Совсем нет / Not at all",1,IF(Sheet!OB34="Немного / A little",2,IF(Sheet!OC34="Довольно сильно / Quite a bit",3,IF(Sheet!OD34="Очень сильно / Extremely",4,""))))</f>
        <v>4</v>
      </c>
      <c r="OE34">
        <f>IF(Sheet!OE34="Совсем нет / Not at all",1,IF(Sheet!OF34="Немного / A little",2,IF(Sheet!OG34="Довольно сильно / Quite a bit",3,IF(Sheet!OH34="Очень сильно / Extremely",4,""))))</f>
        <v>4</v>
      </c>
      <c r="OI34">
        <f>IF(Sheet!OI34="Совсем нет / Not at all",1,IF(Sheet!OJ34="Немного / A little",2,IF(Sheet!OK34="Довольно сильно / Quite a bit",3,IF(Sheet!OL34="Очень сильно / Extremely",4,""))))</f>
        <v>4</v>
      </c>
    </row>
    <row r="35" spans="1:399" ht="16.350000000000001">
      <c r="A35" t="str">
        <f>Sheet!A35</f>
        <v>OM001</v>
      </c>
      <c r="KR35" s="27">
        <f>SUM(KU35,KY35,LC35,LG35,LK35,LO35,LS35,LW35,MA35,ME35)/10</f>
        <v>1.5</v>
      </c>
      <c r="KS35" s="27">
        <f>SUM(MI35,MM35,MQ35,MU35,MY35,NC35,NG35,NK35,NO35,NS35,NW35,OA35,OE35,OI35)/14</f>
        <v>1.8571428571428572</v>
      </c>
      <c r="KU35">
        <f>IF(Sheet!KU35="Совсем нет / Not at all",1,IF(Sheet!KV35="Немного / A little",2,IF(Sheet!KW35="Довольно сильно / Quite a bit",3,IF(Sheet!KX35="Очень сильно / Extremely",4,""))))</f>
        <v>1</v>
      </c>
      <c r="KY35">
        <f>IF(Sheet!KY35="Совсем нет / Not at all",1,IF(Sheet!KZ35="Немного / A little",2,IF(Sheet!LA35="Довольно сильно / Quite a bit",3,IF(Sheet!LB35="Очень сильно / Extremely",4,""))))</f>
        <v>2</v>
      </c>
      <c r="LC35">
        <f>IF(Sheet!LC35="Совсем нет / Not at all",1,IF(Sheet!LD35="Немного / A little",2,IF(Sheet!LE35="Довольно сильно / Quite a bit",3,IF(Sheet!LF35="Очень сильно / Extremely",4,""))))</f>
        <v>1</v>
      </c>
      <c r="LG35">
        <f>IF(Sheet!LG35="Совсем нет / Not at all",1,IF(Sheet!LH35="Немного / A little",2,IF(Sheet!LI35="Довольно сильно / Quite a bit",3,IF(Sheet!LJ35="Очень сильно / Extremely",4,""))))</f>
        <v>2</v>
      </c>
      <c r="LK35">
        <f>IF(Sheet!LK35="Совсем нет / Not at all",1,IF(Sheet!LL35="Немного / A little",2,IF(Sheet!LM35="Довольно сильно / Quite a bit",3,IF(Sheet!LN35="Очень сильно / Extremely",4,""))))</f>
        <v>1</v>
      </c>
      <c r="LO35">
        <f>IF(Sheet!LO35="Совсем нет / Not at all",1,IF(Sheet!LP35="Немного / A little",2,IF(Sheet!LQ35="Довольно сильно / Quite a bit",3,IF(Sheet!LR35="Очень сильно / Extremely",4,""))))</f>
        <v>1</v>
      </c>
      <c r="LS35">
        <f>IF(Sheet!LS35="Совсем нет / Not at all",1,IF(Sheet!LT35="Немного / A little",2,IF(Sheet!LU35="Довольно сильно / Quite a bit",3,IF(Sheet!LV35="Очень сильно / Extremely",4,""))))</f>
        <v>2</v>
      </c>
      <c r="LW35">
        <f>IF(Sheet!LW35="Совсем нет / Not at all",1,IF(Sheet!LX35="Немного / A little",2,IF(Sheet!LY35="Довольно сильно / Quite a bit",3,IF(Sheet!LZ35="Очень сильно / Extremely",4,""))))</f>
        <v>2</v>
      </c>
      <c r="MA35">
        <f>IF(Sheet!MA35="Совсем нет / Not at all",1,IF(Sheet!MB35="Немного / A little",2,IF(Sheet!MC35="Довольно сильно / Quite a bit",3,IF(Sheet!MD35="Очень сильно / Extremely",4,""))))</f>
        <v>1</v>
      </c>
      <c r="ME35">
        <f>IF(Sheet!ME35="Совсем нет / Not at all",1,IF(Sheet!MF35="Немного / A little",2,IF(Sheet!MG35="Довольно сильно / Quite a bit",3,IF(Sheet!MH35="Очень сильно / Extremely",4,""))))</f>
        <v>2</v>
      </c>
      <c r="MI35">
        <f>IF(Sheet!MI35="Совсем нет / Not at all",1,IF(Sheet!MJ35="Немного / A little",2,IF(Sheet!MK35="Довольно сильно / Quite a bit",3,IF(Sheet!ML35="Очень сильно / Extremely",4,""))))</f>
        <v>2</v>
      </c>
      <c r="MM35">
        <f>IF(Sheet!MM35="Совсем нет / Not at all",1,IF(Sheet!MN35="Немного / A little",2,IF(Sheet!MO35="Довольно сильно / Quite a bit",3,IF(Sheet!MP35="Очень сильно / Extremely",4,""))))</f>
        <v>3</v>
      </c>
      <c r="MQ35">
        <f>IF(Sheet!MQ35="Совсем нет / Not at all",1,IF(Sheet!MR35="Немного / A little",2,IF(Sheet!MS35="Довольно сильно / Quite a bit",3,IF(Sheet!MT35="Очень сильно / Extremely",4,""))))</f>
        <v>2</v>
      </c>
      <c r="MU35">
        <f>IF(Sheet!MU35="Совсем нет / Not at all",1,IF(Sheet!MV35="Немного / A little",2,IF(Sheet!MW35="Довольно сильно / Quite a bit",3,IF(Sheet!MX35="Очень сильно / Extremely",4,""))))</f>
        <v>2</v>
      </c>
      <c r="MY35">
        <f>IF(Sheet!MY35="Совсем нет / Not at all",1,IF(Sheet!MZ35="Немного / A little",2,IF(Sheet!NA35="Довольно сильно / Quite a bit",3,IF(Sheet!NB35="Очень сильно / Extremely",4,""))))</f>
        <v>1</v>
      </c>
      <c r="NC35">
        <f>IF(Sheet!NC35="Совсем нет / Not at all",1,IF(Sheet!ND35="Немного / A little",2,IF(Sheet!NE35="Довольно сильно / Quite a bit",3,IF(Sheet!NF35="Очень сильно / Extremely",4,""))))</f>
        <v>2</v>
      </c>
      <c r="NG35">
        <f>IF(Sheet!NG35="Совсем нет / Not at all",1,IF(Sheet!NH35="Немного / A little",2,IF(Sheet!NI35="Довольно сильно / Quite a bit",3,IF(Sheet!NJ35="Очень сильно / Extremely",4,""))))</f>
        <v>2</v>
      </c>
      <c r="NK35">
        <f>IF(Sheet!NK35="Совсем нет / Not at all",1,IF(Sheet!NL35="Немного / A little",2,IF(Sheet!NM35="Довольно сильно / Quite a bit",3,IF(Sheet!NN35="Очень сильно / Extremely",4,""))))</f>
        <v>2</v>
      </c>
      <c r="NO35">
        <f>IF(Sheet!NO35="Совсем нет / Not at all",1,IF(Sheet!NP35="Немного / A little",2,IF(Sheet!NQ35="Довольно сильно / Quite a bit",3,IF(Sheet!NR35="Очень сильно / Extremely",4,""))))</f>
        <v>2</v>
      </c>
      <c r="NS35">
        <f>IF(Sheet!NS35="Совсем нет / Not at all",1,IF(Sheet!NT35="Немного / A little",2,IF(Sheet!NU35="Довольно сильно / Quite a bit",3,IF(Sheet!NV35="Очень сильно / Extremely",4,""))))</f>
        <v>1</v>
      </c>
      <c r="NW35">
        <f>IF(Sheet!NW35="Совсем нет / Not at all",1,IF(Sheet!NX35="Немного / A little",2,IF(Sheet!NY35="Довольно сильно / Quite a bit",3,IF(Sheet!NZ35="Очень сильно / Extremely",4,""))))</f>
        <v>2</v>
      </c>
      <c r="OA35">
        <f>IF(Sheet!OA35="Совсем нет / Not at all",1,IF(Sheet!OB35="Немного / A little",2,IF(Sheet!OC35="Довольно сильно / Quite a bit",3,IF(Sheet!OD35="Очень сильно / Extremely",4,""))))</f>
        <v>1</v>
      </c>
      <c r="OE35">
        <f>IF(Sheet!OE35="Совсем нет / Not at all",1,IF(Sheet!OF35="Немного / A little",2,IF(Sheet!OG35="Довольно сильно / Quite a bit",3,IF(Sheet!OH35="Очень сильно / Extremely",4,""))))</f>
        <v>2</v>
      </c>
      <c r="OI35">
        <f>IF(Sheet!OI35="Совсем нет / Not at all",1,IF(Sheet!OJ35="Немного / A little",2,IF(Sheet!OK35="Довольно сильно / Quite a bit",3,IF(Sheet!OL35="Очень сильно / Extremely",4,""))))</f>
        <v>2</v>
      </c>
    </row>
    <row r="36" spans="1:399" ht="16.350000000000001">
      <c r="A36" t="str">
        <f>Sheet!A36</f>
        <v>MT001</v>
      </c>
      <c r="KR36" s="27">
        <f>SUM(KU36,KY36,LC36,LG36,LK36,LO36,LS36,LW36,MA36,ME36)/10</f>
        <v>1.6</v>
      </c>
      <c r="KS36" s="27">
        <f>SUM(MI36,MM36,MQ36,MU36,MY36,NC36,NG36,NK36,NO36,NS36,NW36,OA36,OE36,OI36)/14</f>
        <v>2.2142857142857144</v>
      </c>
      <c r="KU36">
        <f>IF(Sheet!KU36="Совсем нет / Not at all",1,IF(Sheet!KV36="Немного / A little",2,IF(Sheet!KW36="Довольно сильно / Quite a bit",3,IF(Sheet!KX36="Очень сильно / Extremely",4,""))))</f>
        <v>1</v>
      </c>
      <c r="KY36">
        <f>IF(Sheet!KY36="Совсем нет / Not at all",1,IF(Sheet!KZ36="Немного / A little",2,IF(Sheet!LA36="Довольно сильно / Quite a bit",3,IF(Sheet!LB36="Очень сильно / Extremely",4,""))))</f>
        <v>1</v>
      </c>
      <c r="LC36">
        <f>IF(Sheet!LC36="Совсем нет / Not at all",1,IF(Sheet!LD36="Немного / A little",2,IF(Sheet!LE36="Довольно сильно / Quite a bit",3,IF(Sheet!LF36="Очень сильно / Extremely",4,""))))</f>
        <v>1</v>
      </c>
      <c r="LG36">
        <f>IF(Sheet!LG36="Совсем нет / Not at all",1,IF(Sheet!LH36="Немного / A little",2,IF(Sheet!LI36="Довольно сильно / Quite a bit",3,IF(Sheet!LJ36="Очень сильно / Extremely",4,""))))</f>
        <v>2</v>
      </c>
      <c r="LK36">
        <f>IF(Sheet!LK36="Совсем нет / Not at all",1,IF(Sheet!LL36="Немного / A little",2,IF(Sheet!LM36="Довольно сильно / Quite a bit",3,IF(Sheet!LN36="Очень сильно / Extremely",4,""))))</f>
        <v>2</v>
      </c>
      <c r="LO36">
        <f>IF(Sheet!LO36="Совсем нет / Not at all",1,IF(Sheet!LP36="Немного / A little",2,IF(Sheet!LQ36="Довольно сильно / Quite a bit",3,IF(Sheet!LR36="Очень сильно / Extremely",4,""))))</f>
        <v>1</v>
      </c>
      <c r="LS36">
        <f>IF(Sheet!LS36="Совсем нет / Not at all",1,IF(Sheet!LT36="Немного / A little",2,IF(Sheet!LU36="Довольно сильно / Quite a bit",3,IF(Sheet!LV36="Очень сильно / Extremely",4,""))))</f>
        <v>2</v>
      </c>
      <c r="LW36">
        <f>IF(Sheet!LW36="Совсем нет / Not at all",1,IF(Sheet!LX36="Немного / A little",2,IF(Sheet!LY36="Довольно сильно / Quite a bit",3,IF(Sheet!LZ36="Очень сильно / Extremely",4,""))))</f>
        <v>2</v>
      </c>
      <c r="MA36">
        <f>IF(Sheet!MA36="Совсем нет / Not at all",1,IF(Sheet!MB36="Немного / A little",2,IF(Sheet!MC36="Довольно сильно / Quite a bit",3,IF(Sheet!MD36="Очень сильно / Extremely",4,""))))</f>
        <v>2</v>
      </c>
      <c r="ME36">
        <f>IF(Sheet!ME36="Совсем нет / Not at all",1,IF(Sheet!MF36="Немного / A little",2,IF(Sheet!MG36="Довольно сильно / Quite a bit",3,IF(Sheet!MH36="Очень сильно / Extremely",4,""))))</f>
        <v>2</v>
      </c>
      <c r="MI36">
        <f>IF(Sheet!MI36="Совсем нет / Not at all",1,IF(Sheet!MJ36="Немного / A little",2,IF(Sheet!MK36="Довольно сильно / Quite a bit",3,IF(Sheet!ML36="Очень сильно / Extremely",4,""))))</f>
        <v>2</v>
      </c>
      <c r="MM36">
        <f>IF(Sheet!MM36="Совсем нет / Not at all",1,IF(Sheet!MN36="Немного / A little",2,IF(Sheet!MO36="Довольно сильно / Quite a bit",3,IF(Sheet!MP36="Очень сильно / Extremely",4,""))))</f>
        <v>3</v>
      </c>
      <c r="MQ36">
        <f>IF(Sheet!MQ36="Совсем нет / Not at all",1,IF(Sheet!MR36="Немного / A little",2,IF(Sheet!MS36="Довольно сильно / Quite a bit",3,IF(Sheet!MT36="Очень сильно / Extremely",4,""))))</f>
        <v>3</v>
      </c>
      <c r="MU36">
        <f>IF(Sheet!MU36="Совсем нет / Not at all",1,IF(Sheet!MV36="Немного / A little",2,IF(Sheet!MW36="Довольно сильно / Quite a bit",3,IF(Sheet!MX36="Очень сильно / Extremely",4,""))))</f>
        <v>3</v>
      </c>
      <c r="MY36">
        <f>IF(Sheet!MY36="Совсем нет / Not at all",1,IF(Sheet!MZ36="Немного / A little",2,IF(Sheet!NA36="Довольно сильно / Quite a bit",3,IF(Sheet!NB36="Очень сильно / Extremely",4,""))))</f>
        <v>1</v>
      </c>
      <c r="NC36">
        <f>IF(Sheet!NC36="Совсем нет / Not at all",1,IF(Sheet!ND36="Немного / A little",2,IF(Sheet!NE36="Довольно сильно / Quite a bit",3,IF(Sheet!NF36="Очень сильно / Extremely",4,""))))</f>
        <v>1</v>
      </c>
      <c r="NG36">
        <f>IF(Sheet!NG36="Совсем нет / Not at all",1,IF(Sheet!NH36="Немного / A little",2,IF(Sheet!NI36="Довольно сильно / Quite a bit",3,IF(Sheet!NJ36="Очень сильно / Extremely",4,""))))</f>
        <v>2</v>
      </c>
      <c r="NK36">
        <f>IF(Sheet!NK36="Совсем нет / Not at all",1,IF(Sheet!NL36="Немного / A little",2,IF(Sheet!NM36="Довольно сильно / Quite a bit",3,IF(Sheet!NN36="Очень сильно / Extremely",4,""))))</f>
        <v>2</v>
      </c>
      <c r="NO36">
        <f>IF(Sheet!NO36="Совсем нет / Not at all",1,IF(Sheet!NP36="Немного / A little",2,IF(Sheet!NQ36="Довольно сильно / Quite a bit",3,IF(Sheet!NR36="Очень сильно / Extremely",4,""))))</f>
        <v>2</v>
      </c>
      <c r="NS36">
        <f>IF(Sheet!NS36="Совсем нет / Not at all",1,IF(Sheet!NT36="Немного / A little",2,IF(Sheet!NU36="Довольно сильно / Quite a bit",3,IF(Sheet!NV36="Очень сильно / Extremely",4,""))))</f>
        <v>2</v>
      </c>
      <c r="NW36">
        <f>IF(Sheet!NW36="Совсем нет / Not at all",1,IF(Sheet!NX36="Немного / A little",2,IF(Sheet!NY36="Довольно сильно / Quite a bit",3,IF(Sheet!NZ36="Очень сильно / Extremely",4,""))))</f>
        <v>3</v>
      </c>
      <c r="OA36">
        <f>IF(Sheet!OA36="Совсем нет / Not at all",1,IF(Sheet!OB36="Немного / A little",2,IF(Sheet!OC36="Довольно сильно / Quite a bit",3,IF(Sheet!OD36="Очень сильно / Extremely",4,""))))</f>
        <v>2</v>
      </c>
      <c r="OE36">
        <f>IF(Sheet!OE36="Совсем нет / Not at all",1,IF(Sheet!OF36="Немного / A little",2,IF(Sheet!OG36="Довольно сильно / Quite a bit",3,IF(Sheet!OH36="Очень сильно / Extremely",4,""))))</f>
        <v>3</v>
      </c>
      <c r="OI36">
        <f>IF(Sheet!OI36="Совсем нет / Not at all",1,IF(Sheet!OJ36="Немного / A little",2,IF(Sheet!OK36="Довольно сильно / Quite a bit",3,IF(Sheet!OL36="Очень сильно / Extremely",4,""))))</f>
        <v>2</v>
      </c>
    </row>
    <row r="37" spans="1:399" ht="16.350000000000001">
      <c r="A37" t="str">
        <f>Sheet!A37</f>
        <v>LO001</v>
      </c>
      <c r="KR37" s="27">
        <f>SUM(KU37,KY37,LC37,LG37,LK37,LO37,LS37,LW37,MA37,ME37)/10</f>
        <v>1.7</v>
      </c>
      <c r="KS37" s="27">
        <f>SUM(MI37,MM37,MQ37,MU37,MY37,NC37,NG37,NK37,NO37,NS37,NW37,OA37,OE37,OI37)/14</f>
        <v>1.8571428571428572</v>
      </c>
      <c r="KU37">
        <f>IF(Sheet!KU37="Совсем нет / Not at all",1,IF(Sheet!KV37="Немного / A little",2,IF(Sheet!KW37="Довольно сильно / Quite a bit",3,IF(Sheet!KX37="Очень сильно / Extremely",4,""))))</f>
        <v>2</v>
      </c>
      <c r="KY37">
        <f>IF(Sheet!KY37="Совсем нет / Not at all",1,IF(Sheet!KZ37="Немного / A little",2,IF(Sheet!LA37="Довольно сильно / Quite a bit",3,IF(Sheet!LB37="Очень сильно / Extremely",4,""))))</f>
        <v>2</v>
      </c>
      <c r="LC37">
        <f>IF(Sheet!LC37="Совсем нет / Not at all",1,IF(Sheet!LD37="Немного / A little",2,IF(Sheet!LE37="Довольно сильно / Quite a bit",3,IF(Sheet!LF37="Очень сильно / Extremely",4,""))))</f>
        <v>1</v>
      </c>
      <c r="LG37">
        <f>IF(Sheet!LG37="Совсем нет / Not at all",1,IF(Sheet!LH37="Немного / A little",2,IF(Sheet!LI37="Довольно сильно / Quite a bit",3,IF(Sheet!LJ37="Очень сильно / Extremely",4,""))))</f>
        <v>3</v>
      </c>
      <c r="LK37">
        <f>IF(Sheet!LK37="Совсем нет / Not at all",1,IF(Sheet!LL37="Немного / A little",2,IF(Sheet!LM37="Довольно сильно / Quite a bit",3,IF(Sheet!LN37="Очень сильно / Extremely",4,""))))</f>
        <v>1</v>
      </c>
      <c r="LO37">
        <f>IF(Sheet!LO37="Совсем нет / Not at all",1,IF(Sheet!LP37="Немного / A little",2,IF(Sheet!LQ37="Довольно сильно / Quite a bit",3,IF(Sheet!LR37="Очень сильно / Extremely",4,""))))</f>
        <v>1</v>
      </c>
      <c r="LS37">
        <f>IF(Sheet!LS37="Совсем нет / Not at all",1,IF(Sheet!LT37="Немного / A little",2,IF(Sheet!LU37="Довольно сильно / Quite a bit",3,IF(Sheet!LV37="Очень сильно / Extremely",4,""))))</f>
        <v>3</v>
      </c>
      <c r="LW37">
        <f>IF(Sheet!LW37="Совсем нет / Not at all",1,IF(Sheet!LX37="Немного / A little",2,IF(Sheet!LY37="Довольно сильно / Quite a bit",3,IF(Sheet!LZ37="Очень сильно / Extremely",4,""))))</f>
        <v>1</v>
      </c>
      <c r="MA37">
        <f>IF(Sheet!MA37="Совсем нет / Not at all",1,IF(Sheet!MB37="Немного / A little",2,IF(Sheet!MC37="Довольно сильно / Quite a bit",3,IF(Sheet!MD37="Очень сильно / Extremely",4,""))))</f>
        <v>1</v>
      </c>
      <c r="ME37">
        <f>IF(Sheet!ME37="Совсем нет / Not at all",1,IF(Sheet!MF37="Немного / A little",2,IF(Sheet!MG37="Довольно сильно / Quite a bit",3,IF(Sheet!MH37="Очень сильно / Extremely",4,""))))</f>
        <v>2</v>
      </c>
      <c r="MI37">
        <f>IF(Sheet!MI37="Совсем нет / Not at all",1,IF(Sheet!MJ37="Немного / A little",2,IF(Sheet!MK37="Довольно сильно / Quite a bit",3,IF(Sheet!ML37="Очень сильно / Extremely",4,""))))</f>
        <v>1</v>
      </c>
      <c r="MM37">
        <f>IF(Sheet!MM37="Совсем нет / Not at all",1,IF(Sheet!MN37="Немного / A little",2,IF(Sheet!MO37="Довольно сильно / Quite a bit",3,IF(Sheet!MP37="Очень сильно / Extremely",4,""))))</f>
        <v>1</v>
      </c>
      <c r="MQ37">
        <f>IF(Sheet!MQ37="Совсем нет / Not at all",1,IF(Sheet!MR37="Немного / A little",2,IF(Sheet!MS37="Довольно сильно / Quite a bit",3,IF(Sheet!MT37="Очень сильно / Extremely",4,""))))</f>
        <v>1</v>
      </c>
      <c r="MU37">
        <f>IF(Sheet!MU37="Совсем нет / Not at all",1,IF(Sheet!MV37="Немного / A little",2,IF(Sheet!MW37="Довольно сильно / Quite a bit",3,IF(Sheet!MX37="Очень сильно / Extremely",4,""))))</f>
        <v>1</v>
      </c>
      <c r="MY37">
        <f>IF(Sheet!MY37="Совсем нет / Not at all",1,IF(Sheet!MZ37="Немного / A little",2,IF(Sheet!NA37="Довольно сильно / Quite a bit",3,IF(Sheet!NB37="Очень сильно / Extremely",4,""))))</f>
        <v>2</v>
      </c>
      <c r="NC37">
        <f>IF(Sheet!NC37="Совсем нет / Not at all",1,IF(Sheet!ND37="Немного / A little",2,IF(Sheet!NE37="Довольно сильно / Quite a bit",3,IF(Sheet!NF37="Очень сильно / Extremely",4,""))))</f>
        <v>3</v>
      </c>
      <c r="NG37">
        <f>IF(Sheet!NG37="Совсем нет / Not at all",1,IF(Sheet!NH37="Немного / A little",2,IF(Sheet!NI37="Довольно сильно / Quite a bit",3,IF(Sheet!NJ37="Очень сильно / Extremely",4,""))))</f>
        <v>4</v>
      </c>
      <c r="NK37">
        <f>IF(Sheet!NK37="Совсем нет / Not at all",1,IF(Sheet!NL37="Немного / A little",2,IF(Sheet!NM37="Довольно сильно / Quite a bit",3,IF(Sheet!NN37="Очень сильно / Extremely",4,""))))</f>
        <v>2</v>
      </c>
      <c r="NO37">
        <f>IF(Sheet!NO37="Совсем нет / Not at all",1,IF(Sheet!NP37="Немного / A little",2,IF(Sheet!NQ37="Довольно сильно / Quite a bit",3,IF(Sheet!NR37="Очень сильно / Extremely",4,""))))</f>
        <v>2</v>
      </c>
      <c r="NS37">
        <f>IF(Sheet!NS37="Совсем нет / Not at all",1,IF(Sheet!NT37="Немного / A little",2,IF(Sheet!NU37="Довольно сильно / Quite a bit",3,IF(Sheet!NV37="Очень сильно / Extremely",4,""))))</f>
        <v>1</v>
      </c>
      <c r="NW37">
        <f>IF(Sheet!NW37="Совсем нет / Not at all",1,IF(Sheet!NX37="Немного / A little",2,IF(Sheet!NY37="Довольно сильно / Quite a bit",3,IF(Sheet!NZ37="Очень сильно / Extremely",4,""))))</f>
        <v>3</v>
      </c>
      <c r="OA37">
        <f>IF(Sheet!OA37="Совсем нет / Not at all",1,IF(Sheet!OB37="Немного / A little",2,IF(Sheet!OC37="Довольно сильно / Quite a bit",3,IF(Sheet!OD37="Очень сильно / Extremely",4,""))))</f>
        <v>1</v>
      </c>
      <c r="OE37">
        <f>IF(Sheet!OE37="Совсем нет / Not at all",1,IF(Sheet!OF37="Немного / A little",2,IF(Sheet!OG37="Довольно сильно / Quite a bit",3,IF(Sheet!OH37="Очень сильно / Extremely",4,""))))</f>
        <v>2</v>
      </c>
      <c r="OI37">
        <f>IF(Sheet!OI37="Совсем нет / Not at all",1,IF(Sheet!OJ37="Немного / A little",2,IF(Sheet!OK37="Довольно сильно / Quite a bit",3,IF(Sheet!OL37="Очень сильно / Extremely",4,""))))</f>
        <v>2</v>
      </c>
    </row>
    <row r="38" spans="1:399" ht="16.350000000000001">
      <c r="A38" t="str">
        <f>Sheet!A38</f>
        <v>DA001</v>
      </c>
      <c r="KR38" s="27">
        <f>SUM(KU38,KY38,LC38,LG38,LK38,LO38,LS38,LW38,MA38,ME38)/10</f>
        <v>1.6</v>
      </c>
      <c r="KS38" s="27">
        <f>SUM(MI38,MM38,MQ38,MU38,MY38,NC38,NG38,NK38,NO38,NS38,NW38,OA38,OE38,OI38)/14</f>
        <v>2.0714285714285716</v>
      </c>
      <c r="KU38">
        <f>IF(Sheet!KU38="Совсем нет / Not at all",1,IF(Sheet!KV38="Немного / A little",2,IF(Sheet!KW38="Довольно сильно / Quite a bit",3,IF(Sheet!KX38="Очень сильно / Extremely",4,""))))</f>
        <v>2</v>
      </c>
      <c r="KY38">
        <f>IF(Sheet!KY38="Совсем нет / Not at all",1,IF(Sheet!KZ38="Немного / A little",2,IF(Sheet!LA38="Довольно сильно / Quite a bit",3,IF(Sheet!LB38="Очень сильно / Extremely",4,""))))</f>
        <v>2</v>
      </c>
      <c r="LC38">
        <f>IF(Sheet!LC38="Совсем нет / Not at all",1,IF(Sheet!LD38="Немного / A little",2,IF(Sheet!LE38="Довольно сильно / Quite a bit",3,IF(Sheet!LF38="Очень сильно / Extremely",4,""))))</f>
        <v>1</v>
      </c>
      <c r="LG38">
        <f>IF(Sheet!LG38="Совсем нет / Not at all",1,IF(Sheet!LH38="Немного / A little",2,IF(Sheet!LI38="Довольно сильно / Quite a bit",3,IF(Sheet!LJ38="Очень сильно / Extremely",4,""))))</f>
        <v>1</v>
      </c>
      <c r="LK38">
        <f>IF(Sheet!LK38="Совсем нет / Not at all",1,IF(Sheet!LL38="Немного / A little",2,IF(Sheet!LM38="Довольно сильно / Quite a bit",3,IF(Sheet!LN38="Очень сильно / Extremely",4,""))))</f>
        <v>2</v>
      </c>
      <c r="LO38">
        <f>IF(Sheet!LO38="Совсем нет / Not at all",1,IF(Sheet!LP38="Немного / A little",2,IF(Sheet!LQ38="Довольно сильно / Quite a bit",3,IF(Sheet!LR38="Очень сильно / Extremely",4,""))))</f>
        <v>1</v>
      </c>
      <c r="LS38">
        <f>IF(Sheet!LS38="Совсем нет / Not at all",1,IF(Sheet!LT38="Немного / A little",2,IF(Sheet!LU38="Довольно сильно / Quite a bit",3,IF(Sheet!LV38="Очень сильно / Extremely",4,""))))</f>
        <v>2</v>
      </c>
      <c r="LW38">
        <f>IF(Sheet!LW38="Совсем нет / Not at all",1,IF(Sheet!LX38="Немного / A little",2,IF(Sheet!LY38="Довольно сильно / Quite a bit",3,IF(Sheet!LZ38="Очень сильно / Extremely",4,""))))</f>
        <v>2</v>
      </c>
      <c r="MA38">
        <f>IF(Sheet!MA38="Совсем нет / Not at all",1,IF(Sheet!MB38="Немного / A little",2,IF(Sheet!MC38="Довольно сильно / Quite a bit",3,IF(Sheet!MD38="Очень сильно / Extremely",4,""))))</f>
        <v>1</v>
      </c>
      <c r="ME38">
        <f>IF(Sheet!ME38="Совсем нет / Not at all",1,IF(Sheet!MF38="Немного / A little",2,IF(Sheet!MG38="Довольно сильно / Quite a bit",3,IF(Sheet!MH38="Очень сильно / Extremely",4,""))))</f>
        <v>2</v>
      </c>
      <c r="MI38">
        <f>IF(Sheet!MI38="Совсем нет / Not at all",1,IF(Sheet!MJ38="Немного / A little",2,IF(Sheet!MK38="Довольно сильно / Quite a bit",3,IF(Sheet!ML38="Очень сильно / Extremely",4,""))))</f>
        <v>1</v>
      </c>
      <c r="MM38">
        <f>IF(Sheet!MM38="Совсем нет / Not at all",1,IF(Sheet!MN38="Немного / A little",2,IF(Sheet!MO38="Довольно сильно / Quite a bit",3,IF(Sheet!MP38="Очень сильно / Extremely",4,""))))</f>
        <v>2</v>
      </c>
      <c r="MQ38">
        <f>IF(Sheet!MQ38="Совсем нет / Not at all",1,IF(Sheet!MR38="Немного / A little",2,IF(Sheet!MS38="Довольно сильно / Quite a bit",3,IF(Sheet!MT38="Очень сильно / Extremely",4,""))))</f>
        <v>2</v>
      </c>
      <c r="MU38">
        <f>IF(Sheet!MU38="Совсем нет / Not at all",1,IF(Sheet!MV38="Немного / A little",2,IF(Sheet!MW38="Довольно сильно / Quite a bit",3,IF(Sheet!MX38="Очень сильно / Extremely",4,""))))</f>
        <v>3</v>
      </c>
      <c r="MY38">
        <f>IF(Sheet!MY38="Совсем нет / Not at all",1,IF(Sheet!MZ38="Немного / A little",2,IF(Sheet!NA38="Довольно сильно / Quite a bit",3,IF(Sheet!NB38="Очень сильно / Extremely",4,""))))</f>
        <v>1</v>
      </c>
      <c r="NC38">
        <f>IF(Sheet!NC38="Совсем нет / Not at all",1,IF(Sheet!ND38="Немного / A little",2,IF(Sheet!NE38="Довольно сильно / Quite a bit",3,IF(Sheet!NF38="Очень сильно / Extremely",4,""))))</f>
        <v>2</v>
      </c>
      <c r="NG38">
        <f>IF(Sheet!NG38="Совсем нет / Not at all",1,IF(Sheet!NH38="Немного / A little",2,IF(Sheet!NI38="Довольно сильно / Quite a bit",3,IF(Sheet!NJ38="Очень сильно / Extremely",4,""))))</f>
        <v>3</v>
      </c>
      <c r="NK38">
        <f>IF(Sheet!NK38="Совсем нет / Not at all",1,IF(Sheet!NL38="Немного / A little",2,IF(Sheet!NM38="Довольно сильно / Quite a bit",3,IF(Sheet!NN38="Очень сильно / Extremely",4,""))))</f>
        <v>3</v>
      </c>
      <c r="NO38">
        <f>IF(Sheet!NO38="Совсем нет / Not at all",1,IF(Sheet!NP38="Немного / A little",2,IF(Sheet!NQ38="Довольно сильно / Quite a bit",3,IF(Sheet!NR38="Очень сильно / Extremely",4,""))))</f>
        <v>3</v>
      </c>
      <c r="NS38">
        <f>IF(Sheet!NS38="Совсем нет / Not at all",1,IF(Sheet!NT38="Немного / A little",2,IF(Sheet!NU38="Довольно сильно / Quite a bit",3,IF(Sheet!NV38="Очень сильно / Extremely",4,""))))</f>
        <v>2</v>
      </c>
      <c r="NW38">
        <f>IF(Sheet!NW38="Совсем нет / Not at all",1,IF(Sheet!NX38="Немного / A little",2,IF(Sheet!NY38="Довольно сильно / Quite a bit",3,IF(Sheet!NZ38="Очень сильно / Extremely",4,""))))</f>
        <v>1</v>
      </c>
      <c r="OA38">
        <f>IF(Sheet!OA38="Совсем нет / Not at all",1,IF(Sheet!OB38="Немного / A little",2,IF(Sheet!OC38="Довольно сильно / Quite a bit",3,IF(Sheet!OD38="Очень сильно / Extremely",4,""))))</f>
        <v>1</v>
      </c>
      <c r="OE38">
        <f>IF(Sheet!OE38="Совсем нет / Not at all",1,IF(Sheet!OF38="Немного / A little",2,IF(Sheet!OG38="Довольно сильно / Quite a bit",3,IF(Sheet!OH38="Очень сильно / Extremely",4,""))))</f>
        <v>2</v>
      </c>
      <c r="OI38">
        <f>IF(Sheet!OI38="Совсем нет / Not at all",1,IF(Sheet!OJ38="Немного / A little",2,IF(Sheet!OK38="Довольно сильно / Quite a bit",3,IF(Sheet!OL38="Очень сильно / Extremely",4,""))))</f>
        <v>3</v>
      </c>
    </row>
    <row r="39" spans="1:399" ht="16.350000000000001">
      <c r="A39" t="str">
        <f>Sheet!A39</f>
        <v>LU001</v>
      </c>
      <c r="KR39" s="27">
        <f>SUM(KU39,KY39,LC39,LG39,LK39,LO39,LS39,LW39,MA39,ME39)/10</f>
        <v>2.6</v>
      </c>
      <c r="KS39" s="27">
        <f>SUM(MI39,MM39,MQ39,MU39,MY39,NC39,NG39,NK39,NO39,NS39,NW39,OA39,OE39,OI39)/14</f>
        <v>2.9285714285714284</v>
      </c>
      <c r="KU39">
        <f>IF(Sheet!KU39="Совсем нет / Not at all",1,IF(Sheet!KV39="Немного / A little",2,IF(Sheet!KW39="Довольно сильно / Quite a bit",3,IF(Sheet!KX39="Очень сильно / Extremely",4,""))))</f>
        <v>1</v>
      </c>
      <c r="KY39">
        <f>IF(Sheet!KY39="Совсем нет / Not at all",1,IF(Sheet!KZ39="Немного / A little",2,IF(Sheet!LA39="Довольно сильно / Quite a bit",3,IF(Sheet!LB39="Очень сильно / Extremely",4,""))))</f>
        <v>2</v>
      </c>
      <c r="LC39">
        <f>IF(Sheet!LC39="Совсем нет / Not at all",1,IF(Sheet!LD39="Немного / A little",2,IF(Sheet!LE39="Довольно сильно / Quite a bit",3,IF(Sheet!LF39="Очень сильно / Extremely",4,""))))</f>
        <v>1</v>
      </c>
      <c r="LG39">
        <f>IF(Sheet!LG39="Совсем нет / Not at all",1,IF(Sheet!LH39="Немного / A little",2,IF(Sheet!LI39="Довольно сильно / Quite a bit",3,IF(Sheet!LJ39="Очень сильно / Extremely",4,""))))</f>
        <v>4</v>
      </c>
      <c r="LK39">
        <f>IF(Sheet!LK39="Совсем нет / Not at all",1,IF(Sheet!LL39="Немного / A little",2,IF(Sheet!LM39="Довольно сильно / Quite a bit",3,IF(Sheet!LN39="Очень сильно / Extremely",4,""))))</f>
        <v>3</v>
      </c>
      <c r="LO39">
        <f>IF(Sheet!LO39="Совсем нет / Not at all",1,IF(Sheet!LP39="Немного / A little",2,IF(Sheet!LQ39="Довольно сильно / Quite a bit",3,IF(Sheet!LR39="Очень сильно / Extremely",4,""))))</f>
        <v>2</v>
      </c>
      <c r="LS39">
        <f>IF(Sheet!LS39="Совсем нет / Not at all",1,IF(Sheet!LT39="Немного / A little",2,IF(Sheet!LU39="Довольно сильно / Quite a bit",3,IF(Sheet!LV39="Очень сильно / Extremely",4,""))))</f>
        <v>4</v>
      </c>
      <c r="LW39">
        <f>IF(Sheet!LW39="Совсем нет / Not at all",1,IF(Sheet!LX39="Немного / A little",2,IF(Sheet!LY39="Довольно сильно / Quite a bit",3,IF(Sheet!LZ39="Очень сильно / Extremely",4,""))))</f>
        <v>3</v>
      </c>
      <c r="MA39">
        <f>IF(Sheet!MA39="Совсем нет / Not at all",1,IF(Sheet!MB39="Немного / A little",2,IF(Sheet!MC39="Довольно сильно / Quite a bit",3,IF(Sheet!MD39="Очень сильно / Extremely",4,""))))</f>
        <v>2</v>
      </c>
      <c r="ME39">
        <f>IF(Sheet!ME39="Совсем нет / Not at all",1,IF(Sheet!MF39="Немного / A little",2,IF(Sheet!MG39="Довольно сильно / Quite a bit",3,IF(Sheet!MH39="Очень сильно / Extremely",4,""))))</f>
        <v>4</v>
      </c>
      <c r="MI39">
        <f>IF(Sheet!MI39="Совсем нет / Not at all",1,IF(Sheet!MJ39="Немного / A little",2,IF(Sheet!MK39="Довольно сильно / Quite a bit",3,IF(Sheet!ML39="Очень сильно / Extremely",4,""))))</f>
        <v>3</v>
      </c>
      <c r="MM39">
        <f>IF(Sheet!MM39="Совсем нет / Not at all",1,IF(Sheet!MN39="Немного / A little",2,IF(Sheet!MO39="Довольно сильно / Quite a bit",3,IF(Sheet!MP39="Очень сильно / Extremely",4,""))))</f>
        <v>2</v>
      </c>
      <c r="MQ39">
        <f>IF(Sheet!MQ39="Совсем нет / Not at all",1,IF(Sheet!MR39="Немного / A little",2,IF(Sheet!MS39="Довольно сильно / Quite a bit",3,IF(Sheet!MT39="Очень сильно / Extremely",4,""))))</f>
        <v>2</v>
      </c>
      <c r="MU39">
        <f>IF(Sheet!MU39="Совсем нет / Not at all",1,IF(Sheet!MV39="Немного / A little",2,IF(Sheet!MW39="Довольно сильно / Quite a bit",3,IF(Sheet!MX39="Очень сильно / Extremely",4,""))))</f>
        <v>4</v>
      </c>
      <c r="MY39">
        <f>IF(Sheet!MY39="Совсем нет / Not at all",1,IF(Sheet!MZ39="Немного / A little",2,IF(Sheet!NA39="Довольно сильно / Quite a bit",3,IF(Sheet!NB39="Очень сильно / Extremely",4,""))))</f>
        <v>2</v>
      </c>
      <c r="NC39">
        <f>IF(Sheet!NC39="Совсем нет / Not at all",1,IF(Sheet!ND39="Немного / A little",2,IF(Sheet!NE39="Довольно сильно / Quite a bit",3,IF(Sheet!NF39="Очень сильно / Extremely",4,""))))</f>
        <v>3</v>
      </c>
      <c r="NG39">
        <f>IF(Sheet!NG39="Совсем нет / Not at all",1,IF(Sheet!NH39="Немного / A little",2,IF(Sheet!NI39="Довольно сильно / Quite a bit",3,IF(Sheet!NJ39="Очень сильно / Extremely",4,""))))</f>
        <v>4</v>
      </c>
      <c r="NK39">
        <f>IF(Sheet!NK39="Совсем нет / Not at all",1,IF(Sheet!NL39="Немного / A little",2,IF(Sheet!NM39="Довольно сильно / Quite a bit",3,IF(Sheet!NN39="Очень сильно / Extremely",4,""))))</f>
        <v>3</v>
      </c>
      <c r="NO39">
        <f>IF(Sheet!NO39="Совсем нет / Not at all",1,IF(Sheet!NP39="Немного / A little",2,IF(Sheet!NQ39="Довольно сильно / Quite a bit",3,IF(Sheet!NR39="Очень сильно / Extremely",4,""))))</f>
        <v>4</v>
      </c>
      <c r="NS39">
        <f>IF(Sheet!NS39="Совсем нет / Not at all",1,IF(Sheet!NT39="Немного / A little",2,IF(Sheet!NU39="Довольно сильно / Quite a bit",3,IF(Sheet!NV39="Очень сильно / Extremely",4,""))))</f>
        <v>3</v>
      </c>
      <c r="NW39">
        <f>IF(Sheet!NW39="Совсем нет / Not at all",1,IF(Sheet!NX39="Немного / A little",2,IF(Sheet!NY39="Довольно сильно / Quite a bit",3,IF(Sheet!NZ39="Очень сильно / Extremely",4,""))))</f>
        <v>3</v>
      </c>
      <c r="OA39">
        <f>IF(Sheet!OA39="Совсем нет / Not at all",1,IF(Sheet!OB39="Немного / A little",2,IF(Sheet!OC39="Довольно сильно / Quite a bit",3,IF(Sheet!OD39="Очень сильно / Extremely",4,""))))</f>
        <v>3</v>
      </c>
      <c r="OE39">
        <f>IF(Sheet!OE39="Совсем нет / Not at all",1,IF(Sheet!OF39="Немного / A little",2,IF(Sheet!OG39="Довольно сильно / Quite a bit",3,IF(Sheet!OH39="Очень сильно / Extremely",4,""))))</f>
        <v>3</v>
      </c>
      <c r="OI39">
        <f>IF(Sheet!OI39="Совсем нет / Not at all",1,IF(Sheet!OJ39="Немного / A little",2,IF(Sheet!OK39="Довольно сильно / Quite a bit",3,IF(Sheet!OL39="Очень сильно / Extremely",4,""))))</f>
        <v>2</v>
      </c>
    </row>
    <row r="40" spans="1:399">
      <c r="A40" t="str">
        <f>Sheet!A40</f>
        <v>TC001</v>
      </c>
      <c r="KR40" s="27">
        <f>SUM(KU40,KY40,LC40,LG40,LK40,LO40,LS40,LW40,MA40,ME40)/10</f>
        <v>1.1000000000000001</v>
      </c>
      <c r="KS40" s="27">
        <f>SUM(MI40,MM40,MQ40,MU40,MY40,NC40,NG40,NK40,NO40,NS40,NW40,OA40,OE40,OI40)/14</f>
        <v>1.5</v>
      </c>
      <c r="KU40">
        <f>IF(Sheet!KU40="Совсем нет / Not at all",1,IF(Sheet!KV40="Немного / A little",2,IF(Sheet!KW40="Довольно сильно / Quite a bit",3,IF(Sheet!KX40="Очень сильно / Extremely",4,""))))</f>
        <v>1</v>
      </c>
      <c r="KY40">
        <f>IF(Sheet!KY40="Совсем нет / Not at all",1,IF(Sheet!KZ40="Немного / A little",2,IF(Sheet!LA40="Довольно сильно / Quite a bit",3,IF(Sheet!LB40="Очень сильно / Extremely",4,""))))</f>
        <v>1</v>
      </c>
      <c r="LC40">
        <f>IF(Sheet!LC40="Совсем нет / Not at all",1,IF(Sheet!LD40="Немного / A little",2,IF(Sheet!LE40="Довольно сильно / Quite a bit",3,IF(Sheet!LF40="Очень сильно / Extremely",4,""))))</f>
        <v>1</v>
      </c>
      <c r="LG40">
        <f>IF(Sheet!LG40="Совсем нет / Not at all",1,IF(Sheet!LH40="Немного / A little",2,IF(Sheet!LI40="Довольно сильно / Quite a bit",3,IF(Sheet!LJ40="Очень сильно / Extremely",4,""))))</f>
        <v>1</v>
      </c>
      <c r="LK40">
        <f>IF(Sheet!LK40="Совсем нет / Not at all",1,IF(Sheet!LL40="Немного / A little",2,IF(Sheet!LM40="Довольно сильно / Quite a bit",3,IF(Sheet!LN40="Очень сильно / Extremely",4,""))))</f>
        <v>1</v>
      </c>
      <c r="LO40">
        <f>IF(Sheet!LO40="Совсем нет / Not at all",1,IF(Sheet!LP40="Немного / A little",2,IF(Sheet!LQ40="Довольно сильно / Quite a bit",3,IF(Sheet!LR40="Очень сильно / Extremely",4,""))))</f>
        <v>1</v>
      </c>
      <c r="LS40">
        <f>IF(Sheet!LS40="Совсем нет / Not at all",1,IF(Sheet!LT40="Немного / A little",2,IF(Sheet!LU40="Довольно сильно / Quite a bit",3,IF(Sheet!LV40="Очень сильно / Extremely",4,""))))</f>
        <v>1</v>
      </c>
      <c r="LW40">
        <f>IF(Sheet!LW40="Совсем нет / Not at all",1,IF(Sheet!LX40="Немного / A little",2,IF(Sheet!LY40="Довольно сильно / Quite a bit",3,IF(Sheet!LZ40="Очень сильно / Extremely",4,""))))</f>
        <v>1</v>
      </c>
      <c r="MA40">
        <f>IF(Sheet!MA40="Совсем нет / Not at all",1,IF(Sheet!MB40="Немного / A little",2,IF(Sheet!MC40="Довольно сильно / Quite a bit",3,IF(Sheet!MD40="Очень сильно / Extremely",4,""))))</f>
        <v>1</v>
      </c>
      <c r="ME40">
        <f>IF(Sheet!ME40="Совсем нет / Not at all",1,IF(Sheet!MF40="Немного / A little",2,IF(Sheet!MG40="Довольно сильно / Quite a bit",3,IF(Sheet!MH40="Очень сильно / Extremely",4,""))))</f>
        <v>2</v>
      </c>
      <c r="MI40">
        <f>IF(Sheet!MI40="Совсем нет / Not at all",1,IF(Sheet!MJ40="Немного / A little",2,IF(Sheet!MK40="Довольно сильно / Quite a bit",3,IF(Sheet!ML40="Очень сильно / Extremely",4,""))))</f>
        <v>2</v>
      </c>
      <c r="MM40">
        <f>IF(Sheet!MM40="Совсем нет / Not at all",1,IF(Sheet!MN40="Немного / A little",2,IF(Sheet!MO40="Довольно сильно / Quite a bit",3,IF(Sheet!MP40="Очень сильно / Extremely",4,""))))</f>
        <v>1</v>
      </c>
      <c r="MQ40">
        <f>IF(Sheet!MQ40="Совсем нет / Not at all",1,IF(Sheet!MR40="Немного / A little",2,IF(Sheet!MS40="Довольно сильно / Quite a bit",3,IF(Sheet!MT40="Очень сильно / Extremely",4,""))))</f>
        <v>1</v>
      </c>
      <c r="MU40">
        <f>IF(Sheet!MU40="Совсем нет / Not at all",1,IF(Sheet!MV40="Немного / A little",2,IF(Sheet!MW40="Довольно сильно / Quite a bit",3,IF(Sheet!MX40="Очень сильно / Extremely",4,""))))</f>
        <v>2</v>
      </c>
      <c r="MY40">
        <f>IF(Sheet!MY40="Совсем нет / Not at all",1,IF(Sheet!MZ40="Немного / A little",2,IF(Sheet!NA40="Довольно сильно / Quite a bit",3,IF(Sheet!NB40="Очень сильно / Extremely",4,""))))</f>
        <v>1</v>
      </c>
      <c r="NC40">
        <f>IF(Sheet!NC40="Совсем нет / Not at all",1,IF(Sheet!ND40="Немного / A little",2,IF(Sheet!NE40="Довольно сильно / Quite a bit",3,IF(Sheet!NF40="Очень сильно / Extremely",4,""))))</f>
        <v>2</v>
      </c>
      <c r="NG40">
        <f>IF(Sheet!NG40="Совсем нет / Not at all",1,IF(Sheet!NH40="Немного / A little",2,IF(Sheet!NI40="Довольно сильно / Quite a bit",3,IF(Sheet!NJ40="Очень сильно / Extremely",4,""))))</f>
        <v>2</v>
      </c>
      <c r="NK40">
        <f>IF(Sheet!NK40="Совсем нет / Not at all",1,IF(Sheet!NL40="Немного / A little",2,IF(Sheet!NM40="Довольно сильно / Quite a bit",3,IF(Sheet!NN40="Очень сильно / Extremely",4,""))))</f>
        <v>1</v>
      </c>
      <c r="NO40">
        <f>IF(Sheet!NO40="Совсем нет / Not at all",1,IF(Sheet!NP40="Немного / A little",2,IF(Sheet!NQ40="Довольно сильно / Quite a bit",3,IF(Sheet!NR40="Очень сильно / Extremely",4,""))))</f>
        <v>1</v>
      </c>
      <c r="NS40">
        <f>IF(Sheet!NS40="Совсем нет / Not at all",1,IF(Sheet!NT40="Немного / A little",2,IF(Sheet!NU40="Довольно сильно / Quite a bit",3,IF(Sheet!NV40="Очень сильно / Extremely",4,""))))</f>
        <v>2</v>
      </c>
      <c r="NW40">
        <f>IF(Sheet!NW40="Совсем нет / Not at all",1,IF(Sheet!NX40="Немного / A little",2,IF(Sheet!NY40="Довольно сильно / Quite a bit",3,IF(Sheet!NZ40="Очень сильно / Extremely",4,""))))</f>
        <v>1</v>
      </c>
      <c r="OA40">
        <f>IF(Sheet!OA40="Совсем нет / Not at all",1,IF(Sheet!OB40="Немного / A little",2,IF(Sheet!OC40="Довольно сильно / Quite a bit",3,IF(Sheet!OD40="Очень сильно / Extremely",4,""))))</f>
        <v>1</v>
      </c>
      <c r="OE40">
        <f>IF(Sheet!OE40="Совсем нет / Not at all",1,IF(Sheet!OF40="Немного / A little",2,IF(Sheet!OG40="Довольно сильно / Quite a bit",3,IF(Sheet!OH40="Очень сильно / Extremely",4,""))))</f>
        <v>2</v>
      </c>
      <c r="OI40">
        <f>IF(Sheet!OI40="Совсем нет / Not at all",1,IF(Sheet!OJ40="Немного / A little",2,IF(Sheet!OK40="Довольно сильно / Quite a bit",3,IF(Sheet!OL40="Очень сильно / Extremely",4,""))))</f>
        <v>2</v>
      </c>
    </row>
    <row r="41" spans="1:399">
      <c r="A41" t="str">
        <f>Sheet!A41</f>
        <v>CD002</v>
      </c>
      <c r="KR41" s="27">
        <f>SUM(KU41,KY41,LC41,LG41,LK41,LO41,LS41,LW41,MA41,ME41)/10</f>
        <v>2.1</v>
      </c>
      <c r="KS41" s="27">
        <f>SUM(MI41,MM41,MQ41,MU41,MY41,NC41,NG41,NK41,NO41,NS41,NW41,OA41,OE41,OI41)/14</f>
        <v>3.5714285714285716</v>
      </c>
      <c r="KU41">
        <f>IF(Sheet!KU41="Совсем нет / Not at all",1,IF(Sheet!KV41="Немного / A little",2,IF(Sheet!KW41="Довольно сильно / Quite a bit",3,IF(Sheet!KX41="Очень сильно / Extremely",4,""))))</f>
        <v>2</v>
      </c>
      <c r="KY41">
        <f>IF(Sheet!KY41="Совсем нет / Not at all",1,IF(Sheet!KZ41="Немного / A little",2,IF(Sheet!LA41="Довольно сильно / Quite a bit",3,IF(Sheet!LB41="Очень сильно / Extremely",4,""))))</f>
        <v>2</v>
      </c>
      <c r="LC41">
        <f>IF(Sheet!LC41="Совсем нет / Not at all",1,IF(Sheet!LD41="Немного / A little",2,IF(Sheet!LE41="Довольно сильно / Quite a bit",3,IF(Sheet!LF41="Очень сильно / Extremely",4,""))))</f>
        <v>1</v>
      </c>
      <c r="LG41">
        <f>IF(Sheet!LG41="Совсем нет / Not at all",1,IF(Sheet!LH41="Немного / A little",2,IF(Sheet!LI41="Довольно сильно / Quite a bit",3,IF(Sheet!LJ41="Очень сильно / Extremely",4,""))))</f>
        <v>2</v>
      </c>
      <c r="LK41">
        <f>IF(Sheet!LK41="Совсем нет / Not at all",1,IF(Sheet!LL41="Немного / A little",2,IF(Sheet!LM41="Довольно сильно / Quite a bit",3,IF(Sheet!LN41="Очень сильно / Extremely",4,""))))</f>
        <v>1</v>
      </c>
      <c r="LO41">
        <f>IF(Sheet!LO41="Совсем нет / Not at all",1,IF(Sheet!LP41="Немного / A little",2,IF(Sheet!LQ41="Довольно сильно / Quite a bit",3,IF(Sheet!LR41="Очень сильно / Extremely",4,""))))</f>
        <v>1</v>
      </c>
      <c r="LS41">
        <f>IF(Sheet!LS41="Совсем нет / Not at all",1,IF(Sheet!LT41="Немного / A little",2,IF(Sheet!LU41="Довольно сильно / Quite a bit",3,IF(Sheet!LV41="Очень сильно / Extremely",4,""))))</f>
        <v>2</v>
      </c>
      <c r="LW41">
        <f>IF(Sheet!LW41="Совсем нет / Not at all",1,IF(Sheet!LX41="Немного / A little",2,IF(Sheet!LY41="Довольно сильно / Quite a bit",3,IF(Sheet!LZ41="Очень сильно / Extremely",4,""))))</f>
        <v>3</v>
      </c>
      <c r="MA41">
        <f>IF(Sheet!MA41="Совсем нет / Not at all",1,IF(Sheet!MB41="Немного / A little",2,IF(Sheet!MC41="Довольно сильно / Quite a bit",3,IF(Sheet!MD41="Очень сильно / Extremely",4,""))))</f>
        <v>3</v>
      </c>
      <c r="ME41">
        <f>IF(Sheet!ME41="Совсем нет / Not at all",1,IF(Sheet!MF41="Немного / A little",2,IF(Sheet!MG41="Довольно сильно / Quite a bit",3,IF(Sheet!MH41="Очень сильно / Extremely",4,""))))</f>
        <v>4</v>
      </c>
      <c r="MI41">
        <f>IF(Sheet!MI41="Совсем нет / Not at all",1,IF(Sheet!MJ41="Немного / A little",2,IF(Sheet!MK41="Довольно сильно / Quite a bit",3,IF(Sheet!ML41="Очень сильно / Extremely",4,""))))</f>
        <v>3</v>
      </c>
      <c r="MM41">
        <f>IF(Sheet!MM41="Совсем нет / Not at all",1,IF(Sheet!MN41="Немного / A little",2,IF(Sheet!MO41="Довольно сильно / Quite a bit",3,IF(Sheet!MP41="Очень сильно / Extremely",4,""))))</f>
        <v>4</v>
      </c>
      <c r="MQ41">
        <f>IF(Sheet!MQ41="Совсем нет / Not at all",1,IF(Sheet!MR41="Немного / A little",2,IF(Sheet!MS41="Довольно сильно / Quite a bit",3,IF(Sheet!MT41="Очень сильно / Extremely",4,""))))</f>
        <v>3</v>
      </c>
      <c r="MU41">
        <f>IF(Sheet!MU41="Совсем нет / Not at all",1,IF(Sheet!MV41="Немного / A little",2,IF(Sheet!MW41="Довольно сильно / Quite a bit",3,IF(Sheet!MX41="Очень сильно / Extremely",4,""))))</f>
        <v>4</v>
      </c>
      <c r="MY41">
        <f>IF(Sheet!MY41="Совсем нет / Not at all",1,IF(Sheet!MZ41="Немного / A little",2,IF(Sheet!NA41="Довольно сильно / Quite a bit",3,IF(Sheet!NB41="Очень сильно / Extremely",4,""))))</f>
        <v>3</v>
      </c>
      <c r="NC41">
        <f>IF(Sheet!NC41="Совсем нет / Not at all",1,IF(Sheet!ND41="Немного / A little",2,IF(Sheet!NE41="Довольно сильно / Quite a bit",3,IF(Sheet!NF41="Очень сильно / Extremely",4,""))))</f>
        <v>4</v>
      </c>
      <c r="NG41">
        <f>IF(Sheet!NG41="Совсем нет / Not at all",1,IF(Sheet!NH41="Немного / A little",2,IF(Sheet!NI41="Довольно сильно / Quite a bit",3,IF(Sheet!NJ41="Очень сильно / Extremely",4,""))))</f>
        <v>4</v>
      </c>
      <c r="NK41">
        <f>IF(Sheet!NK41="Совсем нет / Not at all",1,IF(Sheet!NL41="Немного / A little",2,IF(Sheet!NM41="Довольно сильно / Quite a bit",3,IF(Sheet!NN41="Очень сильно / Extremely",4,""))))</f>
        <v>4</v>
      </c>
      <c r="NO41">
        <f>IF(Sheet!NO41="Совсем нет / Not at all",1,IF(Sheet!NP41="Немного / A little",2,IF(Sheet!NQ41="Довольно сильно / Quite a bit",3,IF(Sheet!NR41="Очень сильно / Extremely",4,""))))</f>
        <v>4</v>
      </c>
      <c r="NS41">
        <f>IF(Sheet!NS41="Совсем нет / Not at all",1,IF(Sheet!NT41="Немного / A little",2,IF(Sheet!NU41="Довольно сильно / Quite a bit",3,IF(Sheet!NV41="Очень сильно / Extremely",4,""))))</f>
        <v>4</v>
      </c>
      <c r="NW41">
        <f>IF(Sheet!NW41="Совсем нет / Not at all",1,IF(Sheet!NX41="Немного / A little",2,IF(Sheet!NY41="Довольно сильно / Quite a bit",3,IF(Sheet!NZ41="Очень сильно / Extremely",4,""))))</f>
        <v>2</v>
      </c>
      <c r="OA41">
        <f>IF(Sheet!OA41="Совсем нет / Not at all",1,IF(Sheet!OB41="Немного / A little",2,IF(Sheet!OC41="Довольно сильно / Quite a bit",3,IF(Sheet!OD41="Очень сильно / Extremely",4,""))))</f>
        <v>4</v>
      </c>
      <c r="OE41">
        <f>IF(Sheet!OE41="Совсем нет / Not at all",1,IF(Sheet!OF41="Немного / A little",2,IF(Sheet!OG41="Довольно сильно / Quite a bit",3,IF(Sheet!OH41="Очень сильно / Extremely",4,""))))</f>
        <v>4</v>
      </c>
      <c r="OI41">
        <f>IF(Sheet!OI41="Совсем нет / Not at all",1,IF(Sheet!OJ41="Немного / A little",2,IF(Sheet!OK41="Довольно сильно / Quite a bit",3,IF(Sheet!OL41="Очень сильно / Extremely",4,""))))</f>
        <v>3</v>
      </c>
    </row>
    <row r="42" spans="1:399" ht="16.350000000000001">
      <c r="A42" t="str">
        <f>Sheet!A42</f>
        <v>СМ001</v>
      </c>
      <c r="KR42" s="27">
        <f>SUM(KU42,KY42,LC42,LG42,LK42,LO42,LS42,LW42,MA42,ME42)/10</f>
        <v>2.6</v>
      </c>
      <c r="KS42" s="27"/>
      <c r="KU42">
        <f>IF(Sheet!KU42="Совсем нет / Not at all",1,IF(Sheet!KV42="Немного / A little",2,IF(Sheet!KW42="Довольно сильно / Quite a bit",3,IF(Sheet!KX42="Очень сильно / Extremely",4,""))))</f>
        <v>3</v>
      </c>
      <c r="KY42">
        <f>IF(Sheet!KY42="Совсем нет / Not at all",1,IF(Sheet!KZ42="Немного / A little",2,IF(Sheet!LA42="Довольно сильно / Quite a bit",3,IF(Sheet!LB42="Очень сильно / Extremely",4,""))))</f>
        <v>3</v>
      </c>
      <c r="LC42">
        <f>IF(Sheet!LC42="Совсем нет / Not at all",1,IF(Sheet!LD42="Немного / A little",2,IF(Sheet!LE42="Довольно сильно / Quite a bit",3,IF(Sheet!LF42="Очень сильно / Extremely",4,""))))</f>
        <v>3</v>
      </c>
      <c r="LG42">
        <f>IF(Sheet!LG42="Совсем нет / Not at all",1,IF(Sheet!LH42="Немного / A little",2,IF(Sheet!LI42="Довольно сильно / Quite a bit",3,IF(Sheet!LJ42="Очень сильно / Extremely",4,""))))</f>
        <v>3</v>
      </c>
      <c r="LK42">
        <f>IF(Sheet!LK42="Совсем нет / Not at all",1,IF(Sheet!LL42="Немного / A little",2,IF(Sheet!LM42="Довольно сильно / Quite a bit",3,IF(Sheet!LN42="Очень сильно / Extremely",4,""))))</f>
        <v>3</v>
      </c>
      <c r="LO42">
        <f>IF(Sheet!LO42="Совсем нет / Not at all",1,IF(Sheet!LP42="Немного / A little",2,IF(Sheet!LQ42="Довольно сильно / Quite a bit",3,IF(Sheet!LR42="Очень сильно / Extremely",4,""))))</f>
        <v>2</v>
      </c>
      <c r="LS42">
        <f>IF(Sheet!LS42="Совсем нет / Not at all",1,IF(Sheet!LT42="Немного / A little",2,IF(Sheet!LU42="Довольно сильно / Quite a bit",3,IF(Sheet!LV42="Очень сильно / Extremely",4,""))))</f>
        <v>2</v>
      </c>
      <c r="LW42">
        <f>IF(Sheet!LW42="Совсем нет / Not at all",1,IF(Sheet!LX42="Немного / A little",2,IF(Sheet!LY42="Довольно сильно / Quite a bit",3,IF(Sheet!LZ42="Очень сильно / Extremely",4,""))))</f>
        <v>2</v>
      </c>
      <c r="MA42">
        <f>IF(Sheet!MA42="Совсем нет / Not at all",1,IF(Sheet!MB42="Немного / A little",2,IF(Sheet!MC42="Довольно сильно / Quite a bit",3,IF(Sheet!MD42="Очень сильно / Extremely",4,""))))</f>
        <v>3</v>
      </c>
      <c r="ME42">
        <f>IF(Sheet!ME42="Совсем нет / Not at all",1,IF(Sheet!MF42="Немного / A little",2,IF(Sheet!MG42="Довольно сильно / Quite a bit",3,IF(Sheet!MH42="Очень сильно / Extremely",4,""))))</f>
        <v>2</v>
      </c>
      <c r="MI42" t="str">
        <f>IF(Sheet!MI42="Совсем нет / Not at all",1,IF(Sheet!MJ42="Немного / A little",2,IF(Sheet!MK42="Довольно сильно / Quite a bit",3,IF(Sheet!ML42="Очень сильно / Extremely",4,""))))</f>
        <v/>
      </c>
      <c r="MM42" t="str">
        <f>IF(Sheet!MM42="Совсем нет / Not at all",1,IF(Sheet!MN42="Немного / A little",2,IF(Sheet!MO42="Довольно сильно / Quite a bit",3,IF(Sheet!MP42="Очень сильно / Extremely",4,""))))</f>
        <v/>
      </c>
      <c r="MQ42" t="str">
        <f>IF(Sheet!MQ42="Совсем нет / Not at all",1,IF(Sheet!MR42="Немного / A little",2,IF(Sheet!MS42="Довольно сильно / Quite a bit",3,IF(Sheet!MT42="Очень сильно / Extremely",4,""))))</f>
        <v/>
      </c>
      <c r="MU42" t="str">
        <f>IF(Sheet!MU42="Совсем нет / Not at all",1,IF(Sheet!MV42="Немного / A little",2,IF(Sheet!MW42="Довольно сильно / Quite a bit",3,IF(Sheet!MX42="Очень сильно / Extremely",4,""))))</f>
        <v/>
      </c>
      <c r="MY42" t="str">
        <f>IF(Sheet!MY42="Совсем нет / Not at all",1,IF(Sheet!MZ42="Немного / A little",2,IF(Sheet!NA42="Довольно сильно / Quite a bit",3,IF(Sheet!NB42="Очень сильно / Extremely",4,""))))</f>
        <v/>
      </c>
      <c r="NC42" t="str">
        <f>IF(Sheet!NC42="Совсем нет / Not at all",1,IF(Sheet!ND42="Немного / A little",2,IF(Sheet!NE42="Довольно сильно / Quite a bit",3,IF(Sheet!NF42="Очень сильно / Extremely",4,""))))</f>
        <v/>
      </c>
      <c r="NG42" t="str">
        <f>IF(Sheet!NG42="Совсем нет / Not at all",1,IF(Sheet!NH42="Немного / A little",2,IF(Sheet!NI42="Довольно сильно / Quite a bit",3,IF(Sheet!NJ42="Очень сильно / Extremely",4,""))))</f>
        <v/>
      </c>
      <c r="NK42" t="str">
        <f>IF(Sheet!NK42="Совсем нет / Not at all",1,IF(Sheet!NL42="Немного / A little",2,IF(Sheet!NM42="Довольно сильно / Quite a bit",3,IF(Sheet!NN42="Очень сильно / Extremely",4,""))))</f>
        <v/>
      </c>
      <c r="NO42" t="str">
        <f>IF(Sheet!NO42="Совсем нет / Not at all",1,IF(Sheet!NP42="Немного / A little",2,IF(Sheet!NQ42="Довольно сильно / Quite a bit",3,IF(Sheet!NR42="Очень сильно / Extremely",4,""))))</f>
        <v/>
      </c>
      <c r="NS42" t="str">
        <f>IF(Sheet!NS42="Совсем нет / Not at all",1,IF(Sheet!NT42="Немного / A little",2,IF(Sheet!NU42="Довольно сильно / Quite a bit",3,IF(Sheet!NV42="Очень сильно / Extremely",4,""))))</f>
        <v/>
      </c>
      <c r="NW42" t="str">
        <f>IF(Sheet!NW42="Совсем нет / Not at all",1,IF(Sheet!NX42="Немного / A little",2,IF(Sheet!NY42="Довольно сильно / Quite a bit",3,IF(Sheet!NZ42="Очень сильно / Extremely",4,""))))</f>
        <v/>
      </c>
      <c r="OA42" t="str">
        <f>IF(Sheet!OA42="Совсем нет / Not at all",1,IF(Sheet!OB42="Немного / A little",2,IF(Sheet!OC42="Довольно сильно / Quite a bit",3,IF(Sheet!OD42="Очень сильно / Extremely",4,""))))</f>
        <v/>
      </c>
      <c r="OE42" t="str">
        <f>IF(Sheet!OE42="Совсем нет / Not at all",1,IF(Sheet!OF42="Немного / A little",2,IF(Sheet!OG42="Довольно сильно / Quite a bit",3,IF(Sheet!OH42="Очень сильно / Extremely",4,""))))</f>
        <v/>
      </c>
      <c r="OI42" t="str">
        <f>IF(Sheet!OI42="Совсем нет / Not at all",1,IF(Sheet!OJ42="Немного / A little",2,IF(Sheet!OK42="Довольно сильно / Quite a bit",3,IF(Sheet!OL42="Очень сильно / Extremely",4,""))))</f>
        <v/>
      </c>
    </row>
    <row r="43" spans="1:399" ht="16.350000000000001">
      <c r="A43" s="39" t="str">
        <f>Sheet!A43</f>
        <v>LO001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9"/>
      <c r="JD43" s="39"/>
      <c r="JE43" s="39"/>
      <c r="JF43" s="39"/>
      <c r="JG43" s="39"/>
      <c r="JH43" s="39"/>
      <c r="JI43" s="39"/>
      <c r="JJ43" s="39"/>
      <c r="JK43" s="39"/>
      <c r="JL43" s="39"/>
      <c r="JM43" s="39"/>
      <c r="JN43" s="39"/>
      <c r="JO43" s="39"/>
      <c r="JP43" s="39"/>
      <c r="JQ43" s="39"/>
      <c r="JR43" s="39"/>
      <c r="JS43" s="39"/>
      <c r="JT43" s="39"/>
      <c r="JU43" s="39"/>
      <c r="JV43" s="39"/>
      <c r="JW43" s="39"/>
      <c r="JX43" s="39"/>
      <c r="JY43" s="39"/>
      <c r="JZ43" s="39"/>
      <c r="KA43" s="39"/>
      <c r="KB43" s="39"/>
      <c r="KC43" s="39"/>
      <c r="KD43" s="39"/>
      <c r="KE43" s="39"/>
      <c r="KF43" s="39"/>
      <c r="KG43" s="39"/>
      <c r="KH43" s="39"/>
      <c r="KI43" s="39"/>
      <c r="KJ43" s="39"/>
      <c r="KK43" s="39"/>
      <c r="KL43" s="39"/>
      <c r="KM43" s="39"/>
      <c r="KN43" s="39"/>
      <c r="KO43" s="39"/>
      <c r="KP43" s="39"/>
      <c r="KQ43" s="39"/>
      <c r="KR43" s="27"/>
      <c r="KS43" s="27"/>
      <c r="KT43" s="39"/>
      <c r="KU43" s="39" t="str">
        <f>IF(Sheet!KU43="Совсем нет / Not at all",1,IF(Sheet!KV43="Немного / A little",2,IF(Sheet!KW43="Довольно сильно / Quite a bit",3,IF(Sheet!KX43="Очень сильно / Extremely",4,""))))</f>
        <v/>
      </c>
      <c r="KV43" s="39"/>
      <c r="KW43" s="39"/>
      <c r="KX43" s="39"/>
      <c r="KY43" s="39" t="str">
        <f>IF(Sheet!KY43="Совсем нет / Not at all",1,IF(Sheet!KZ43="Немного / A little",2,IF(Sheet!LA43="Довольно сильно / Quite a bit",3,IF(Sheet!LB43="Очень сильно / Extremely",4,""))))</f>
        <v/>
      </c>
      <c r="KZ43" s="39"/>
      <c r="LA43" s="39"/>
      <c r="LB43" s="39"/>
      <c r="LC43" s="39" t="str">
        <f>IF(Sheet!LC43="Совсем нет / Not at all",1,IF(Sheet!LD43="Немного / A little",2,IF(Sheet!LE43="Довольно сильно / Quite a bit",3,IF(Sheet!LF43="Очень сильно / Extremely",4,""))))</f>
        <v/>
      </c>
      <c r="LD43" s="39"/>
      <c r="LE43" s="39"/>
      <c r="LF43" s="39"/>
      <c r="LG43" s="39" t="str">
        <f>IF(Sheet!LG43="Совсем нет / Not at all",1,IF(Sheet!LH43="Немного / A little",2,IF(Sheet!LI43="Довольно сильно / Quite a bit",3,IF(Sheet!LJ43="Очень сильно / Extremely",4,""))))</f>
        <v/>
      </c>
      <c r="LH43" s="39"/>
      <c r="LI43" s="39"/>
      <c r="LJ43" s="39"/>
      <c r="LK43" s="39" t="str">
        <f>IF(Sheet!LK43="Совсем нет / Not at all",1,IF(Sheet!LL43="Немного / A little",2,IF(Sheet!LM43="Довольно сильно / Quite a bit",3,IF(Sheet!LN43="Очень сильно / Extremely",4,""))))</f>
        <v/>
      </c>
      <c r="LL43" s="39"/>
      <c r="LM43" s="39"/>
      <c r="LN43" s="39"/>
      <c r="LO43" s="39" t="str">
        <f>IF(Sheet!LO43="Совсем нет / Not at all",1,IF(Sheet!LP43="Немного / A little",2,IF(Sheet!LQ43="Довольно сильно / Quite a bit",3,IF(Sheet!LR43="Очень сильно / Extremely",4,""))))</f>
        <v/>
      </c>
      <c r="LP43" s="39"/>
      <c r="LQ43" s="39"/>
      <c r="LR43" s="39"/>
      <c r="LS43" s="39" t="str">
        <f>IF(Sheet!LS43="Совсем нет / Not at all",1,IF(Sheet!LT43="Немного / A little",2,IF(Sheet!LU43="Довольно сильно / Quite a bit",3,IF(Sheet!LV43="Очень сильно / Extremely",4,""))))</f>
        <v/>
      </c>
      <c r="LT43" s="39"/>
      <c r="LU43" s="39"/>
      <c r="LV43" s="39"/>
      <c r="LW43" s="39" t="str">
        <f>IF(Sheet!LW43="Совсем нет / Not at all",1,IF(Sheet!LX43="Немного / A little",2,IF(Sheet!LY43="Довольно сильно / Quite a bit",3,IF(Sheet!LZ43="Очень сильно / Extremely",4,""))))</f>
        <v/>
      </c>
      <c r="LX43" s="39"/>
      <c r="LY43" s="39"/>
      <c r="LZ43" s="39"/>
      <c r="MA43" s="39" t="str">
        <f>IF(Sheet!MA43="Совсем нет / Not at all",1,IF(Sheet!MB43="Немного / A little",2,IF(Sheet!MC43="Довольно сильно / Quite a bit",3,IF(Sheet!MD43="Очень сильно / Extremely",4,""))))</f>
        <v/>
      </c>
      <c r="MB43" s="39"/>
      <c r="MC43" s="39"/>
      <c r="MD43" s="39"/>
      <c r="ME43" s="39" t="str">
        <f>IF(Sheet!ME43="Совсем нет / Not at all",1,IF(Sheet!MF43="Немного / A little",2,IF(Sheet!MG43="Довольно сильно / Quite a bit",3,IF(Sheet!MH43="Очень сильно / Extremely",4,""))))</f>
        <v/>
      </c>
      <c r="MF43" s="39"/>
      <c r="MG43" s="39"/>
      <c r="MH43" s="39"/>
      <c r="MI43" s="39" t="str">
        <f>IF(Sheet!MI43="Совсем нет / Not at all",1,IF(Sheet!MJ43="Немного / A little",2,IF(Sheet!MK43="Довольно сильно / Quite a bit",3,IF(Sheet!ML43="Очень сильно / Extremely",4,""))))</f>
        <v/>
      </c>
      <c r="MJ43" s="39"/>
      <c r="MK43" s="39"/>
      <c r="ML43" s="39"/>
      <c r="MM43" s="39" t="str">
        <f>IF(Sheet!MM43="Совсем нет / Not at all",1,IF(Sheet!MN43="Немного / A little",2,IF(Sheet!MO43="Довольно сильно / Quite a bit",3,IF(Sheet!MP43="Очень сильно / Extremely",4,""))))</f>
        <v/>
      </c>
      <c r="MN43" s="39"/>
      <c r="MO43" s="39"/>
      <c r="MP43" s="39"/>
      <c r="MQ43" s="39" t="str">
        <f>IF(Sheet!MQ43="Совсем нет / Not at all",1,IF(Sheet!MR43="Немного / A little",2,IF(Sheet!MS43="Довольно сильно / Quite a bit",3,IF(Sheet!MT43="Очень сильно / Extremely",4,""))))</f>
        <v/>
      </c>
      <c r="MR43" s="39"/>
      <c r="MS43" s="39"/>
      <c r="MT43" s="39"/>
      <c r="MU43" s="39" t="str">
        <f>IF(Sheet!MU43="Совсем нет / Not at all",1,IF(Sheet!MV43="Немного / A little",2,IF(Sheet!MW43="Довольно сильно / Quite a bit",3,IF(Sheet!MX43="Очень сильно / Extremely",4,""))))</f>
        <v/>
      </c>
      <c r="MV43" s="39"/>
      <c r="MW43" s="39"/>
      <c r="MX43" s="39"/>
      <c r="MY43" s="39" t="str">
        <f>IF(Sheet!MY43="Совсем нет / Not at all",1,IF(Sheet!MZ43="Немного / A little",2,IF(Sheet!NA43="Довольно сильно / Quite a bit",3,IF(Sheet!NB43="Очень сильно / Extremely",4,""))))</f>
        <v/>
      </c>
      <c r="MZ43" s="39"/>
      <c r="NA43" s="39"/>
      <c r="NB43" s="39"/>
      <c r="NC43" s="39" t="str">
        <f>IF(Sheet!NC43="Совсем нет / Not at all",1,IF(Sheet!ND43="Немного / A little",2,IF(Sheet!NE43="Довольно сильно / Quite a bit",3,IF(Sheet!NF43="Очень сильно / Extremely",4,""))))</f>
        <v/>
      </c>
      <c r="ND43" s="39"/>
      <c r="NE43" s="39"/>
      <c r="NF43" s="39"/>
      <c r="NG43" s="39" t="str">
        <f>IF(Sheet!NG43="Совсем нет / Not at all",1,IF(Sheet!NH43="Немного / A little",2,IF(Sheet!NI43="Довольно сильно / Quite a bit",3,IF(Sheet!NJ43="Очень сильно / Extremely",4,""))))</f>
        <v/>
      </c>
      <c r="NH43" s="39"/>
      <c r="NI43" s="39"/>
      <c r="NJ43" s="39"/>
      <c r="NK43" s="39" t="str">
        <f>IF(Sheet!NK43="Совсем нет / Not at all",1,IF(Sheet!NL43="Немного / A little",2,IF(Sheet!NM43="Довольно сильно / Quite a bit",3,IF(Sheet!NN43="Очень сильно / Extremely",4,""))))</f>
        <v/>
      </c>
      <c r="NL43" s="39"/>
      <c r="NM43" s="39"/>
      <c r="NN43" s="39"/>
      <c r="NO43" s="39" t="str">
        <f>IF(Sheet!NO43="Совсем нет / Not at all",1,IF(Sheet!NP43="Немного / A little",2,IF(Sheet!NQ43="Довольно сильно / Quite a bit",3,IF(Sheet!NR43="Очень сильно / Extremely",4,""))))</f>
        <v/>
      </c>
      <c r="NP43" s="39"/>
      <c r="NQ43" s="39"/>
      <c r="NR43" s="39"/>
      <c r="NS43" s="39" t="str">
        <f>IF(Sheet!NS43="Совсем нет / Not at all",1,IF(Sheet!NT43="Немного / A little",2,IF(Sheet!NU43="Довольно сильно / Quite a bit",3,IF(Sheet!NV43="Очень сильно / Extremely",4,""))))</f>
        <v/>
      </c>
      <c r="NT43" s="39"/>
      <c r="NU43" s="39"/>
      <c r="NV43" s="39"/>
      <c r="NW43" s="39" t="str">
        <f>IF(Sheet!NW43="Совсем нет / Not at all",1,IF(Sheet!NX43="Немного / A little",2,IF(Sheet!NY43="Довольно сильно / Quite a bit",3,IF(Sheet!NZ43="Очень сильно / Extremely",4,""))))</f>
        <v/>
      </c>
      <c r="NX43" s="39"/>
      <c r="NY43" s="39"/>
      <c r="NZ43" s="39"/>
      <c r="OA43" s="39" t="str">
        <f>IF(Sheet!OA43="Совсем нет / Not at all",1,IF(Sheet!OB43="Немного / A little",2,IF(Sheet!OC43="Довольно сильно / Quite a bit",3,IF(Sheet!OD43="Очень сильно / Extremely",4,""))))</f>
        <v/>
      </c>
      <c r="OB43" s="39"/>
      <c r="OC43" s="39"/>
      <c r="OD43" s="39"/>
      <c r="OE43" s="39" t="str">
        <f>IF(Sheet!OE43="Совсем нет / Not at all",1,IF(Sheet!OF43="Немного / A little",2,IF(Sheet!OG43="Довольно сильно / Quite a bit",3,IF(Sheet!OH43="Очень сильно / Extremely",4,""))))</f>
        <v/>
      </c>
      <c r="OF43" s="39"/>
      <c r="OG43" s="39"/>
      <c r="OH43" s="39"/>
      <c r="OI43" s="39" t="str">
        <f>IF(Sheet!OI43="Совсем нет / Not at all",1,IF(Sheet!OJ43="Немного / A little",2,IF(Sheet!OK43="Довольно сильно / Quite a bit",3,IF(Sheet!OL43="Очень сильно / Extremely",4,""))))</f>
        <v/>
      </c>
    </row>
    <row r="44" spans="1:399" ht="13.9">
      <c r="A44" s="39" t="s">
        <v>561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27"/>
      <c r="KS44" s="27"/>
      <c r="KT44" s="39"/>
      <c r="KU44" s="39" t="str">
        <f>IF(Sheet!KU44="Совсем нет / Not at all",1,IF(Sheet!KV44="Немного / A little",2,IF(Sheet!KW44="Довольно сильно / Quite a bit",3,IF(Sheet!KX44="Очень сильно / Extremely",4,""))))</f>
        <v/>
      </c>
      <c r="KV44" s="39"/>
      <c r="KW44" s="39"/>
      <c r="KX44" s="39"/>
      <c r="KY44" s="39" t="str">
        <f>IF(Sheet!KY44="Совсем нет / Not at all",1,IF(Sheet!KZ44="Немного / A little",2,IF(Sheet!LA44="Довольно сильно / Quite a bit",3,IF(Sheet!LB44="Очень сильно / Extremely",4,""))))</f>
        <v/>
      </c>
      <c r="KZ44" s="39"/>
      <c r="LA44" s="39"/>
      <c r="LB44" s="39"/>
      <c r="LC44" s="39" t="str">
        <f>IF(Sheet!LC44="Совсем нет / Not at all",1,IF(Sheet!LD44="Немного / A little",2,IF(Sheet!LE44="Довольно сильно / Quite a bit",3,IF(Sheet!LF44="Очень сильно / Extremely",4,""))))</f>
        <v/>
      </c>
      <c r="LD44" s="39"/>
      <c r="LE44" s="39"/>
      <c r="LF44" s="39"/>
      <c r="LG44" s="39" t="str">
        <f>IF(Sheet!LG44="Совсем нет / Not at all",1,IF(Sheet!LH44="Немного / A little",2,IF(Sheet!LI44="Довольно сильно / Quite a bit",3,IF(Sheet!LJ44="Очень сильно / Extremely",4,""))))</f>
        <v/>
      </c>
      <c r="LH44" s="39"/>
      <c r="LI44" s="39"/>
      <c r="LJ44" s="39"/>
      <c r="LK44" s="39" t="str">
        <f>IF(Sheet!LK44="Совсем нет / Not at all",1,IF(Sheet!LL44="Немного / A little",2,IF(Sheet!LM44="Довольно сильно / Quite a bit",3,IF(Sheet!LN44="Очень сильно / Extremely",4,""))))</f>
        <v/>
      </c>
      <c r="LL44" s="39"/>
      <c r="LM44" s="39"/>
      <c r="LN44" s="39"/>
      <c r="LO44" s="39" t="str">
        <f>IF(Sheet!LO44="Совсем нет / Not at all",1,IF(Sheet!LP44="Немного / A little",2,IF(Sheet!LQ44="Довольно сильно / Quite a bit",3,IF(Sheet!LR44="Очень сильно / Extremely",4,""))))</f>
        <v/>
      </c>
      <c r="LP44" s="39"/>
      <c r="LQ44" s="39"/>
      <c r="LR44" s="39"/>
      <c r="LS44" s="39" t="str">
        <f>IF(Sheet!LS44="Совсем нет / Not at all",1,IF(Sheet!LT44="Немного / A little",2,IF(Sheet!LU44="Довольно сильно / Quite a bit",3,IF(Sheet!LV44="Очень сильно / Extremely",4,""))))</f>
        <v/>
      </c>
      <c r="LT44" s="39"/>
      <c r="LU44" s="39"/>
      <c r="LV44" s="39"/>
      <c r="LW44" s="39" t="str">
        <f>IF(Sheet!LW44="Совсем нет / Not at all",1,IF(Sheet!LX44="Немного / A little",2,IF(Sheet!LY44="Довольно сильно / Quite a bit",3,IF(Sheet!LZ44="Очень сильно / Extremely",4,""))))</f>
        <v/>
      </c>
      <c r="LX44" s="39"/>
      <c r="LY44" s="39"/>
      <c r="LZ44" s="39"/>
      <c r="MA44" s="39" t="str">
        <f>IF(Sheet!MA44="Совсем нет / Not at all",1,IF(Sheet!MB44="Немного / A little",2,IF(Sheet!MC44="Довольно сильно / Quite a bit",3,IF(Sheet!MD44="Очень сильно / Extremely",4,""))))</f>
        <v/>
      </c>
      <c r="MB44" s="39"/>
      <c r="MC44" s="39"/>
      <c r="MD44" s="39"/>
      <c r="ME44" s="39" t="str">
        <f>IF(Sheet!ME44="Совсем нет / Not at all",1,IF(Sheet!MF44="Немного / A little",2,IF(Sheet!MG44="Довольно сильно / Quite a bit",3,IF(Sheet!MH44="Очень сильно / Extremely",4,""))))</f>
        <v/>
      </c>
      <c r="MF44" s="39"/>
      <c r="MG44" s="39"/>
      <c r="MH44" s="39"/>
      <c r="MI44" s="39" t="str">
        <f>IF(Sheet!MI44="Совсем нет / Not at all",1,IF(Sheet!MJ44="Немного / A little",2,IF(Sheet!MK44="Довольно сильно / Quite a bit",3,IF(Sheet!ML44="Очень сильно / Extremely",4,""))))</f>
        <v/>
      </c>
      <c r="MJ44" s="39"/>
      <c r="MK44" s="39"/>
      <c r="ML44" s="39"/>
      <c r="MM44" s="39" t="str">
        <f>IF(Sheet!MM44="Совсем нет / Not at all",1,IF(Sheet!MN44="Немного / A little",2,IF(Sheet!MO44="Довольно сильно / Quite a bit",3,IF(Sheet!MP44="Очень сильно / Extremely",4,""))))</f>
        <v/>
      </c>
      <c r="MN44" s="39"/>
      <c r="MO44" s="39"/>
      <c r="MP44" s="39"/>
      <c r="MQ44" s="39" t="str">
        <f>IF(Sheet!MQ44="Совсем нет / Not at all",1,IF(Sheet!MR44="Немного / A little",2,IF(Sheet!MS44="Довольно сильно / Quite a bit",3,IF(Sheet!MT44="Очень сильно / Extremely",4,""))))</f>
        <v/>
      </c>
      <c r="MR44" s="39"/>
      <c r="MS44" s="39"/>
      <c r="MT44" s="39"/>
      <c r="MU44" s="39" t="str">
        <f>IF(Sheet!MU44="Совсем нет / Not at all",1,IF(Sheet!MV44="Немного / A little",2,IF(Sheet!MW44="Довольно сильно / Quite a bit",3,IF(Sheet!MX44="Очень сильно / Extremely",4,""))))</f>
        <v/>
      </c>
      <c r="MV44" s="39"/>
      <c r="MW44" s="39"/>
      <c r="MX44" s="39"/>
      <c r="MY44" s="39" t="str">
        <f>IF(Sheet!MY44="Совсем нет / Not at all",1,IF(Sheet!MZ44="Немного / A little",2,IF(Sheet!NA44="Довольно сильно / Quite a bit",3,IF(Sheet!NB44="Очень сильно / Extremely",4,""))))</f>
        <v/>
      </c>
      <c r="MZ44" s="39"/>
      <c r="NA44" s="39"/>
      <c r="NB44" s="39"/>
      <c r="NC44" s="39" t="str">
        <f>IF(Sheet!NC44="Совсем нет / Not at all",1,IF(Sheet!ND44="Немного / A little",2,IF(Sheet!NE44="Довольно сильно / Quite a bit",3,IF(Sheet!NF44="Очень сильно / Extremely",4,""))))</f>
        <v/>
      </c>
      <c r="ND44" s="39"/>
      <c r="NE44" s="39"/>
      <c r="NF44" s="39"/>
      <c r="NG44" s="39" t="str">
        <f>IF(Sheet!NG44="Совсем нет / Not at all",1,IF(Sheet!NH44="Немного / A little",2,IF(Sheet!NI44="Довольно сильно / Quite a bit",3,IF(Sheet!NJ44="Очень сильно / Extremely",4,""))))</f>
        <v/>
      </c>
      <c r="NH44" s="39"/>
      <c r="NI44" s="39"/>
      <c r="NJ44" s="39"/>
      <c r="NK44" s="39" t="str">
        <f>IF(Sheet!NK44="Совсем нет / Not at all",1,IF(Sheet!NL44="Немного / A little",2,IF(Sheet!NM44="Довольно сильно / Quite a bit",3,IF(Sheet!NN44="Очень сильно / Extremely",4,""))))</f>
        <v/>
      </c>
      <c r="NL44" s="39"/>
      <c r="NM44" s="39"/>
      <c r="NN44" s="39"/>
      <c r="NO44" s="39" t="str">
        <f>IF(Sheet!NO44="Совсем нет / Not at all",1,IF(Sheet!NP44="Немного / A little",2,IF(Sheet!NQ44="Довольно сильно / Quite a bit",3,IF(Sheet!NR44="Очень сильно / Extremely",4,""))))</f>
        <v/>
      </c>
      <c r="NP44" s="39"/>
      <c r="NQ44" s="39"/>
      <c r="NR44" s="39"/>
      <c r="NS44" s="39" t="str">
        <f>IF(Sheet!NS44="Совсем нет / Not at all",1,IF(Sheet!NT44="Немного / A little",2,IF(Sheet!NU44="Довольно сильно / Quite a bit",3,IF(Sheet!NV44="Очень сильно / Extremely",4,""))))</f>
        <v/>
      </c>
      <c r="NT44" s="39"/>
      <c r="NU44" s="39"/>
      <c r="NV44" s="39"/>
      <c r="NW44" s="39" t="str">
        <f>IF(Sheet!NW44="Совсем нет / Not at all",1,IF(Sheet!NX44="Немного / A little",2,IF(Sheet!NY44="Довольно сильно / Quite a bit",3,IF(Sheet!NZ44="Очень сильно / Extremely",4,""))))</f>
        <v/>
      </c>
      <c r="NX44" s="39"/>
      <c r="NY44" s="39"/>
      <c r="NZ44" s="39"/>
      <c r="OA44" s="39" t="str">
        <f>IF(Sheet!OA44="Совсем нет / Not at all",1,IF(Sheet!OB44="Немного / A little",2,IF(Sheet!OC44="Довольно сильно / Quite a bit",3,IF(Sheet!OD44="Очень сильно / Extremely",4,""))))</f>
        <v/>
      </c>
      <c r="OB44" s="39"/>
      <c r="OC44" s="39"/>
      <c r="OD44" s="39"/>
      <c r="OE44" s="39" t="str">
        <f>IF(Sheet!OE44="Совсем нет / Not at all",1,IF(Sheet!OF44="Немного / A little",2,IF(Sheet!OG44="Довольно сильно / Quite a bit",3,IF(Sheet!OH44="Очень сильно / Extremely",4,""))))</f>
        <v/>
      </c>
      <c r="OF44" s="39"/>
      <c r="OG44" s="39"/>
      <c r="OH44" s="39"/>
      <c r="OI44" s="39" t="str">
        <f>IF(Sheet!OI44="Совсем нет / Not at all",1,IF(Sheet!OJ44="Немного / A little",2,IF(Sheet!OK44="Довольно сильно / Quite a bit",3,IF(Sheet!OL44="Очень сильно / Extremely",4,""))))</f>
        <v/>
      </c>
    </row>
    <row r="45" spans="1:399">
      <c r="A45" t="str">
        <f>Sheet!A45</f>
        <v>PF001</v>
      </c>
      <c r="KR45" s="27">
        <f>SUM(KU45,KY45,LC45,LG45,LK45,LO45,LS45,LW45,MA45,ME45)/10</f>
        <v>1</v>
      </c>
      <c r="KS45" s="27">
        <f>SUM(MI45,MM45,MQ45,MU45,MY45,NC45,NG45,NK45,NO45,NS45,NW45,OA45,OE45,OI45)/14</f>
        <v>2.4285714285714284</v>
      </c>
      <c r="KU45">
        <f>IF(Sheet!KU45="Совсем нет / Not at all",1,IF(Sheet!KV45="Немного / A little",2,IF(Sheet!KW45="Довольно сильно / Quite a bit",3,IF(Sheet!KX45="Очень сильно / Extremely",4,""))))</f>
        <v>1</v>
      </c>
      <c r="KY45">
        <f>IF(Sheet!KY45="Совсем нет / Not at all",1,IF(Sheet!KZ45="Немного / A little",2,IF(Sheet!LA45="Довольно сильно / Quite a bit",3,IF(Sheet!LB45="Очень сильно / Extremely",4,""))))</f>
        <v>1</v>
      </c>
      <c r="LC45">
        <f>IF(Sheet!LC45="Совсем нет / Not at all",1,IF(Sheet!LD45="Немного / A little",2,IF(Sheet!LE45="Довольно сильно / Quite a bit",3,IF(Sheet!LF45="Очень сильно / Extremely",4,""))))</f>
        <v>1</v>
      </c>
      <c r="LG45">
        <f>IF(Sheet!LG45="Совсем нет / Not at all",1,IF(Sheet!LH45="Немного / A little",2,IF(Sheet!LI45="Довольно сильно / Quite a bit",3,IF(Sheet!LJ45="Очень сильно / Extremely",4,""))))</f>
        <v>1</v>
      </c>
      <c r="LK45">
        <f>IF(Sheet!LK45="Совсем нет / Not at all",1,IF(Sheet!LL45="Немного / A little",2,IF(Sheet!LM45="Довольно сильно / Quite a bit",3,IF(Sheet!LN45="Очень сильно / Extremely",4,""))))</f>
        <v>1</v>
      </c>
      <c r="LO45">
        <f>IF(Sheet!LO45="Совсем нет / Not at all",1,IF(Sheet!LP45="Немного / A little",2,IF(Sheet!LQ45="Довольно сильно / Quite a bit",3,IF(Sheet!LR45="Очень сильно / Extremely",4,""))))</f>
        <v>1</v>
      </c>
      <c r="LS45">
        <f>IF(Sheet!LS45="Совсем нет / Not at all",1,IF(Sheet!LT45="Немного / A little",2,IF(Sheet!LU45="Довольно сильно / Quite a bit",3,IF(Sheet!LV45="Очень сильно / Extremely",4,""))))</f>
        <v>1</v>
      </c>
      <c r="LW45">
        <f>IF(Sheet!LW45="Совсем нет / Not at all",1,IF(Sheet!LX45="Немного / A little",2,IF(Sheet!LY45="Довольно сильно / Quite a bit",3,IF(Sheet!LZ45="Очень сильно / Extremely",4,""))))</f>
        <v>1</v>
      </c>
      <c r="MA45">
        <f>IF(Sheet!MA45="Совсем нет / Not at all",1,IF(Sheet!MB45="Немного / A little",2,IF(Sheet!MC45="Довольно сильно / Quite a bit",3,IF(Sheet!MD45="Очень сильно / Extremely",4,""))))</f>
        <v>1</v>
      </c>
      <c r="ME45">
        <f>IF(Sheet!ME45="Совсем нет / Not at all",1,IF(Sheet!MF45="Немного / A little",2,IF(Sheet!MG45="Довольно сильно / Quite a bit",3,IF(Sheet!MH45="Очень сильно / Extremely",4,""))))</f>
        <v>1</v>
      </c>
      <c r="MI45">
        <f>IF(Sheet!MI45="Совсем нет / Not at all",1,IF(Sheet!MJ45="Немного / A little",2,IF(Sheet!MK45="Довольно сильно / Quite a bit",3,IF(Sheet!ML45="Очень сильно / Extremely",4,""))))</f>
        <v>4</v>
      </c>
      <c r="MM45">
        <f>IF(Sheet!MM45="Совсем нет / Not at all",1,IF(Sheet!MN45="Немного / A little",2,IF(Sheet!MO45="Довольно сильно / Quite a bit",3,IF(Sheet!MP45="Очень сильно / Extremely",4,""))))</f>
        <v>3</v>
      </c>
      <c r="MQ45">
        <f>IF(Sheet!MQ45="Совсем нет / Not at all",1,IF(Sheet!MR45="Немного / A little",2,IF(Sheet!MS45="Довольно сильно / Quite a bit",3,IF(Sheet!MT45="Очень сильно / Extremely",4,""))))</f>
        <v>1</v>
      </c>
      <c r="MU45">
        <f>IF(Sheet!MU45="Совсем нет / Not at all",1,IF(Sheet!MV45="Немного / A little",2,IF(Sheet!MW45="Довольно сильно / Quite a bit",3,IF(Sheet!MX45="Очень сильно / Extremely",4,""))))</f>
        <v>1</v>
      </c>
      <c r="MY45">
        <f>IF(Sheet!MY45="Совсем нет / Not at all",1,IF(Sheet!MZ45="Немного / A little",2,IF(Sheet!NA45="Довольно сильно / Quite a bit",3,IF(Sheet!NB45="Очень сильно / Extremely",4,""))))</f>
        <v>1</v>
      </c>
      <c r="NC45">
        <f>IF(Sheet!NC45="Совсем нет / Not at all",1,IF(Sheet!ND45="Немного / A little",2,IF(Sheet!NE45="Довольно сильно / Quite a bit",3,IF(Sheet!NF45="Очень сильно / Extremely",4,""))))</f>
        <v>2</v>
      </c>
      <c r="NG45">
        <f>IF(Sheet!NG45="Совсем нет / Not at all",1,IF(Sheet!NH45="Немного / A little",2,IF(Sheet!NI45="Довольно сильно / Quite a bit",3,IF(Sheet!NJ45="Очень сильно / Extremely",4,""))))</f>
        <v>3</v>
      </c>
      <c r="NK45">
        <f>IF(Sheet!NK45="Совсем нет / Not at all",1,IF(Sheet!NL45="Немного / A little",2,IF(Sheet!NM45="Довольно сильно / Quite a bit",3,IF(Sheet!NN45="Очень сильно / Extremely",4,""))))</f>
        <v>3</v>
      </c>
      <c r="NO45">
        <f>IF(Sheet!NO45="Совсем нет / Not at all",1,IF(Sheet!NP45="Немного / A little",2,IF(Sheet!NQ45="Довольно сильно / Quite a bit",3,IF(Sheet!NR45="Очень сильно / Extremely",4,""))))</f>
        <v>3</v>
      </c>
      <c r="NS45">
        <f>IF(Sheet!NS45="Совсем нет / Not at all",1,IF(Sheet!NT45="Немного / A little",2,IF(Sheet!NU45="Довольно сильно / Quite a bit",3,IF(Sheet!NV45="Очень сильно / Extremely",4,""))))</f>
        <v>1</v>
      </c>
      <c r="NW45">
        <f>IF(Sheet!NW45="Совсем нет / Not at all",1,IF(Sheet!NX45="Немного / A little",2,IF(Sheet!NY45="Довольно сильно / Quite a bit",3,IF(Sheet!NZ45="Очень сильно / Extremely",4,""))))</f>
        <v>2</v>
      </c>
      <c r="OA45">
        <f>IF(Sheet!OA45="Совсем нет / Not at all",1,IF(Sheet!OB45="Немного / A little",2,IF(Sheet!OC45="Довольно сильно / Quite a bit",3,IF(Sheet!OD45="Очень сильно / Extremely",4,""))))</f>
        <v>3</v>
      </c>
      <c r="OE45">
        <f>IF(Sheet!OE45="Совсем нет / Not at all",1,IF(Sheet!OF45="Немного / A little",2,IF(Sheet!OG45="Довольно сильно / Quite a bit",3,IF(Sheet!OH45="Очень сильно / Extremely",4,""))))</f>
        <v>4</v>
      </c>
      <c r="OI45">
        <f>IF(Sheet!OI45="Совсем нет / Not at all",1,IF(Sheet!OJ45="Немного / A little",2,IF(Sheet!OK45="Довольно сильно / Quite a bit",3,IF(Sheet!OL45="Очень сильно / Extremely",4,""))))</f>
        <v>3</v>
      </c>
    </row>
    <row r="46" spans="1:399">
      <c r="A46" t="str">
        <f>Sheet!A46</f>
        <v>MC001</v>
      </c>
      <c r="KR46" s="27">
        <f>SUM(KU46,KY46,LC46,LG46,LK46,LO46,LS46,LW46,MA46,ME46)/10</f>
        <v>2.2999999999999998</v>
      </c>
      <c r="KS46" s="27">
        <f>SUM(MI46,MM46,MQ46,MU46,MY46,NC46,NG46,NK46,NO46,NS46,NW46,OA46,OE46,OI46)/14</f>
        <v>3.3571428571428572</v>
      </c>
      <c r="KU46">
        <f>IF(Sheet!KU46="Совсем нет / Not at all",1,IF(Sheet!KV46="Немного / A little",2,IF(Sheet!KW46="Довольно сильно / Quite a bit",3,IF(Sheet!KX46="Очень сильно / Extremely",4,""))))</f>
        <v>2</v>
      </c>
      <c r="KY46">
        <f>IF(Sheet!KY46="Совсем нет / Not at all",1,IF(Sheet!KZ46="Немного / A little",2,IF(Sheet!LA46="Довольно сильно / Quite a bit",3,IF(Sheet!LB46="Очень сильно / Extremely",4,""))))</f>
        <v>3</v>
      </c>
      <c r="LC46">
        <f>IF(Sheet!LC46="Совсем нет / Not at all",1,IF(Sheet!LD46="Немного / A little",2,IF(Sheet!LE46="Довольно сильно / Quite a bit",3,IF(Sheet!LF46="Очень сильно / Extremely",4,""))))</f>
        <v>2</v>
      </c>
      <c r="LG46">
        <f>IF(Sheet!LG46="Совсем нет / Not at all",1,IF(Sheet!LH46="Немного / A little",2,IF(Sheet!LI46="Довольно сильно / Quite a bit",3,IF(Sheet!LJ46="Очень сильно / Extremely",4,""))))</f>
        <v>3</v>
      </c>
      <c r="LK46">
        <f>IF(Sheet!LK46="Совсем нет / Not at all",1,IF(Sheet!LL46="Немного / A little",2,IF(Sheet!LM46="Довольно сильно / Quite a bit",3,IF(Sheet!LN46="Очень сильно / Extremely",4,""))))</f>
        <v>2</v>
      </c>
      <c r="LO46">
        <f>IF(Sheet!LO46="Совсем нет / Not at all",1,IF(Sheet!LP46="Немного / A little",2,IF(Sheet!LQ46="Довольно сильно / Quite a bit",3,IF(Sheet!LR46="Очень сильно / Extremely",4,""))))</f>
        <v>1</v>
      </c>
      <c r="LS46">
        <f>IF(Sheet!LS46="Совсем нет / Not at all",1,IF(Sheet!LT46="Немного / A little",2,IF(Sheet!LU46="Довольно сильно / Quite a bit",3,IF(Sheet!LV46="Очень сильно / Extremely",4,""))))</f>
        <v>2</v>
      </c>
      <c r="LW46">
        <f>IF(Sheet!LW46="Совсем нет / Not at all",1,IF(Sheet!LX46="Немного / A little",2,IF(Sheet!LY46="Довольно сильно / Quite a bit",3,IF(Sheet!LZ46="Очень сильно / Extremely",4,""))))</f>
        <v>3</v>
      </c>
      <c r="MA46">
        <f>IF(Sheet!MA46="Совсем нет / Not at all",1,IF(Sheet!MB46="Немного / A little",2,IF(Sheet!MC46="Довольно сильно / Quite a bit",3,IF(Sheet!MD46="Очень сильно / Extremely",4,""))))</f>
        <v>2</v>
      </c>
      <c r="ME46">
        <f>IF(Sheet!ME46="Совсем нет / Not at all",1,IF(Sheet!MF46="Немного / A little",2,IF(Sheet!MG46="Довольно сильно / Quite a bit",3,IF(Sheet!MH46="Очень сильно / Extremely",4,""))))</f>
        <v>3</v>
      </c>
      <c r="MI46">
        <f>IF(Sheet!MI46="Совсем нет / Not at all",1,IF(Sheet!MJ46="Немного / A little",2,IF(Sheet!MK46="Довольно сильно / Quite a bit",3,IF(Sheet!ML46="Очень сильно / Extremely",4,""))))</f>
        <v>4</v>
      </c>
      <c r="MM46">
        <f>IF(Sheet!MM46="Совсем нет / Not at all",1,IF(Sheet!MN46="Немного / A little",2,IF(Sheet!MO46="Довольно сильно / Quite a bit",3,IF(Sheet!MP46="Очень сильно / Extremely",4,""))))</f>
        <v>1</v>
      </c>
      <c r="MQ46">
        <f>IF(Sheet!MQ46="Совсем нет / Not at all",1,IF(Sheet!MR46="Немного / A little",2,IF(Sheet!MS46="Довольно сильно / Quite a bit",3,IF(Sheet!MT46="Очень сильно / Extremely",4,""))))</f>
        <v>4</v>
      </c>
      <c r="MU46">
        <f>IF(Sheet!MU46="Совсем нет / Not at all",1,IF(Sheet!MV46="Немного / A little",2,IF(Sheet!MW46="Довольно сильно / Quite a bit",3,IF(Sheet!MX46="Очень сильно / Extremely",4,""))))</f>
        <v>4</v>
      </c>
      <c r="MY46">
        <f>IF(Sheet!MY46="Совсем нет / Not at all",1,IF(Sheet!MZ46="Немного / A little",2,IF(Sheet!NA46="Довольно сильно / Quite a bit",3,IF(Sheet!NB46="Очень сильно / Extremely",4,""))))</f>
        <v>4</v>
      </c>
      <c r="NC46">
        <f>IF(Sheet!NC46="Совсем нет / Not at all",1,IF(Sheet!ND46="Немного / A little",2,IF(Sheet!NE46="Довольно сильно / Quite a bit",3,IF(Sheet!NF46="Очень сильно / Extremely",4,""))))</f>
        <v>4</v>
      </c>
      <c r="NG46">
        <f>IF(Sheet!NG46="Совсем нет / Not at all",1,IF(Sheet!NH46="Немного / A little",2,IF(Sheet!NI46="Довольно сильно / Quite a bit",3,IF(Sheet!NJ46="Очень сильно / Extremely",4,""))))</f>
        <v>4</v>
      </c>
      <c r="NK46">
        <f>IF(Sheet!NK46="Совсем нет / Not at all",1,IF(Sheet!NL46="Немного / A little",2,IF(Sheet!NM46="Довольно сильно / Quite a bit",3,IF(Sheet!NN46="Очень сильно / Extremely",4,""))))</f>
        <v>4</v>
      </c>
      <c r="NO46">
        <f>IF(Sheet!NO46="Совсем нет / Not at all",1,IF(Sheet!NP46="Немного / A little",2,IF(Sheet!NQ46="Довольно сильно / Quite a bit",3,IF(Sheet!NR46="Очень сильно / Extremely",4,""))))</f>
        <v>3</v>
      </c>
      <c r="NS46">
        <f>IF(Sheet!NS46="Совсем нет / Not at all",1,IF(Sheet!NT46="Немного / A little",2,IF(Sheet!NU46="Довольно сильно / Quite a bit",3,IF(Sheet!NV46="Очень сильно / Extremely",4,""))))</f>
        <v>4</v>
      </c>
      <c r="NW46">
        <f>IF(Sheet!NW46="Совсем нет / Not at all",1,IF(Sheet!NX46="Немного / A little",2,IF(Sheet!NY46="Довольно сильно / Quite a bit",3,IF(Sheet!NZ46="Очень сильно / Extremely",4,""))))</f>
        <v>2</v>
      </c>
      <c r="OA46">
        <f>IF(Sheet!OA46="Совсем нет / Not at all",1,IF(Sheet!OB46="Немного / A little",2,IF(Sheet!OC46="Довольно сильно / Quite a bit",3,IF(Sheet!OD46="Очень сильно / Extremely",4,""))))</f>
        <v>3</v>
      </c>
      <c r="OE46">
        <f>IF(Sheet!OE46="Совсем нет / Not at all",1,IF(Sheet!OF46="Немного / A little",2,IF(Sheet!OG46="Довольно сильно / Quite a bit",3,IF(Sheet!OH46="Очень сильно / Extremely",4,""))))</f>
        <v>2</v>
      </c>
      <c r="OI46">
        <f>IF(Sheet!OI46="Совсем нет / Not at all",1,IF(Sheet!OJ46="Немного / A little",2,IF(Sheet!OK46="Довольно сильно / Quite a bit",3,IF(Sheet!OL46="Очень сильно / Extremely",4,""))))</f>
        <v>4</v>
      </c>
    </row>
    <row r="47" spans="1:399">
      <c r="A47" t="str">
        <f>Sheet!A47</f>
        <v>UD002</v>
      </c>
      <c r="KR47" s="27">
        <f>SUM(KU47,KY47,LC47,LG47,LK47,LO47,LS47,LW47,MA47,ME47)/10</f>
        <v>3.2</v>
      </c>
      <c r="KS47" s="27">
        <f>SUM(MI47,MM47,MQ47,MU47,MY47,NC47,NG47,NK47,NO47,NS47,NW47,OA47,OE47,OI47)/14</f>
        <v>3.2857142857142856</v>
      </c>
      <c r="KU47">
        <f>IF(Sheet!KU47="Совсем нет / Not at all",1,IF(Sheet!KV47="Немного / A little",2,IF(Sheet!KW47="Довольно сильно / Quite a bit",3,IF(Sheet!KX47="Очень сильно / Extremely",4,""))))</f>
        <v>3</v>
      </c>
      <c r="KY47">
        <f>IF(Sheet!KY47="Совсем нет / Not at all",1,IF(Sheet!KZ47="Немного / A little",2,IF(Sheet!LA47="Довольно сильно / Quite a bit",3,IF(Sheet!LB47="Очень сильно / Extremely",4,""))))</f>
        <v>4</v>
      </c>
      <c r="LC47">
        <f>IF(Sheet!LC47="Совсем нет / Not at all",1,IF(Sheet!LD47="Немного / A little",2,IF(Sheet!LE47="Довольно сильно / Quite a bit",3,IF(Sheet!LF47="Очень сильно / Extremely",4,""))))</f>
        <v>3</v>
      </c>
      <c r="LG47">
        <f>IF(Sheet!LG47="Совсем нет / Not at all",1,IF(Sheet!LH47="Немного / A little",2,IF(Sheet!LI47="Довольно сильно / Quite a bit",3,IF(Sheet!LJ47="Очень сильно / Extremely",4,""))))</f>
        <v>4</v>
      </c>
      <c r="LK47">
        <f>IF(Sheet!LK47="Совсем нет / Not at all",1,IF(Sheet!LL47="Немного / A little",2,IF(Sheet!LM47="Довольно сильно / Quite a bit",3,IF(Sheet!LN47="Очень сильно / Extremely",4,""))))</f>
        <v>3</v>
      </c>
      <c r="LO47">
        <f>IF(Sheet!LO47="Совсем нет / Not at all",1,IF(Sheet!LP47="Немного / A little",2,IF(Sheet!LQ47="Довольно сильно / Quite a bit",3,IF(Sheet!LR47="Очень сильно / Extremely",4,""))))</f>
        <v>2</v>
      </c>
      <c r="LS47">
        <f>IF(Sheet!LS47="Совсем нет / Not at all",1,IF(Sheet!LT47="Немного / A little",2,IF(Sheet!LU47="Довольно сильно / Quite a bit",3,IF(Sheet!LV47="Очень сильно / Extremely",4,""))))</f>
        <v>4</v>
      </c>
      <c r="LW47">
        <f>IF(Sheet!LW47="Совсем нет / Not at all",1,IF(Sheet!LX47="Немного / A little",2,IF(Sheet!LY47="Довольно сильно / Quite a bit",3,IF(Sheet!LZ47="Очень сильно / Extremely",4,""))))</f>
        <v>3</v>
      </c>
      <c r="MA47">
        <f>IF(Sheet!MA47="Совсем нет / Not at all",1,IF(Sheet!MB47="Немного / A little",2,IF(Sheet!MC47="Довольно сильно / Quite a bit",3,IF(Sheet!MD47="Очень сильно / Extremely",4,""))))</f>
        <v>3</v>
      </c>
      <c r="ME47">
        <f>IF(Sheet!ME47="Совсем нет / Not at all",1,IF(Sheet!MF47="Немного / A little",2,IF(Sheet!MG47="Довольно сильно / Quite a bit",3,IF(Sheet!MH47="Очень сильно / Extremely",4,""))))</f>
        <v>3</v>
      </c>
      <c r="MI47">
        <f>IF(Sheet!MI47="Совсем нет / Not at all",1,IF(Sheet!MJ47="Немного / A little",2,IF(Sheet!MK47="Довольно сильно / Quite a bit",3,IF(Sheet!ML47="Очень сильно / Extremely",4,""))))</f>
        <v>3</v>
      </c>
      <c r="MM47">
        <f>IF(Sheet!MM47="Совсем нет / Not at all",1,IF(Sheet!MN47="Немного / A little",2,IF(Sheet!MO47="Довольно сильно / Quite a bit",3,IF(Sheet!MP47="Очень сильно / Extremely",4,""))))</f>
        <v>4</v>
      </c>
      <c r="MQ47">
        <f>IF(Sheet!MQ47="Совсем нет / Not at all",1,IF(Sheet!MR47="Немного / A little",2,IF(Sheet!MS47="Довольно сильно / Quite a bit",3,IF(Sheet!MT47="Очень сильно / Extremely",4,""))))</f>
        <v>2</v>
      </c>
      <c r="MU47">
        <f>IF(Sheet!MU47="Совсем нет / Not at all",1,IF(Sheet!MV47="Немного / A little",2,IF(Sheet!MW47="Довольно сильно / Quite a bit",3,IF(Sheet!MX47="Очень сильно / Extremely",4,""))))</f>
        <v>2</v>
      </c>
      <c r="MY47">
        <f>IF(Sheet!MY47="Совсем нет / Not at all",1,IF(Sheet!MZ47="Немного / A little",2,IF(Sheet!NA47="Довольно сильно / Quite a bit",3,IF(Sheet!NB47="Очень сильно / Extremely",4,""))))</f>
        <v>2</v>
      </c>
      <c r="NC47">
        <f>IF(Sheet!NC47="Совсем нет / Not at all",1,IF(Sheet!ND47="Немного / A little",2,IF(Sheet!NE47="Довольно сильно / Quite a bit",3,IF(Sheet!NF47="Очень сильно / Extremely",4,""))))</f>
        <v>4</v>
      </c>
      <c r="NG47">
        <f>IF(Sheet!NG47="Совсем нет / Not at all",1,IF(Sheet!NH47="Немного / A little",2,IF(Sheet!NI47="Довольно сильно / Quite a bit",3,IF(Sheet!NJ47="Очень сильно / Extremely",4,""))))</f>
        <v>4</v>
      </c>
      <c r="NK47">
        <f>IF(Sheet!NK47="Совсем нет / Not at all",1,IF(Sheet!NL47="Немного / A little",2,IF(Sheet!NM47="Довольно сильно / Quite a bit",3,IF(Sheet!NN47="Очень сильно / Extremely",4,""))))</f>
        <v>4</v>
      </c>
      <c r="NO47">
        <f>IF(Sheet!NO47="Совсем нет / Not at all",1,IF(Sheet!NP47="Немного / A little",2,IF(Sheet!NQ47="Довольно сильно / Quite a bit",3,IF(Sheet!NR47="Очень сильно / Extremely",4,""))))</f>
        <v>4</v>
      </c>
      <c r="NS47">
        <f>IF(Sheet!NS47="Совсем нет / Not at all",1,IF(Sheet!NT47="Немного / A little",2,IF(Sheet!NU47="Довольно сильно / Quite a bit",3,IF(Sheet!NV47="Очень сильно / Extremely",4,""))))</f>
        <v>4</v>
      </c>
      <c r="NW47">
        <f>IF(Sheet!NW47="Совсем нет / Not at all",1,IF(Sheet!NX47="Немного / A little",2,IF(Sheet!NY47="Довольно сильно / Quite a bit",3,IF(Sheet!NZ47="Очень сильно / Extremely",4,""))))</f>
        <v>3</v>
      </c>
      <c r="OA47">
        <f>IF(Sheet!OA47="Совсем нет / Not at all",1,IF(Sheet!OB47="Немного / A little",2,IF(Sheet!OC47="Довольно сильно / Quite a bit",3,IF(Sheet!OD47="Очень сильно / Extremely",4,""))))</f>
        <v>2</v>
      </c>
      <c r="OE47">
        <f>IF(Sheet!OE47="Совсем нет / Not at all",1,IF(Sheet!OF47="Немного / A little",2,IF(Sheet!OG47="Довольно сильно / Quite a bit",3,IF(Sheet!OH47="Очень сильно / Extremely",4,""))))</f>
        <v>4</v>
      </c>
      <c r="OI47">
        <f>IF(Sheet!OI47="Совсем нет / Not at all",1,IF(Sheet!OJ47="Немного / A little",2,IF(Sheet!OK47="Довольно сильно / Quite a bit",3,IF(Sheet!OL47="Очень сильно / Extremely",4,""))))</f>
        <v>4</v>
      </c>
    </row>
    <row r="48" spans="1:399">
      <c r="A48" t="str">
        <f>Sheet!A48</f>
        <v>KI001</v>
      </c>
      <c r="KR48" s="27">
        <f>SUM(KU48,KY48,LC48,LG48,LK48,LO48,LS48,LW48,MA48,ME48)/10</f>
        <v>2.2000000000000002</v>
      </c>
      <c r="KS48" s="27">
        <f>SUM(MI48,MM48,MQ48,MU48,MY48,NC48,NG48,NK48,NO48,NS48,NW48,OA48,OE48,OI48)/14</f>
        <v>1.5714285714285714</v>
      </c>
      <c r="KU48">
        <f>IF(Sheet!KU48="Совсем нет / Not at all",1,IF(Sheet!KV48="Немного / A little",2,IF(Sheet!KW48="Довольно сильно / Quite a bit",3,IF(Sheet!KX48="Очень сильно / Extremely",4,""))))</f>
        <v>2</v>
      </c>
      <c r="KY48">
        <f>IF(Sheet!KY48="Совсем нет / Not at all",1,IF(Sheet!KZ48="Немного / A little",2,IF(Sheet!LA48="Довольно сильно / Quite a bit",3,IF(Sheet!LB48="Очень сильно / Extremely",4,""))))</f>
        <v>2</v>
      </c>
      <c r="LC48">
        <f>IF(Sheet!LC48="Совсем нет / Not at all",1,IF(Sheet!LD48="Немного / A little",2,IF(Sheet!LE48="Довольно сильно / Quite a bit",3,IF(Sheet!LF48="Очень сильно / Extremely",4,""))))</f>
        <v>2</v>
      </c>
      <c r="LG48">
        <f>IF(Sheet!LG48="Совсем нет / Not at all",1,IF(Sheet!LH48="Немного / A little",2,IF(Sheet!LI48="Довольно сильно / Quite a bit",3,IF(Sheet!LJ48="Очень сильно / Extremely",4,""))))</f>
        <v>3</v>
      </c>
      <c r="LK48">
        <f>IF(Sheet!LK48="Совсем нет / Not at all",1,IF(Sheet!LL48="Немного / A little",2,IF(Sheet!LM48="Довольно сильно / Quite a bit",3,IF(Sheet!LN48="Очень сильно / Extremely",4,""))))</f>
        <v>1</v>
      </c>
      <c r="LO48">
        <f>IF(Sheet!LO48="Совсем нет / Not at all",1,IF(Sheet!LP48="Немного / A little",2,IF(Sheet!LQ48="Довольно сильно / Quite a bit",3,IF(Sheet!LR48="Очень сильно / Extremely",4,""))))</f>
        <v>1</v>
      </c>
      <c r="LS48">
        <f>IF(Sheet!LS48="Совсем нет / Not at all",1,IF(Sheet!LT48="Немного / A little",2,IF(Sheet!LU48="Довольно сильно / Quite a bit",3,IF(Sheet!LV48="Очень сильно / Extremely",4,""))))</f>
        <v>4</v>
      </c>
      <c r="LW48">
        <f>IF(Sheet!LW48="Совсем нет / Not at all",1,IF(Sheet!LX48="Немного / A little",2,IF(Sheet!LY48="Довольно сильно / Quite a bit",3,IF(Sheet!LZ48="Очень сильно / Extremely",4,""))))</f>
        <v>3</v>
      </c>
      <c r="MA48">
        <f>IF(Sheet!MA48="Совсем нет / Not at all",1,IF(Sheet!MB48="Немного / A little",2,IF(Sheet!MC48="Довольно сильно / Quite a bit",3,IF(Sheet!MD48="Очень сильно / Extremely",4,""))))</f>
        <v>1</v>
      </c>
      <c r="ME48">
        <f>IF(Sheet!ME48="Совсем нет / Not at all",1,IF(Sheet!MF48="Немного / A little",2,IF(Sheet!MG48="Довольно сильно / Quite a bit",3,IF(Sheet!MH48="Очень сильно / Extremely",4,""))))</f>
        <v>3</v>
      </c>
      <c r="MI48">
        <f>IF(Sheet!MI48="Совсем нет / Not at all",1,IF(Sheet!MJ48="Немного / A little",2,IF(Sheet!MK48="Довольно сильно / Quite a bit",3,IF(Sheet!ML48="Очень сильно / Extremely",4,""))))</f>
        <v>2</v>
      </c>
      <c r="MM48">
        <f>IF(Sheet!MM48="Совсем нет / Not at all",1,IF(Sheet!MN48="Немного / A little",2,IF(Sheet!MO48="Довольно сильно / Quite a bit",3,IF(Sheet!MP48="Очень сильно / Extremely",4,""))))</f>
        <v>1</v>
      </c>
      <c r="MQ48">
        <f>IF(Sheet!MQ48="Совсем нет / Not at all",1,IF(Sheet!MR48="Немного / A little",2,IF(Sheet!MS48="Довольно сильно / Quite a bit",3,IF(Sheet!MT48="Очень сильно / Extremely",4,""))))</f>
        <v>3</v>
      </c>
      <c r="MU48">
        <f>IF(Sheet!MU48="Совсем нет / Not at all",1,IF(Sheet!MV48="Немного / A little",2,IF(Sheet!MW48="Довольно сильно / Quite a bit",3,IF(Sheet!MX48="Очень сильно / Extremely",4,""))))</f>
        <v>1</v>
      </c>
      <c r="MY48">
        <f>IF(Sheet!MY48="Совсем нет / Not at all",1,IF(Sheet!MZ48="Немного / A little",2,IF(Sheet!NA48="Довольно сильно / Quite a bit",3,IF(Sheet!NB48="Очень сильно / Extremely",4,""))))</f>
        <v>1</v>
      </c>
      <c r="NC48">
        <f>IF(Sheet!NC48="Совсем нет / Not at all",1,IF(Sheet!ND48="Немного / A little",2,IF(Sheet!NE48="Довольно сильно / Quite a bit",3,IF(Sheet!NF48="Очень сильно / Extremely",4,""))))</f>
        <v>2</v>
      </c>
      <c r="NG48">
        <f>IF(Sheet!NG48="Совсем нет / Not at all",1,IF(Sheet!NH48="Немного / A little",2,IF(Sheet!NI48="Довольно сильно / Quite a bit",3,IF(Sheet!NJ48="Очень сильно / Extremely",4,""))))</f>
        <v>2</v>
      </c>
      <c r="NK48" t="str">
        <f>IF(Sheet!NK48="Совсем нет / Not at all",1,IF(Sheet!NL48="Немного / A little",2,IF(Sheet!NM48="Довольно сильно / Quite a bit",3,IF(Sheet!NN48="Очень сильно / Extremely",4,""))))</f>
        <v/>
      </c>
      <c r="NO48">
        <f>IF(Sheet!NO48="Совсем нет / Not at all",1,IF(Sheet!NP48="Немного / A little",2,IF(Sheet!NQ48="Довольно сильно / Quite a bit",3,IF(Sheet!NR48="Очень сильно / Extremely",4,""))))</f>
        <v>2</v>
      </c>
      <c r="NS48">
        <f>IF(Sheet!NS48="Совсем нет / Not at all",1,IF(Sheet!NT48="Немного / A little",2,IF(Sheet!NU48="Довольно сильно / Quite a bit",3,IF(Sheet!NV48="Очень сильно / Extremely",4,""))))</f>
        <v>2</v>
      </c>
      <c r="NW48">
        <f>IF(Sheet!NW48="Совсем нет / Not at all",1,IF(Sheet!NX48="Немного / A little",2,IF(Sheet!NY48="Довольно сильно / Quite a bit",3,IF(Sheet!NZ48="Очень сильно / Extremely",4,""))))</f>
        <v>2</v>
      </c>
      <c r="OA48">
        <f>IF(Sheet!OA48="Совсем нет / Not at all",1,IF(Sheet!OB48="Немного / A little",2,IF(Sheet!OC48="Довольно сильно / Quite a bit",3,IF(Sheet!OD48="Очень сильно / Extremely",4,""))))</f>
        <v>1</v>
      </c>
      <c r="OE48">
        <f>IF(Sheet!OE48="Совсем нет / Not at all",1,IF(Sheet!OF48="Немного / A little",2,IF(Sheet!OG48="Довольно сильно / Quite a bit",3,IF(Sheet!OH48="Очень сильно / Extremely",4,""))))</f>
        <v>2</v>
      </c>
      <c r="OI48">
        <f>IF(Sheet!OI48="Совсем нет / Not at all",1,IF(Sheet!OJ48="Немного / A little",2,IF(Sheet!OK48="Довольно сильно / Quite a bit",3,IF(Sheet!OL48="Очень сильно / Extremely",4,""))))</f>
        <v>1</v>
      </c>
    </row>
    <row r="49" spans="1:399">
      <c r="A49" t="str">
        <f>Sheet!A49</f>
        <v>MO001</v>
      </c>
      <c r="KR49" s="27">
        <f>SUM(KU49,KY49,LC49,LG49,LK49,LO49,LS49,LW49,MA49,ME49)/10</f>
        <v>1.9</v>
      </c>
      <c r="KS49" s="27">
        <f>SUM(MI49,MM49,MQ49,MU49,MY49,NC49,NG49,NK49,NO49,NS49,NW49,OA49,OE49,OI49)/14</f>
        <v>3.3571428571428572</v>
      </c>
      <c r="KU49">
        <f>IF(Sheet!KU49="Совсем нет / Not at all",1,IF(Sheet!KV49="Немного / A little",2,IF(Sheet!KW49="Довольно сильно / Quite a bit",3,IF(Sheet!KX49="Очень сильно / Extremely",4,""))))</f>
        <v>1</v>
      </c>
      <c r="KY49">
        <f>IF(Sheet!KY49="Совсем нет / Not at all",1,IF(Sheet!KZ49="Немного / A little",2,IF(Sheet!LA49="Довольно сильно / Quite a bit",3,IF(Sheet!LB49="Очень сильно / Extremely",4,""))))</f>
        <v>2</v>
      </c>
      <c r="LC49">
        <f>IF(Sheet!LC49="Совсем нет / Not at all",1,IF(Sheet!LD49="Немного / A little",2,IF(Sheet!LE49="Довольно сильно / Quite a bit",3,IF(Sheet!LF49="Очень сильно / Extremely",4,""))))</f>
        <v>1</v>
      </c>
      <c r="LG49">
        <f>IF(Sheet!LG49="Совсем нет / Not at all",1,IF(Sheet!LH49="Немного / A little",2,IF(Sheet!LI49="Довольно сильно / Quite a bit",3,IF(Sheet!LJ49="Очень сильно / Extremely",4,""))))</f>
        <v>3</v>
      </c>
      <c r="LK49">
        <f>IF(Sheet!LK49="Совсем нет / Not at all",1,IF(Sheet!LL49="Немного / A little",2,IF(Sheet!LM49="Довольно сильно / Quite a bit",3,IF(Sheet!LN49="Очень сильно / Extremely",4,""))))</f>
        <v>2</v>
      </c>
      <c r="LO49">
        <f>IF(Sheet!LO49="Совсем нет / Not at all",1,IF(Sheet!LP49="Немного / A little",2,IF(Sheet!LQ49="Довольно сильно / Quite a bit",3,IF(Sheet!LR49="Очень сильно / Extremely",4,""))))</f>
        <v>2</v>
      </c>
      <c r="LS49">
        <f>IF(Sheet!LS49="Совсем нет / Not at all",1,IF(Sheet!LT49="Немного / A little",2,IF(Sheet!LU49="Довольно сильно / Quite a bit",3,IF(Sheet!LV49="Очень сильно / Extremely",4,""))))</f>
        <v>3</v>
      </c>
      <c r="LW49">
        <f>IF(Sheet!LW49="Совсем нет / Not at all",1,IF(Sheet!LX49="Немного / A little",2,IF(Sheet!LY49="Довольно сильно / Quite a bit",3,IF(Sheet!LZ49="Очень сильно / Extremely",4,""))))</f>
        <v>1</v>
      </c>
      <c r="MA49">
        <f>IF(Sheet!MA49="Совсем нет / Not at all",1,IF(Sheet!MB49="Немного / A little",2,IF(Sheet!MC49="Довольно сильно / Quite a bit",3,IF(Sheet!MD49="Очень сильно / Extremely",4,""))))</f>
        <v>2</v>
      </c>
      <c r="ME49">
        <f>IF(Sheet!ME49="Совсем нет / Not at all",1,IF(Sheet!MF49="Немного / A little",2,IF(Sheet!MG49="Довольно сильно / Quite a bit",3,IF(Sheet!MH49="Очень сильно / Extremely",4,""))))</f>
        <v>2</v>
      </c>
      <c r="MI49">
        <f>IF(Sheet!MI49="Совсем нет / Not at all",1,IF(Sheet!MJ49="Немного / A little",2,IF(Sheet!MK49="Довольно сильно / Quite a bit",3,IF(Sheet!ML49="Очень сильно / Extremely",4,""))))</f>
        <v>3</v>
      </c>
      <c r="MM49">
        <f>IF(Sheet!MM49="Совсем нет / Not at all",1,IF(Sheet!MN49="Немного / A little",2,IF(Sheet!MO49="Довольно сильно / Quite a bit",3,IF(Sheet!MP49="Очень сильно / Extremely",4,""))))</f>
        <v>3</v>
      </c>
      <c r="MQ49">
        <f>IF(Sheet!MQ49="Совсем нет / Not at all",1,IF(Sheet!MR49="Немного / A little",2,IF(Sheet!MS49="Довольно сильно / Quite a bit",3,IF(Sheet!MT49="Очень сильно / Extremely",4,""))))</f>
        <v>3</v>
      </c>
      <c r="MU49">
        <f>IF(Sheet!MU49="Совсем нет / Not at all",1,IF(Sheet!MV49="Немного / A little",2,IF(Sheet!MW49="Довольно сильно / Quite a bit",3,IF(Sheet!MX49="Очень сильно / Extremely",4,""))))</f>
        <v>3</v>
      </c>
      <c r="MY49">
        <f>IF(Sheet!MY49="Совсем нет / Not at all",1,IF(Sheet!MZ49="Немного / A little",2,IF(Sheet!NA49="Довольно сильно / Quite a bit",3,IF(Sheet!NB49="Очень сильно / Extremely",4,""))))</f>
        <v>1</v>
      </c>
      <c r="NC49">
        <f>IF(Sheet!NC49="Совсем нет / Not at all",1,IF(Sheet!ND49="Немного / A little",2,IF(Sheet!NE49="Довольно сильно / Quite a bit",3,IF(Sheet!NF49="Очень сильно / Extremely",4,""))))</f>
        <v>3</v>
      </c>
      <c r="NG49">
        <f>IF(Sheet!NG49="Совсем нет / Not at all",1,IF(Sheet!NH49="Немного / A little",2,IF(Sheet!NI49="Довольно сильно / Quite a bit",3,IF(Sheet!NJ49="Очень сильно / Extremely",4,""))))</f>
        <v>4</v>
      </c>
      <c r="NK49">
        <f>IF(Sheet!NK49="Совсем нет / Not at all",1,IF(Sheet!NL49="Немного / A little",2,IF(Sheet!NM49="Довольно сильно / Quite a bit",3,IF(Sheet!NN49="Очень сильно / Extremely",4,""))))</f>
        <v>4</v>
      </c>
      <c r="NO49">
        <f>IF(Sheet!NO49="Совсем нет / Not at all",1,IF(Sheet!NP49="Немного / A little",2,IF(Sheet!NQ49="Довольно сильно / Quite a bit",3,IF(Sheet!NR49="Очень сильно / Extremely",4,""))))</f>
        <v>4</v>
      </c>
      <c r="NS49">
        <f>IF(Sheet!NS49="Совсем нет / Not at all",1,IF(Sheet!NT49="Немного / A little",2,IF(Sheet!NU49="Довольно сильно / Quite a bit",3,IF(Sheet!NV49="Очень сильно / Extremely",4,""))))</f>
        <v>4</v>
      </c>
      <c r="NW49">
        <f>IF(Sheet!NW49="Совсем нет / Not at all",1,IF(Sheet!NX49="Немного / A little",2,IF(Sheet!NY49="Довольно сильно / Quite a bit",3,IF(Sheet!NZ49="Очень сильно / Extremely",4,""))))</f>
        <v>3</v>
      </c>
      <c r="OA49">
        <f>IF(Sheet!OA49="Совсем нет / Not at all",1,IF(Sheet!OB49="Немного / A little",2,IF(Sheet!OC49="Довольно сильно / Quite a bit",3,IF(Sheet!OD49="Очень сильно / Extremely",4,""))))</f>
        <v>4</v>
      </c>
      <c r="OE49">
        <f>IF(Sheet!OE49="Совсем нет / Not at all",1,IF(Sheet!OF49="Немного / A little",2,IF(Sheet!OG49="Довольно сильно / Quite a bit",3,IF(Sheet!OH49="Очень сильно / Extremely",4,""))))</f>
        <v>4</v>
      </c>
      <c r="OI49">
        <f>IF(Sheet!OI49="Совсем нет / Not at all",1,IF(Sheet!OJ49="Немного / A little",2,IF(Sheet!OK49="Довольно сильно / Quite a bit",3,IF(Sheet!OL49="Очень сильно / Extremely",4,""))))</f>
        <v>4</v>
      </c>
    </row>
    <row r="50" spans="1:399">
      <c r="A50" t="str">
        <f>Sheet!A50</f>
        <v>RU001</v>
      </c>
      <c r="KR50" s="27">
        <f>SUM(KU50,KY50,LC50,LG50,LK50,LO50,LS50,LW50,MA50,ME50)/10</f>
        <v>1.5</v>
      </c>
      <c r="KS50" s="27">
        <f>SUM(MI50,MM50,MQ50,MU50,MY50,NC50,NG50,NK50,NO50,NS50,NW50,OA50,OE50,OI50)/14</f>
        <v>2.2857142857142856</v>
      </c>
      <c r="KU50">
        <f>IF(Sheet!KU50="Совсем нет / Not at all",1,IF(Sheet!KV50="Немного / A little",2,IF(Sheet!KW50="Довольно сильно / Quite a bit",3,IF(Sheet!KX50="Очень сильно / Extremely",4,""))))</f>
        <v>1</v>
      </c>
      <c r="KY50">
        <f>IF(Sheet!KY50="Совсем нет / Not at all",1,IF(Sheet!KZ50="Немного / A little",2,IF(Sheet!LA50="Довольно сильно / Quite a bit",3,IF(Sheet!LB50="Очень сильно / Extremely",4,""))))</f>
        <v>1</v>
      </c>
      <c r="LC50">
        <f>IF(Sheet!LC50="Совсем нет / Not at all",1,IF(Sheet!LD50="Немного / A little",2,IF(Sheet!LE50="Довольно сильно / Quite a bit",3,IF(Sheet!LF50="Очень сильно / Extremely",4,""))))</f>
        <v>2</v>
      </c>
      <c r="LG50">
        <f>IF(Sheet!LG50="Совсем нет / Not at all",1,IF(Sheet!LH50="Немного / A little",2,IF(Sheet!LI50="Довольно сильно / Quite a bit",3,IF(Sheet!LJ50="Очень сильно / Extremely",4,""))))</f>
        <v>1</v>
      </c>
      <c r="LK50">
        <f>IF(Sheet!LK50="Совсем нет / Not at all",1,IF(Sheet!LL50="Немного / A little",2,IF(Sheet!LM50="Довольно сильно / Quite a bit",3,IF(Sheet!LN50="Очень сильно / Extremely",4,""))))</f>
        <v>2</v>
      </c>
      <c r="LO50">
        <f>IF(Sheet!LO50="Совсем нет / Not at all",1,IF(Sheet!LP50="Немного / A little",2,IF(Sheet!LQ50="Довольно сильно / Quite a bit",3,IF(Sheet!LR50="Очень сильно / Extremely",4,""))))</f>
        <v>2</v>
      </c>
      <c r="LS50">
        <f>IF(Sheet!LS50="Совсем нет / Not at all",1,IF(Sheet!LT50="Немного / A little",2,IF(Sheet!LU50="Довольно сильно / Quite a bit",3,IF(Sheet!LV50="Очень сильно / Extremely",4,""))))</f>
        <v>1</v>
      </c>
      <c r="LW50">
        <f>IF(Sheet!LW50="Совсем нет / Not at all",1,IF(Sheet!LX50="Немного / A little",2,IF(Sheet!LY50="Довольно сильно / Quite a bit",3,IF(Sheet!LZ50="Очень сильно / Extremely",4,""))))</f>
        <v>2</v>
      </c>
      <c r="MA50">
        <f>IF(Sheet!MA50="Совсем нет / Not at all",1,IF(Sheet!MB50="Немного / A little",2,IF(Sheet!MC50="Довольно сильно / Quite a bit",3,IF(Sheet!MD50="Очень сильно / Extremely",4,""))))</f>
        <v>1</v>
      </c>
      <c r="ME50">
        <f>IF(Sheet!ME50="Совсем нет / Not at all",1,IF(Sheet!MF50="Немного / A little",2,IF(Sheet!MG50="Довольно сильно / Quite a bit",3,IF(Sheet!MH50="Очень сильно / Extremely",4,""))))</f>
        <v>2</v>
      </c>
      <c r="MI50">
        <f>IF(Sheet!MI50="Совсем нет / Not at all",1,IF(Sheet!MJ50="Немного / A little",2,IF(Sheet!MK50="Довольно сильно / Quite a bit",3,IF(Sheet!ML50="Очень сильно / Extremely",4,""))))</f>
        <v>2</v>
      </c>
      <c r="MM50">
        <f>IF(Sheet!MM50="Совсем нет / Not at all",1,IF(Sheet!MN50="Немного / A little",2,IF(Sheet!MO50="Довольно сильно / Quite a bit",3,IF(Sheet!MP50="Очень сильно / Extremely",4,""))))</f>
        <v>2</v>
      </c>
      <c r="MQ50">
        <f>IF(Sheet!MQ50="Совсем нет / Not at all",1,IF(Sheet!MR50="Немного / A little",2,IF(Sheet!MS50="Довольно сильно / Quite a bit",3,IF(Sheet!MT50="Очень сильно / Extremely",4,""))))</f>
        <v>1</v>
      </c>
      <c r="MU50">
        <f>IF(Sheet!MU50="Совсем нет / Not at all",1,IF(Sheet!MV50="Немного / A little",2,IF(Sheet!MW50="Довольно сильно / Quite a bit",3,IF(Sheet!MX50="Очень сильно / Extremely",4,""))))</f>
        <v>4</v>
      </c>
      <c r="MY50">
        <f>IF(Sheet!MY50="Совсем нет / Not at all",1,IF(Sheet!MZ50="Немного / A little",2,IF(Sheet!NA50="Довольно сильно / Quite a bit",3,IF(Sheet!NB50="Очень сильно / Extremely",4,""))))</f>
        <v>1</v>
      </c>
      <c r="NC50">
        <f>IF(Sheet!NC50="Совсем нет / Not at all",1,IF(Sheet!ND50="Немного / A little",2,IF(Sheet!NE50="Довольно сильно / Quite a bit",3,IF(Sheet!NF50="Очень сильно / Extremely",4,""))))</f>
        <v>2</v>
      </c>
      <c r="NG50">
        <f>IF(Sheet!NG50="Совсем нет / Not at all",1,IF(Sheet!NH50="Немного / A little",2,IF(Sheet!NI50="Довольно сильно / Quite a bit",3,IF(Sheet!NJ50="Очень сильно / Extremely",4,""))))</f>
        <v>3</v>
      </c>
      <c r="NK50">
        <f>IF(Sheet!NK50="Совсем нет / Not at all",1,IF(Sheet!NL50="Немного / A little",2,IF(Sheet!NM50="Довольно сильно / Quite a bit",3,IF(Sheet!NN50="Очень сильно / Extremely",4,""))))</f>
        <v>3</v>
      </c>
      <c r="NO50">
        <f>IF(Sheet!NO50="Совсем нет / Not at all",1,IF(Sheet!NP50="Немного / A little",2,IF(Sheet!NQ50="Довольно сильно / Quite a bit",3,IF(Sheet!NR50="Очень сильно / Extremely",4,""))))</f>
        <v>3</v>
      </c>
      <c r="NS50">
        <f>IF(Sheet!NS50="Совсем нет / Not at all",1,IF(Sheet!NT50="Немного / A little",2,IF(Sheet!NU50="Довольно сильно / Quite a bit",3,IF(Sheet!NV50="Очень сильно / Extremely",4,""))))</f>
        <v>2</v>
      </c>
      <c r="NW50">
        <f>IF(Sheet!NW50="Совсем нет / Not at all",1,IF(Sheet!NX50="Немного / A little",2,IF(Sheet!NY50="Довольно сильно / Quite a bit",3,IF(Sheet!NZ50="Очень сильно / Extremely",4,""))))</f>
        <v>1</v>
      </c>
      <c r="OA50">
        <f>IF(Sheet!OA50="Совсем нет / Not at all",1,IF(Sheet!OB50="Немного / A little",2,IF(Sheet!OC50="Довольно сильно / Quite a bit",3,IF(Sheet!OD50="Очень сильно / Extremely",4,""))))</f>
        <v>3</v>
      </c>
      <c r="OE50">
        <f>IF(Sheet!OE50="Совсем нет / Not at all",1,IF(Sheet!OF50="Немного / A little",2,IF(Sheet!OG50="Довольно сильно / Quite a bit",3,IF(Sheet!OH50="Очень сильно / Extremely",4,""))))</f>
        <v>4</v>
      </c>
      <c r="OI50">
        <f>IF(Sheet!OI50="Совсем нет / Not at all",1,IF(Sheet!OJ50="Немного / A little",2,IF(Sheet!OK50="Довольно сильно / Quite a bit",3,IF(Sheet!OL50="Очень сильно / Extremely",4,""))))</f>
        <v>1</v>
      </c>
    </row>
    <row r="51" spans="1:399">
      <c r="A51" t="str">
        <f>Sheet!A51</f>
        <v>CU002</v>
      </c>
      <c r="KR51" s="27">
        <f>SUM(KU51,KY51,LC51,LG51,LK51,LO51,LS51,LW51,MA51,ME51)/10</f>
        <v>2.1</v>
      </c>
      <c r="KS51" s="27">
        <f>SUM(MI51,MM51,MQ51,MU51,MY51,NC51,NG51,NK51,NO51,NS51,NW51,OA51,OE51,OI51)/14</f>
        <v>2.2142857142857144</v>
      </c>
      <c r="KU51">
        <f>IF(Sheet!KU51="Совсем нет / Not at all",1,IF(Sheet!KV51="Немного / A little",2,IF(Sheet!KW51="Довольно сильно / Quite a bit",3,IF(Sheet!KX51="Очень сильно / Extremely",4,""))))</f>
        <v>3</v>
      </c>
      <c r="KY51">
        <f>IF(Sheet!KY51="Совсем нет / Not at all",1,IF(Sheet!KZ51="Немного / A little",2,IF(Sheet!LA51="Довольно сильно / Quite a bit",3,IF(Sheet!LB51="Очень сильно / Extremely",4,""))))</f>
        <v>2</v>
      </c>
      <c r="LC51">
        <f>IF(Sheet!LC51="Совсем нет / Not at all",1,IF(Sheet!LD51="Немного / A little",2,IF(Sheet!LE51="Довольно сильно / Quite a bit",3,IF(Sheet!LF51="Очень сильно / Extremely",4,""))))</f>
        <v>2</v>
      </c>
      <c r="LG51">
        <f>IF(Sheet!LG51="Совсем нет / Not at all",1,IF(Sheet!LH51="Немного / A little",2,IF(Sheet!LI51="Довольно сильно / Quite a bit",3,IF(Sheet!LJ51="Очень сильно / Extremely",4,""))))</f>
        <v>2</v>
      </c>
      <c r="LK51">
        <f>IF(Sheet!LK51="Совсем нет / Not at all",1,IF(Sheet!LL51="Немного / A little",2,IF(Sheet!LM51="Довольно сильно / Quite a bit",3,IF(Sheet!LN51="Очень сильно / Extremely",4,""))))</f>
        <v>1</v>
      </c>
      <c r="LO51">
        <f>IF(Sheet!LO51="Совсем нет / Not at all",1,IF(Sheet!LP51="Немного / A little",2,IF(Sheet!LQ51="Довольно сильно / Quite a bit",3,IF(Sheet!LR51="Очень сильно / Extremely",4,""))))</f>
        <v>2</v>
      </c>
      <c r="LS51">
        <f>IF(Sheet!LS51="Совсем нет / Not at all",1,IF(Sheet!LT51="Немного / A little",2,IF(Sheet!LU51="Довольно сильно / Quite a bit",3,IF(Sheet!LV51="Очень сильно / Extremely",4,""))))</f>
        <v>2</v>
      </c>
      <c r="LW51">
        <f>IF(Sheet!LW51="Совсем нет / Not at all",1,IF(Sheet!LX51="Немного / A little",2,IF(Sheet!LY51="Довольно сильно / Quite a bit",3,IF(Sheet!LZ51="Очень сильно / Extremely",4,""))))</f>
        <v>3</v>
      </c>
      <c r="MA51">
        <f>IF(Sheet!MA51="Совсем нет / Not at all",1,IF(Sheet!MB51="Немного / A little",2,IF(Sheet!MC51="Довольно сильно / Quite a bit",3,IF(Sheet!MD51="Очень сильно / Extremely",4,""))))</f>
        <v>2</v>
      </c>
      <c r="ME51">
        <f>IF(Sheet!ME51="Совсем нет / Not at all",1,IF(Sheet!MF51="Немного / A little",2,IF(Sheet!MG51="Довольно сильно / Quite a bit",3,IF(Sheet!MH51="Очень сильно / Extremely",4,""))))</f>
        <v>2</v>
      </c>
      <c r="MI51">
        <f>IF(Sheet!MI51="Совсем нет / Not at all",1,IF(Sheet!MJ51="Немного / A little",2,IF(Sheet!MK51="Довольно сильно / Quite a bit",3,IF(Sheet!ML51="Очень сильно / Extremely",4,""))))</f>
        <v>2</v>
      </c>
      <c r="MM51">
        <f>IF(Sheet!MM51="Совсем нет / Not at all",1,IF(Sheet!MN51="Немного / A little",2,IF(Sheet!MO51="Довольно сильно / Quite a bit",3,IF(Sheet!MP51="Очень сильно / Extremely",4,""))))</f>
        <v>3</v>
      </c>
      <c r="MQ51">
        <f>IF(Sheet!MQ51="Совсем нет / Not at all",1,IF(Sheet!MR51="Немного / A little",2,IF(Sheet!MS51="Довольно сильно / Quite a bit",3,IF(Sheet!MT51="Очень сильно / Extremely",4,""))))</f>
        <v>4</v>
      </c>
      <c r="MU51">
        <f>IF(Sheet!MU51="Совсем нет / Not at all",1,IF(Sheet!MV51="Немного / A little",2,IF(Sheet!MW51="Довольно сильно / Quite a bit",3,IF(Sheet!MX51="Очень сильно / Extremely",4,""))))</f>
        <v>2</v>
      </c>
      <c r="MY51">
        <f>IF(Sheet!MY51="Совсем нет / Not at all",1,IF(Sheet!MZ51="Немного / A little",2,IF(Sheet!NA51="Довольно сильно / Quite a bit",3,IF(Sheet!NB51="Очень сильно / Extremely",4,""))))</f>
        <v>1</v>
      </c>
      <c r="NC51">
        <f>IF(Sheet!NC51="Совсем нет / Not at all",1,IF(Sheet!ND51="Немного / A little",2,IF(Sheet!NE51="Довольно сильно / Quite a bit",3,IF(Sheet!NF51="Очень сильно / Extremely",4,""))))</f>
        <v>2</v>
      </c>
      <c r="NG51">
        <f>IF(Sheet!NG51="Совсем нет / Not at all",1,IF(Sheet!NH51="Немного / A little",2,IF(Sheet!NI51="Довольно сильно / Quite a bit",3,IF(Sheet!NJ51="Очень сильно / Extremely",4,""))))</f>
        <v>3</v>
      </c>
      <c r="NK51">
        <f>IF(Sheet!NK51="Совсем нет / Not at all",1,IF(Sheet!NL51="Немного / A little",2,IF(Sheet!NM51="Довольно сильно / Quite a bit",3,IF(Sheet!NN51="Очень сильно / Extremely",4,""))))</f>
        <v>2</v>
      </c>
      <c r="NO51">
        <f>IF(Sheet!NO51="Совсем нет / Not at all",1,IF(Sheet!NP51="Немного / A little",2,IF(Sheet!NQ51="Довольно сильно / Quite a bit",3,IF(Sheet!NR51="Очень сильно / Extremely",4,""))))</f>
        <v>2</v>
      </c>
      <c r="NS51">
        <f>IF(Sheet!NS51="Совсем нет / Not at all",1,IF(Sheet!NT51="Немного / A little",2,IF(Sheet!NU51="Довольно сильно / Quite a bit",3,IF(Sheet!NV51="Очень сильно / Extremely",4,""))))</f>
        <v>1</v>
      </c>
      <c r="NW51">
        <f>IF(Sheet!NW51="Совсем нет / Not at all",1,IF(Sheet!NX51="Немного / A little",2,IF(Sheet!NY51="Довольно сильно / Quite a bit",3,IF(Sheet!NZ51="Очень сильно / Extremely",4,""))))</f>
        <v>2</v>
      </c>
      <c r="OA51">
        <f>IF(Sheet!OA51="Совсем нет / Not at all",1,IF(Sheet!OB51="Немного / A little",2,IF(Sheet!OC51="Довольно сильно / Quite a bit",3,IF(Sheet!OD51="Очень сильно / Extremely",4,""))))</f>
        <v>1</v>
      </c>
      <c r="OE51">
        <f>IF(Sheet!OE51="Совсем нет / Not at all",1,IF(Sheet!OF51="Немного / A little",2,IF(Sheet!OG51="Довольно сильно / Quite a bit",3,IF(Sheet!OH51="Очень сильно / Extremely",4,""))))</f>
        <v>2</v>
      </c>
      <c r="OI51">
        <f>IF(Sheet!OI51="Совсем нет / Not at all",1,IF(Sheet!OJ51="Немного / A little",2,IF(Sheet!OK51="Довольно сильно / Quite a bit",3,IF(Sheet!OL51="Очень сильно / Extremely",4,""))))</f>
        <v>4</v>
      </c>
    </row>
    <row r="52" spans="1:399">
      <c r="A52" t="str">
        <f>Sheet!A52</f>
        <v>OD001</v>
      </c>
      <c r="KR52" s="27">
        <f>SUM(KU52,KY52,LC52,LG52,LK52,LO52,LS52,LW52,MA52,ME52)/10</f>
        <v>2.2999999999999998</v>
      </c>
      <c r="KS52" s="27">
        <f>SUM(MI52,MM52,MQ52,MU52,MY52,NC52,NG52,NK52,NO52,NS52,NW52,OA52,OE52,OI52)/14</f>
        <v>2.8571428571428572</v>
      </c>
      <c r="KU52">
        <f>IF(Sheet!KU52="Совсем нет / Not at all",1,IF(Sheet!KV52="Немного / A little",2,IF(Sheet!KW52="Довольно сильно / Quite a bit",3,IF(Sheet!KX52="Очень сильно / Extremely",4,""))))</f>
        <v>3</v>
      </c>
      <c r="KY52">
        <f>IF(Sheet!KY52="Совсем нет / Not at all",1,IF(Sheet!KZ52="Немного / A little",2,IF(Sheet!LA52="Довольно сильно / Quite a bit",3,IF(Sheet!LB52="Очень сильно / Extremely",4,""))))</f>
        <v>3</v>
      </c>
      <c r="LC52">
        <f>IF(Sheet!LC52="Совсем нет / Not at all",1,IF(Sheet!LD52="Немного / A little",2,IF(Sheet!LE52="Довольно сильно / Quite a bit",3,IF(Sheet!LF52="Очень сильно / Extremely",4,""))))</f>
        <v>2</v>
      </c>
      <c r="LG52">
        <f>IF(Sheet!LG52="Совсем нет / Not at all",1,IF(Sheet!LH52="Немного / A little",2,IF(Sheet!LI52="Довольно сильно / Quite a bit",3,IF(Sheet!LJ52="Очень сильно / Extremely",4,""))))</f>
        <v>2</v>
      </c>
      <c r="LK52">
        <f>IF(Sheet!LK52="Совсем нет / Not at all",1,IF(Sheet!LL52="Немного / A little",2,IF(Sheet!LM52="Довольно сильно / Quite a bit",3,IF(Sheet!LN52="Очень сильно / Extremely",4,""))))</f>
        <v>3</v>
      </c>
      <c r="LO52">
        <f>IF(Sheet!LO52="Совсем нет / Not at all",1,IF(Sheet!LP52="Немного / A little",2,IF(Sheet!LQ52="Довольно сильно / Quite a bit",3,IF(Sheet!LR52="Очень сильно / Extremely",4,""))))</f>
        <v>1</v>
      </c>
      <c r="LS52">
        <f>IF(Sheet!LS52="Совсем нет / Not at all",1,IF(Sheet!LT52="Немного / A little",2,IF(Sheet!LU52="Довольно сильно / Quite a bit",3,IF(Sheet!LV52="Очень сильно / Extremely",4,""))))</f>
        <v>3</v>
      </c>
      <c r="LW52">
        <f>IF(Sheet!LW52="Совсем нет / Not at all",1,IF(Sheet!LX52="Немного / A little",2,IF(Sheet!LY52="Довольно сильно / Quite a bit",3,IF(Sheet!LZ52="Очень сильно / Extremely",4,""))))</f>
        <v>2</v>
      </c>
      <c r="MA52">
        <f>IF(Sheet!MA52="Совсем нет / Not at all",1,IF(Sheet!MB52="Немного / A little",2,IF(Sheet!MC52="Довольно сильно / Quite a bit",3,IF(Sheet!MD52="Очень сильно / Extremely",4,""))))</f>
        <v>2</v>
      </c>
      <c r="ME52">
        <f>IF(Sheet!ME52="Совсем нет / Not at all",1,IF(Sheet!MF52="Немного / A little",2,IF(Sheet!MG52="Довольно сильно / Quite a bit",3,IF(Sheet!MH52="Очень сильно / Extremely",4,""))))</f>
        <v>2</v>
      </c>
      <c r="MI52">
        <f>IF(Sheet!MI52="Совсем нет / Not at all",1,IF(Sheet!MJ52="Немного / A little",2,IF(Sheet!MK52="Довольно сильно / Quite a bit",3,IF(Sheet!ML52="Очень сильно / Extremely",4,""))))</f>
        <v>2</v>
      </c>
      <c r="MM52">
        <f>IF(Sheet!MM52="Совсем нет / Not at all",1,IF(Sheet!MN52="Немного / A little",2,IF(Sheet!MO52="Довольно сильно / Quite a bit",3,IF(Sheet!MP52="Очень сильно / Extremely",4,""))))</f>
        <v>3</v>
      </c>
      <c r="MQ52">
        <f>IF(Sheet!MQ52="Совсем нет / Not at all",1,IF(Sheet!MR52="Немного / A little",2,IF(Sheet!MS52="Довольно сильно / Quite a bit",3,IF(Sheet!MT52="Очень сильно / Extremely",4,""))))</f>
        <v>3</v>
      </c>
      <c r="MU52">
        <f>IF(Sheet!MU52="Совсем нет / Not at all",1,IF(Sheet!MV52="Немного / A little",2,IF(Sheet!MW52="Довольно сильно / Quite a bit",3,IF(Sheet!MX52="Очень сильно / Extremely",4,""))))</f>
        <v>3</v>
      </c>
      <c r="MY52">
        <f>IF(Sheet!MY52="Совсем нет / Not at all",1,IF(Sheet!MZ52="Немного / A little",2,IF(Sheet!NA52="Довольно сильно / Quite a bit",3,IF(Sheet!NB52="Очень сильно / Extremely",4,""))))</f>
        <v>2</v>
      </c>
      <c r="NC52">
        <f>IF(Sheet!NC52="Совсем нет / Not at all",1,IF(Sheet!ND52="Немного / A little",2,IF(Sheet!NE52="Довольно сильно / Quite a bit",3,IF(Sheet!NF52="Очень сильно / Extremely",4,""))))</f>
        <v>3</v>
      </c>
      <c r="NG52">
        <f>IF(Sheet!NG52="Совсем нет / Not at all",1,IF(Sheet!NH52="Немного / A little",2,IF(Sheet!NI52="Довольно сильно / Quite a bit",3,IF(Sheet!NJ52="Очень сильно / Extremely",4,""))))</f>
        <v>3</v>
      </c>
      <c r="NK52">
        <f>IF(Sheet!NK52="Совсем нет / Not at all",1,IF(Sheet!NL52="Немного / A little",2,IF(Sheet!NM52="Довольно сильно / Quite a bit",3,IF(Sheet!NN52="Очень сильно / Extremely",4,""))))</f>
        <v>3</v>
      </c>
      <c r="NO52">
        <f>IF(Sheet!NO52="Совсем нет / Not at all",1,IF(Sheet!NP52="Немного / A little",2,IF(Sheet!NQ52="Довольно сильно / Quite a bit",3,IF(Sheet!NR52="Очень сильно / Extremely",4,""))))</f>
        <v>3</v>
      </c>
      <c r="NS52">
        <f>IF(Sheet!NS52="Совсем нет / Not at all",1,IF(Sheet!NT52="Немного / A little",2,IF(Sheet!NU52="Довольно сильно / Quite a bit",3,IF(Sheet!NV52="Очень сильно / Extremely",4,""))))</f>
        <v>3</v>
      </c>
      <c r="NW52">
        <f>IF(Sheet!NW52="Совсем нет / Not at all",1,IF(Sheet!NX52="Немного / A little",2,IF(Sheet!NY52="Довольно сильно / Quite a bit",3,IF(Sheet!NZ52="Очень сильно / Extremely",4,""))))</f>
        <v>3</v>
      </c>
      <c r="OA52">
        <f>IF(Sheet!OA52="Совсем нет / Not at all",1,IF(Sheet!OB52="Немного / A little",2,IF(Sheet!OC52="Довольно сильно / Quite a bit",3,IF(Sheet!OD52="Очень сильно / Extremely",4,""))))</f>
        <v>3</v>
      </c>
      <c r="OE52">
        <f>IF(Sheet!OE52="Совсем нет / Not at all",1,IF(Sheet!OF52="Немного / A little",2,IF(Sheet!OG52="Довольно сильно / Quite a bit",3,IF(Sheet!OH52="Очень сильно / Extremely",4,""))))</f>
        <v>3</v>
      </c>
      <c r="OI52">
        <f>IF(Sheet!OI52="Совсем нет / Not at all",1,IF(Sheet!OJ52="Немного / A little",2,IF(Sheet!OK52="Довольно сильно / Quite a bit",3,IF(Sheet!OL52="Очень сильно / Extremely",4,""))))</f>
        <v>3</v>
      </c>
    </row>
    <row r="53" spans="1:399">
      <c r="A53" t="str">
        <f>Sheet!A53</f>
        <v>RE001</v>
      </c>
      <c r="KR53" s="27">
        <f>SUM(KU53,KY53,LC53,LG53,LK53,LO53,LS53,LW53,MA53,ME53)/10</f>
        <v>2.9</v>
      </c>
      <c r="KS53" s="27">
        <f>SUM(MI53,MM53,MQ53,MU53,MY53,NC53,NG53,NK53,NO53,NS53,NW53,OA53,OE53,OI53)/14</f>
        <v>3.1428571428571428</v>
      </c>
      <c r="KU53">
        <f>IF(Sheet!KU53="Совсем нет / Not at all",1,IF(Sheet!KV53="Немного / A little",2,IF(Sheet!KW53="Довольно сильно / Quite a bit",3,IF(Sheet!KX53="Очень сильно / Extremely",4,""))))</f>
        <v>3</v>
      </c>
      <c r="KY53">
        <f>IF(Sheet!KY53="Совсем нет / Not at all",1,IF(Sheet!KZ53="Немного / A little",2,IF(Sheet!LA53="Довольно сильно / Quite a bit",3,IF(Sheet!LB53="Очень сильно / Extremely",4,""))))</f>
        <v>4</v>
      </c>
      <c r="LC53">
        <f>IF(Sheet!LC53="Совсем нет / Not at all",1,IF(Sheet!LD53="Немного / A little",2,IF(Sheet!LE53="Довольно сильно / Quite a bit",3,IF(Sheet!LF53="Очень сильно / Extremely",4,""))))</f>
        <v>2</v>
      </c>
      <c r="LG53">
        <f>IF(Sheet!LG53="Совсем нет / Not at all",1,IF(Sheet!LH53="Немного / A little",2,IF(Sheet!LI53="Довольно сильно / Quite a bit",3,IF(Sheet!LJ53="Очень сильно / Extremely",4,""))))</f>
        <v>4</v>
      </c>
      <c r="LK53">
        <f>IF(Sheet!LK53="Совсем нет / Not at all",1,IF(Sheet!LL53="Немного / A little",2,IF(Sheet!LM53="Довольно сильно / Quite a bit",3,IF(Sheet!LN53="Очень сильно / Extremely",4,""))))</f>
        <v>2</v>
      </c>
      <c r="LO53">
        <f>IF(Sheet!LO53="Совсем нет / Not at all",1,IF(Sheet!LP53="Немного / A little",2,IF(Sheet!LQ53="Довольно сильно / Quite a bit",3,IF(Sheet!LR53="Очень сильно / Extremely",4,""))))</f>
        <v>1</v>
      </c>
      <c r="LS53">
        <f>IF(Sheet!LS53="Совсем нет / Not at all",1,IF(Sheet!LT53="Немного / A little",2,IF(Sheet!LU53="Довольно сильно / Quite a bit",3,IF(Sheet!LV53="Очень сильно / Extremely",4,""))))</f>
        <v>3</v>
      </c>
      <c r="LW53">
        <f>IF(Sheet!LW53="Совсем нет / Not at all",1,IF(Sheet!LX53="Немного / A little",2,IF(Sheet!LY53="Довольно сильно / Quite a bit",3,IF(Sheet!LZ53="Очень сильно / Extremely",4,""))))</f>
        <v>4</v>
      </c>
      <c r="MA53">
        <f>IF(Sheet!MA53="Совсем нет / Not at all",1,IF(Sheet!MB53="Немного / A little",2,IF(Sheet!MC53="Довольно сильно / Quite a bit",3,IF(Sheet!MD53="Очень сильно / Extremely",4,""))))</f>
        <v>2</v>
      </c>
      <c r="ME53">
        <f>IF(Sheet!ME53="Совсем нет / Not at all",1,IF(Sheet!MF53="Немного / A little",2,IF(Sheet!MG53="Довольно сильно / Quite a bit",3,IF(Sheet!MH53="Очень сильно / Extremely",4,""))))</f>
        <v>4</v>
      </c>
      <c r="MI53">
        <f>IF(Sheet!MI53="Совсем нет / Not at all",1,IF(Sheet!MJ53="Немного / A little",2,IF(Sheet!MK53="Довольно сильно / Quite a bit",3,IF(Sheet!ML53="Очень сильно / Extremely",4,""))))</f>
        <v>4</v>
      </c>
      <c r="MM53">
        <f>IF(Sheet!MM53="Совсем нет / Not at all",1,IF(Sheet!MN53="Немного / A little",2,IF(Sheet!MO53="Довольно сильно / Quite a bit",3,IF(Sheet!MP53="Очень сильно / Extremely",4,""))))</f>
        <v>4</v>
      </c>
      <c r="MQ53">
        <f>IF(Sheet!MQ53="Совсем нет / Not at all",1,IF(Sheet!MR53="Немного / A little",2,IF(Sheet!MS53="Довольно сильно / Quite a bit",3,IF(Sheet!MT53="Очень сильно / Extremely",4,""))))</f>
        <v>4</v>
      </c>
      <c r="MU53">
        <f>IF(Sheet!MU53="Совсем нет / Not at all",1,IF(Sheet!MV53="Немного / A little",2,IF(Sheet!MW53="Довольно сильно / Quite a bit",3,IF(Sheet!MX53="Очень сильно / Extremely",4,""))))</f>
        <v>1</v>
      </c>
      <c r="MY53">
        <f>IF(Sheet!MY53="Совсем нет / Not at all",1,IF(Sheet!MZ53="Немного / A little",2,IF(Sheet!NA53="Довольно сильно / Quite a bit",3,IF(Sheet!NB53="Очень сильно / Extremely",4,""))))</f>
        <v>1</v>
      </c>
      <c r="NC53">
        <f>IF(Sheet!NC53="Совсем нет / Not at all",1,IF(Sheet!ND53="Немного / A little",2,IF(Sheet!NE53="Довольно сильно / Quite a bit",3,IF(Sheet!NF53="Очень сильно / Extremely",4,""))))</f>
        <v>1</v>
      </c>
      <c r="NG53">
        <f>IF(Sheet!NG53="Совсем нет / Not at all",1,IF(Sheet!NH53="Немного / A little",2,IF(Sheet!NI53="Довольно сильно / Quite a bit",3,IF(Sheet!NJ53="Очень сильно / Extremely",4,""))))</f>
        <v>4</v>
      </c>
      <c r="NK53">
        <f>IF(Sheet!NK53="Совсем нет / Not at all",1,IF(Sheet!NL53="Немного / A little",2,IF(Sheet!NM53="Довольно сильно / Quite a bit",3,IF(Sheet!NN53="Очень сильно / Extremely",4,""))))</f>
        <v>4</v>
      </c>
      <c r="NO53">
        <f>IF(Sheet!NO53="Совсем нет / Not at all",1,IF(Sheet!NP53="Немного / A little",2,IF(Sheet!NQ53="Довольно сильно / Quite a bit",3,IF(Sheet!NR53="Очень сильно / Extremely",4,""))))</f>
        <v>4</v>
      </c>
      <c r="NS53">
        <f>IF(Sheet!NS53="Совсем нет / Not at all",1,IF(Sheet!NT53="Немного / A little",2,IF(Sheet!NU53="Довольно сильно / Quite a bit",3,IF(Sheet!NV53="Очень сильно / Extremely",4,""))))</f>
        <v>4</v>
      </c>
      <c r="NW53">
        <f>IF(Sheet!NW53="Совсем нет / Not at all",1,IF(Sheet!NX53="Немного / A little",2,IF(Sheet!NY53="Довольно сильно / Quite a bit",3,IF(Sheet!NZ53="Очень сильно / Extremely",4,""))))</f>
        <v>4</v>
      </c>
      <c r="OA53">
        <f>IF(Sheet!OA53="Совсем нет / Not at all",1,IF(Sheet!OB53="Немного / A little",2,IF(Sheet!OC53="Довольно сильно / Quite a bit",3,IF(Sheet!OD53="Очень сильно / Extremely",4,""))))</f>
        <v>2</v>
      </c>
      <c r="OE53">
        <f>IF(Sheet!OE53="Совсем нет / Not at all",1,IF(Sheet!OF53="Немного / A little",2,IF(Sheet!OG53="Довольно сильно / Quite a bit",3,IF(Sheet!OH53="Очень сильно / Extremely",4,""))))</f>
        <v>4</v>
      </c>
      <c r="OI53">
        <f>IF(Sheet!OI53="Совсем нет / Not at all",1,IF(Sheet!OJ53="Немного / A little",2,IF(Sheet!OK53="Довольно сильно / Quite a bit",3,IF(Sheet!OL53="Очень сильно / Extremely",4,""))))</f>
        <v>3</v>
      </c>
    </row>
    <row r="54" spans="1:399">
      <c r="A54" t="str">
        <f>Sheet!A54</f>
        <v>CF001</v>
      </c>
      <c r="KR54" s="27">
        <f>SUM(KU54,KY54,LC54,LG54,LK54,LO54,LS54,LW54,MA54,ME54)/10</f>
        <v>1.5</v>
      </c>
      <c r="KS54" s="27">
        <f>SUM(MI54,MM54,MQ54,MU54,MY54,NC54,NG54,NK54,NO54,NS54,NW54,OA54,OE54,OI54)/14</f>
        <v>2.4285714285714284</v>
      </c>
      <c r="KU54">
        <f>IF(Sheet!KU54="Совсем нет / Not at all",1,IF(Sheet!KV54="Немного / A little",2,IF(Sheet!KW54="Довольно сильно / Quite a bit",3,IF(Sheet!KX54="Очень сильно / Extremely",4,""))))</f>
        <v>1</v>
      </c>
      <c r="KY54">
        <f>IF(Sheet!KY54="Совсем нет / Not at all",1,IF(Sheet!KZ54="Немного / A little",2,IF(Sheet!LA54="Довольно сильно / Quite a bit",3,IF(Sheet!LB54="Очень сильно / Extremely",4,""))))</f>
        <v>1</v>
      </c>
      <c r="LC54">
        <f>IF(Sheet!LC54="Совсем нет / Not at all",1,IF(Sheet!LD54="Немного / A little",2,IF(Sheet!LE54="Довольно сильно / Quite a bit",3,IF(Sheet!LF54="Очень сильно / Extremely",4,""))))</f>
        <v>2</v>
      </c>
      <c r="LG54">
        <f>IF(Sheet!LG54="Совсем нет / Not at all",1,IF(Sheet!LH54="Немного / A little",2,IF(Sheet!LI54="Довольно сильно / Quite a bit",3,IF(Sheet!LJ54="Очень сильно / Extremely",4,""))))</f>
        <v>1</v>
      </c>
      <c r="LK54">
        <f>IF(Sheet!LK54="Совсем нет / Not at all",1,IF(Sheet!LL54="Немного / A little",2,IF(Sheet!LM54="Довольно сильно / Quite a bit",3,IF(Sheet!LN54="Очень сильно / Extremely",4,""))))</f>
        <v>2</v>
      </c>
      <c r="LO54">
        <f>IF(Sheet!LO54="Совсем нет / Not at all",1,IF(Sheet!LP54="Немного / A little",2,IF(Sheet!LQ54="Довольно сильно / Quite a bit",3,IF(Sheet!LR54="Очень сильно / Extremely",4,""))))</f>
        <v>2</v>
      </c>
      <c r="LS54">
        <f>IF(Sheet!LS54="Совсем нет / Not at all",1,IF(Sheet!LT54="Немного / A little",2,IF(Sheet!LU54="Довольно сильно / Quite a bit",3,IF(Sheet!LV54="Очень сильно / Extremely",4,""))))</f>
        <v>1</v>
      </c>
      <c r="LW54">
        <f>IF(Sheet!LW54="Совсем нет / Not at all",1,IF(Sheet!LX54="Немного / A little",2,IF(Sheet!LY54="Довольно сильно / Quite a bit",3,IF(Sheet!LZ54="Очень сильно / Extremely",4,""))))</f>
        <v>2</v>
      </c>
      <c r="MA54">
        <f>IF(Sheet!MA54="Совсем нет / Not at all",1,IF(Sheet!MB54="Немного / A little",2,IF(Sheet!MC54="Довольно сильно / Quite a bit",3,IF(Sheet!MD54="Очень сильно / Extremely",4,""))))</f>
        <v>1</v>
      </c>
      <c r="ME54">
        <f>IF(Sheet!ME54="Совсем нет / Not at all",1,IF(Sheet!MF54="Немного / A little",2,IF(Sheet!MG54="Довольно сильно / Quite a bit",3,IF(Sheet!MH54="Очень сильно / Extremely",4,""))))</f>
        <v>2</v>
      </c>
      <c r="MI54">
        <f>IF(Sheet!MI54="Совсем нет / Not at all",1,IF(Sheet!MJ54="Немного / A little",2,IF(Sheet!MK54="Довольно сильно / Quite a bit",3,IF(Sheet!ML54="Очень сильно / Extremely",4,""))))</f>
        <v>1</v>
      </c>
      <c r="MM54">
        <f>IF(Sheet!MM54="Совсем нет / Not at all",1,IF(Sheet!MN54="Немного / A little",2,IF(Sheet!MO54="Довольно сильно / Quite a bit",3,IF(Sheet!MP54="Очень сильно / Extremely",4,""))))</f>
        <v>1</v>
      </c>
      <c r="MQ54">
        <f>IF(Sheet!MQ54="Совсем нет / Not at all",1,IF(Sheet!MR54="Немного / A little",2,IF(Sheet!MS54="Довольно сильно / Quite a bit",3,IF(Sheet!MT54="Очень сильно / Extremely",4,""))))</f>
        <v>1</v>
      </c>
      <c r="MU54">
        <f>IF(Sheet!MU54="Совсем нет / Not at all",1,IF(Sheet!MV54="Немного / A little",2,IF(Sheet!MW54="Довольно сильно / Quite a bit",3,IF(Sheet!MX54="Очень сильно / Extremely",4,""))))</f>
        <v>1</v>
      </c>
      <c r="MY54">
        <f>IF(Sheet!MY54="Совсем нет / Not at all",1,IF(Sheet!MZ54="Немного / A little",2,IF(Sheet!NA54="Довольно сильно / Quite a bit",3,IF(Sheet!NB54="Очень сильно / Extremely",4,""))))</f>
        <v>2</v>
      </c>
      <c r="NC54">
        <f>IF(Sheet!NC54="Совсем нет / Not at all",1,IF(Sheet!ND54="Немного / A little",2,IF(Sheet!NE54="Довольно сильно / Quite a bit",3,IF(Sheet!NF54="Очень сильно / Extremely",4,""))))</f>
        <v>3</v>
      </c>
      <c r="NG54">
        <f>IF(Sheet!NG54="Совсем нет / Not at all",1,IF(Sheet!NH54="Немного / A little",2,IF(Sheet!NI54="Довольно сильно / Quite a bit",3,IF(Sheet!NJ54="Очень сильно / Extremely",4,""))))</f>
        <v>4</v>
      </c>
      <c r="NK54">
        <f>IF(Sheet!NK54="Совсем нет / Not at all",1,IF(Sheet!NL54="Немного / A little",2,IF(Sheet!NM54="Довольно сильно / Quite a bit",3,IF(Sheet!NN54="Очень сильно / Extremely",4,""))))</f>
        <v>4</v>
      </c>
      <c r="NO54">
        <f>IF(Sheet!NO54="Совсем нет / Not at all",1,IF(Sheet!NP54="Немного / A little",2,IF(Sheet!NQ54="Довольно сильно / Quite a bit",3,IF(Sheet!NR54="Очень сильно / Extremely",4,""))))</f>
        <v>3</v>
      </c>
      <c r="NS54">
        <f>IF(Sheet!NS54="Совсем нет / Not at all",1,IF(Sheet!NT54="Немного / A little",2,IF(Sheet!NU54="Довольно сильно / Quite a bit",3,IF(Sheet!NV54="Очень сильно / Extremely",4,""))))</f>
        <v>2</v>
      </c>
      <c r="NW54">
        <f>IF(Sheet!NW54="Совсем нет / Not at all",1,IF(Sheet!NX54="Немного / A little",2,IF(Sheet!NY54="Довольно сильно / Quite a bit",3,IF(Sheet!NZ54="Очень сильно / Extremely",4,""))))</f>
        <v>1</v>
      </c>
      <c r="OA54">
        <f>IF(Sheet!OA54="Совсем нет / Not at all",1,IF(Sheet!OB54="Немного / A little",2,IF(Sheet!OC54="Довольно сильно / Quite a bit",3,IF(Sheet!OD54="Очень сильно / Extremely",4,""))))</f>
        <v>3</v>
      </c>
      <c r="OE54">
        <f>IF(Sheet!OE54="Совсем нет / Not at all",1,IF(Sheet!OF54="Немного / A little",2,IF(Sheet!OG54="Довольно сильно / Quite a bit",3,IF(Sheet!OH54="Очень сильно / Extremely",4,""))))</f>
        <v>4</v>
      </c>
      <c r="OI54">
        <f>IF(Sheet!OI54="Совсем нет / Not at all",1,IF(Sheet!OJ54="Немного / A little",2,IF(Sheet!OK54="Довольно сильно / Quite a bit",3,IF(Sheet!OL54="Очень сильно / Extremely",4,""))))</f>
        <v>4</v>
      </c>
    </row>
    <row r="55" spans="1:399">
      <c r="A55" t="str">
        <f>Sheet!A55</f>
        <v>RM001</v>
      </c>
      <c r="KR55" s="27">
        <f>SUM(KU55,KY55,LC55,LG55,LK55,LO55,LS55,LW55,MA55,ME55)/10</f>
        <v>2.2000000000000002</v>
      </c>
      <c r="KS55" s="27">
        <f>SUM(MI55,MM55,MQ55,MU55,MY55,NC55,NG55,NK55,NO55,NS55,NW55,OA55,OE55,OI55)/14</f>
        <v>2.4285714285714284</v>
      </c>
      <c r="KU55">
        <f>IF(Sheet!KU55="Совсем нет / Not at all",1,IF(Sheet!KV55="Немного / A little",2,IF(Sheet!KW55="Довольно сильно / Quite a bit",3,IF(Sheet!KX55="Очень сильно / Extremely",4,""))))</f>
        <v>1</v>
      </c>
      <c r="KY55">
        <f>IF(Sheet!KY55="Совсем нет / Not at all",1,IF(Sheet!KZ55="Немного / A little",2,IF(Sheet!LA55="Довольно сильно / Quite a bit",3,IF(Sheet!LB55="Очень сильно / Extremely",4,""))))</f>
        <v>1</v>
      </c>
      <c r="LC55">
        <f>IF(Sheet!LC55="Совсем нет / Not at all",1,IF(Sheet!LD55="Немного / A little",2,IF(Sheet!LE55="Довольно сильно / Quite a bit",3,IF(Sheet!LF55="Очень сильно / Extremely",4,""))))</f>
        <v>2</v>
      </c>
      <c r="LG55">
        <f>IF(Sheet!LG55="Совсем нет / Not at all",1,IF(Sheet!LH55="Немного / A little",2,IF(Sheet!LI55="Довольно сильно / Quite a bit",3,IF(Sheet!LJ55="Очень сильно / Extremely",4,""))))</f>
        <v>2</v>
      </c>
      <c r="LK55">
        <f>IF(Sheet!LK55="Совсем нет / Not at all",1,IF(Sheet!LL55="Немного / A little",2,IF(Sheet!LM55="Довольно сильно / Quite a bit",3,IF(Sheet!LN55="Очень сильно / Extremely",4,""))))</f>
        <v>3</v>
      </c>
      <c r="LO55">
        <f>IF(Sheet!LO55="Совсем нет / Not at all",1,IF(Sheet!LP55="Немного / A little",2,IF(Sheet!LQ55="Довольно сильно / Quite a bit",3,IF(Sheet!LR55="Очень сильно / Extremely",4,""))))</f>
        <v>2</v>
      </c>
      <c r="LS55">
        <f>IF(Sheet!LS55="Совсем нет / Not at all",1,IF(Sheet!LT55="Немного / A little",2,IF(Sheet!LU55="Довольно сильно / Quite a bit",3,IF(Sheet!LV55="Очень сильно / Extremely",4,""))))</f>
        <v>3</v>
      </c>
      <c r="LW55">
        <f>IF(Sheet!LW55="Совсем нет / Not at all",1,IF(Sheet!LX55="Немного / A little",2,IF(Sheet!LY55="Довольно сильно / Quite a bit",3,IF(Sheet!LZ55="Очень сильно / Extremely",4,""))))</f>
        <v>4</v>
      </c>
      <c r="MA55">
        <f>IF(Sheet!MA55="Совсем нет / Not at all",1,IF(Sheet!MB55="Немного / A little",2,IF(Sheet!MC55="Довольно сильно / Quite a bit",3,IF(Sheet!MD55="Очень сильно / Extremely",4,""))))</f>
        <v>1</v>
      </c>
      <c r="ME55">
        <f>IF(Sheet!ME55="Совсем нет / Not at all",1,IF(Sheet!MF55="Немного / A little",2,IF(Sheet!MG55="Довольно сильно / Quite a bit",3,IF(Sheet!MH55="Очень сильно / Extremely",4,""))))</f>
        <v>3</v>
      </c>
      <c r="MI55">
        <f>IF(Sheet!MI55="Совсем нет / Not at all",1,IF(Sheet!MJ55="Немного / A little",2,IF(Sheet!MK55="Довольно сильно / Quite a bit",3,IF(Sheet!ML55="Очень сильно / Extremely",4,""))))</f>
        <v>3</v>
      </c>
      <c r="MM55">
        <f>IF(Sheet!MM55="Совсем нет / Not at all",1,IF(Sheet!MN55="Немного / A little",2,IF(Sheet!MO55="Довольно сильно / Quite a bit",3,IF(Sheet!MP55="Очень сильно / Extremely",4,""))))</f>
        <v>2</v>
      </c>
      <c r="MQ55">
        <f>IF(Sheet!MQ55="Совсем нет / Not at all",1,IF(Sheet!MR55="Немного / A little",2,IF(Sheet!MS55="Довольно сильно / Quite a bit",3,IF(Sheet!MT55="Очень сильно / Extremely",4,""))))</f>
        <v>3</v>
      </c>
      <c r="MU55">
        <f>IF(Sheet!MU55="Совсем нет / Not at all",1,IF(Sheet!MV55="Немного / A little",2,IF(Sheet!MW55="Довольно сильно / Quite a bit",3,IF(Sheet!MX55="Очень сильно / Extremely",4,""))))</f>
        <v>3</v>
      </c>
      <c r="MY55">
        <f>IF(Sheet!MY55="Совсем нет / Not at all",1,IF(Sheet!MZ55="Немного / A little",2,IF(Sheet!NA55="Довольно сильно / Quite a bit",3,IF(Sheet!NB55="Очень сильно / Extremely",4,""))))</f>
        <v>1</v>
      </c>
      <c r="NC55">
        <f>IF(Sheet!NC55="Совсем нет / Not at all",1,IF(Sheet!ND55="Немного / A little",2,IF(Sheet!NE55="Довольно сильно / Quite a bit",3,IF(Sheet!NF55="Очень сильно / Extremely",4,""))))</f>
        <v>3</v>
      </c>
      <c r="NG55">
        <f>IF(Sheet!NG55="Совсем нет / Not at all",1,IF(Sheet!NH55="Немного / A little",2,IF(Sheet!NI55="Довольно сильно / Quite a bit",3,IF(Sheet!NJ55="Очень сильно / Extremely",4,""))))</f>
        <v>3</v>
      </c>
      <c r="NK55">
        <f>IF(Sheet!NK55="Совсем нет / Not at all",1,IF(Sheet!NL55="Немного / A little",2,IF(Sheet!NM55="Довольно сильно / Quite a bit",3,IF(Sheet!NN55="Очень сильно / Extremely",4,""))))</f>
        <v>2</v>
      </c>
      <c r="NO55">
        <f>IF(Sheet!NO55="Совсем нет / Not at all",1,IF(Sheet!NP55="Немного / A little",2,IF(Sheet!NQ55="Довольно сильно / Quite a bit",3,IF(Sheet!NR55="Очень сильно / Extremely",4,""))))</f>
        <v>3</v>
      </c>
      <c r="NS55">
        <f>IF(Sheet!NS55="Совсем нет / Not at all",1,IF(Sheet!NT55="Немного / A little",2,IF(Sheet!NU55="Довольно сильно / Quite a bit",3,IF(Sheet!NV55="Очень сильно / Extremely",4,""))))</f>
        <v>2</v>
      </c>
      <c r="NW55">
        <f>IF(Sheet!NW55="Совсем нет / Not at all",1,IF(Sheet!NX55="Немного / A little",2,IF(Sheet!NY55="Довольно сильно / Quite a bit",3,IF(Sheet!NZ55="Очень сильно / Extremely",4,""))))</f>
        <v>1</v>
      </c>
      <c r="OA55">
        <f>IF(Sheet!OA55="Совсем нет / Not at all",1,IF(Sheet!OB55="Немного / A little",2,IF(Sheet!OC55="Довольно сильно / Quite a bit",3,IF(Sheet!OD55="Очень сильно / Extremely",4,""))))</f>
        <v>3</v>
      </c>
      <c r="OE55">
        <f>IF(Sheet!OE55="Совсем нет / Not at all",1,IF(Sheet!OF55="Немного / A little",2,IF(Sheet!OG55="Довольно сильно / Quite a bit",3,IF(Sheet!OH55="Очень сильно / Extremely",4,""))))</f>
        <v>3</v>
      </c>
      <c r="OI55">
        <f>IF(Sheet!OI55="Совсем нет / Not at all",1,IF(Sheet!OJ55="Немного / A little",2,IF(Sheet!OK55="Довольно сильно / Quite a bit",3,IF(Sheet!OL55="Очень сильно / Extremely",4,""))))</f>
        <v>2</v>
      </c>
    </row>
    <row r="56" spans="1:399">
      <c r="A56" t="str">
        <f>Sheet!A56</f>
        <v>KO002</v>
      </c>
      <c r="KR56" s="27">
        <f>SUM(KU56,KY56,LC56,LG56,LK56,LO56,LS56,LW56,MA56,ME56)/10</f>
        <v>2.7</v>
      </c>
      <c r="KS56" s="27">
        <f>SUM(MI56,MM56,MQ56,MU56,MY56,NC56,NG56,NK56,NO56,NS56,NW56,OA56,OE56,OI56)/14</f>
        <v>2.4285714285714284</v>
      </c>
      <c r="KU56">
        <f>IF(Sheet!KU56="Совсем нет / Not at all",1,IF(Sheet!KV56="Немного / A little",2,IF(Sheet!KW56="Довольно сильно / Quite a bit",3,IF(Sheet!KX56="Очень сильно / Extremely",4,""))))</f>
        <v>3</v>
      </c>
      <c r="KY56">
        <f>IF(Sheet!KY56="Совсем нет / Not at all",1,IF(Sheet!KZ56="Немного / A little",2,IF(Sheet!LA56="Довольно сильно / Quite a bit",3,IF(Sheet!LB56="Очень сильно / Extremely",4,""))))</f>
        <v>3</v>
      </c>
      <c r="LC56">
        <f>IF(Sheet!LC56="Совсем нет / Not at all",1,IF(Sheet!LD56="Немного / A little",2,IF(Sheet!LE56="Довольно сильно / Quite a bit",3,IF(Sheet!LF56="Очень сильно / Extremely",4,""))))</f>
        <v>2</v>
      </c>
      <c r="LG56">
        <f>IF(Sheet!LG56="Совсем нет / Not at all",1,IF(Sheet!LH56="Немного / A little",2,IF(Sheet!LI56="Довольно сильно / Quite a bit",3,IF(Sheet!LJ56="Очень сильно / Extremely",4,""))))</f>
        <v>3</v>
      </c>
      <c r="LK56">
        <f>IF(Sheet!LK56="Совсем нет / Not at all",1,IF(Sheet!LL56="Немного / A little",2,IF(Sheet!LM56="Довольно сильно / Quite a bit",3,IF(Sheet!LN56="Очень сильно / Extremely",4,""))))</f>
        <v>3</v>
      </c>
      <c r="LO56">
        <f>IF(Sheet!LO56="Совсем нет / Not at all",1,IF(Sheet!LP56="Немного / A little",2,IF(Sheet!LQ56="Довольно сильно / Quite a bit",3,IF(Sheet!LR56="Очень сильно / Extremely",4,""))))</f>
        <v>3</v>
      </c>
      <c r="LS56">
        <f>IF(Sheet!LS56="Совсем нет / Not at all",1,IF(Sheet!LT56="Немного / A little",2,IF(Sheet!LU56="Довольно сильно / Quite a bit",3,IF(Sheet!LV56="Очень сильно / Extremely",4,""))))</f>
        <v>3</v>
      </c>
      <c r="LW56">
        <f>IF(Sheet!LW56="Совсем нет / Not at all",1,IF(Sheet!LX56="Немного / A little",2,IF(Sheet!LY56="Довольно сильно / Quite a bit",3,IF(Sheet!LZ56="Очень сильно / Extremely",4,""))))</f>
        <v>1</v>
      </c>
      <c r="MA56">
        <f>IF(Sheet!MA56="Совсем нет / Not at all",1,IF(Sheet!MB56="Немного / A little",2,IF(Sheet!MC56="Довольно сильно / Quite a bit",3,IF(Sheet!MD56="Очень сильно / Extremely",4,""))))</f>
        <v>3</v>
      </c>
      <c r="ME56">
        <f>IF(Sheet!ME56="Совсем нет / Not at all",1,IF(Sheet!MF56="Немного / A little",2,IF(Sheet!MG56="Довольно сильно / Quite a bit",3,IF(Sheet!MH56="Очень сильно / Extremely",4,""))))</f>
        <v>3</v>
      </c>
      <c r="MI56">
        <f>IF(Sheet!MI56="Совсем нет / Not at all",1,IF(Sheet!MJ56="Немного / A little",2,IF(Sheet!MK56="Довольно сильно / Quite a bit",3,IF(Sheet!ML56="Очень сильно / Extremely",4,""))))</f>
        <v>3</v>
      </c>
      <c r="MM56">
        <f>IF(Sheet!MM56="Совсем нет / Not at all",1,IF(Sheet!MN56="Немного / A little",2,IF(Sheet!MO56="Довольно сильно / Quite a bit",3,IF(Sheet!MP56="Очень сильно / Extremely",4,""))))</f>
        <v>2</v>
      </c>
      <c r="MQ56">
        <f>IF(Sheet!MQ56="Совсем нет / Not at all",1,IF(Sheet!MR56="Немного / A little",2,IF(Sheet!MS56="Довольно сильно / Quite a bit",3,IF(Sheet!MT56="Очень сильно / Extremely",4,""))))</f>
        <v>3</v>
      </c>
      <c r="MU56">
        <f>IF(Sheet!MU56="Совсем нет / Not at all",1,IF(Sheet!MV56="Немного / A little",2,IF(Sheet!MW56="Довольно сильно / Quite a bit",3,IF(Sheet!MX56="Очень сильно / Extremely",4,""))))</f>
        <v>3</v>
      </c>
      <c r="MY56">
        <f>IF(Sheet!MY56="Совсем нет / Not at all",1,IF(Sheet!MZ56="Немного / A little",2,IF(Sheet!NA56="Довольно сильно / Quite a bit",3,IF(Sheet!NB56="Очень сильно / Extremely",4,""))))</f>
        <v>1</v>
      </c>
      <c r="NC56">
        <f>IF(Sheet!NC56="Совсем нет / Not at all",1,IF(Sheet!ND56="Немного / A little",2,IF(Sheet!NE56="Довольно сильно / Quite a bit",3,IF(Sheet!NF56="Очень сильно / Extremely",4,""))))</f>
        <v>2</v>
      </c>
      <c r="NG56">
        <f>IF(Sheet!NG56="Совсем нет / Not at all",1,IF(Sheet!NH56="Немного / A little",2,IF(Sheet!NI56="Довольно сильно / Quite a bit",3,IF(Sheet!NJ56="Очень сильно / Extremely",4,""))))</f>
        <v>3</v>
      </c>
      <c r="NK56">
        <f>IF(Sheet!NK56="Совсем нет / Not at all",1,IF(Sheet!NL56="Немного / A little",2,IF(Sheet!NM56="Довольно сильно / Quite a bit",3,IF(Sheet!NN56="Очень сильно / Extremely",4,""))))</f>
        <v>3</v>
      </c>
      <c r="NO56">
        <f>IF(Sheet!NO56="Совсем нет / Not at all",1,IF(Sheet!NP56="Немного / A little",2,IF(Sheet!NQ56="Довольно сильно / Quite a bit",3,IF(Sheet!NR56="Очень сильно / Extremely",4,""))))</f>
        <v>2</v>
      </c>
      <c r="NS56">
        <f>IF(Sheet!NS56="Совсем нет / Not at all",1,IF(Sheet!NT56="Немного / A little",2,IF(Sheet!NU56="Довольно сильно / Quite a bit",3,IF(Sheet!NV56="Очень сильно / Extremely",4,""))))</f>
        <v>3</v>
      </c>
      <c r="NW56">
        <f>IF(Sheet!NW56="Совсем нет / Not at all",1,IF(Sheet!NX56="Немного / A little",2,IF(Sheet!NY56="Довольно сильно / Quite a bit",3,IF(Sheet!NZ56="Очень сильно / Extremely",4,""))))</f>
        <v>3</v>
      </c>
      <c r="OA56">
        <f>IF(Sheet!OA56="Совсем нет / Not at all",1,IF(Sheet!OB56="Немного / A little",2,IF(Sheet!OC56="Довольно сильно / Quite a bit",3,IF(Sheet!OD56="Очень сильно / Extremely",4,""))))</f>
        <v>2</v>
      </c>
      <c r="OE56">
        <f>IF(Sheet!OE56="Совсем нет / Not at all",1,IF(Sheet!OF56="Немного / A little",2,IF(Sheet!OG56="Довольно сильно / Quite a bit",3,IF(Sheet!OH56="Очень сильно / Extremely",4,""))))</f>
        <v>3</v>
      </c>
      <c r="OI56">
        <f>IF(Sheet!OI56="Совсем нет / Not at all",1,IF(Sheet!OJ56="Немного / A little",2,IF(Sheet!OK56="Довольно сильно / Quite a bit",3,IF(Sheet!OL56="Очень сильно / Extremely",4,""))))</f>
        <v>1</v>
      </c>
    </row>
    <row r="57" spans="1:399">
      <c r="A57" t="str">
        <f>Sheet!A57</f>
        <v>Cu 001</v>
      </c>
      <c r="KR57" s="27">
        <f>SUM(KU57,KY57,LC57,LG57,LK57,LO57,LS57,LW57,MA57,ME57)/10</f>
        <v>1.1000000000000001</v>
      </c>
      <c r="KS57" s="27">
        <f>SUM(MI57,MM57,MQ57,MU57,MY57,NC57,NG57,NK57,NO57,NS57,NW57,OA57,OE57,OI57)/14</f>
        <v>1.2857142857142858</v>
      </c>
      <c r="KU57">
        <f>IF(Sheet!KU57="Совсем нет / Not at all",1,IF(Sheet!KV57="Немного / A little",2,IF(Sheet!KW57="Довольно сильно / Quite a bit",3,IF(Sheet!KX57="Очень сильно / Extremely",4,""))))</f>
        <v>1</v>
      </c>
      <c r="KY57">
        <f>IF(Sheet!KY57="Совсем нет / Not at all",1,IF(Sheet!KZ57="Немного / A little",2,IF(Sheet!LA57="Довольно сильно / Quite a bit",3,IF(Sheet!LB57="Очень сильно / Extremely",4,""))))</f>
        <v>1</v>
      </c>
      <c r="LC57">
        <f>IF(Sheet!LC57="Совсем нет / Not at all",1,IF(Sheet!LD57="Немного / A little",2,IF(Sheet!LE57="Довольно сильно / Quite a bit",3,IF(Sheet!LF57="Очень сильно / Extremely",4,""))))</f>
        <v>1</v>
      </c>
      <c r="LG57">
        <f>IF(Sheet!LG57="Совсем нет / Not at all",1,IF(Sheet!LH57="Немного / A little",2,IF(Sheet!LI57="Довольно сильно / Quite a bit",3,IF(Sheet!LJ57="Очень сильно / Extremely",4,""))))</f>
        <v>1</v>
      </c>
      <c r="LK57">
        <f>IF(Sheet!LK57="Совсем нет / Not at all",1,IF(Sheet!LL57="Немного / A little",2,IF(Sheet!LM57="Довольно сильно / Quite a bit",3,IF(Sheet!LN57="Очень сильно / Extremely",4,""))))</f>
        <v>1</v>
      </c>
      <c r="LO57">
        <f>IF(Sheet!LO57="Совсем нет / Not at all",1,IF(Sheet!LP57="Немного / A little",2,IF(Sheet!LQ57="Довольно сильно / Quite a bit",3,IF(Sheet!LR57="Очень сильно / Extremely",4,""))))</f>
        <v>1</v>
      </c>
      <c r="LS57">
        <f>IF(Sheet!LS57="Совсем нет / Not at all",1,IF(Sheet!LT57="Немного / A little",2,IF(Sheet!LU57="Довольно сильно / Quite a bit",3,IF(Sheet!LV57="Очень сильно / Extremely",4,""))))</f>
        <v>1</v>
      </c>
      <c r="LW57">
        <f>IF(Sheet!LW57="Совсем нет / Not at all",1,IF(Sheet!LX57="Немного / A little",2,IF(Sheet!LY57="Довольно сильно / Quite a bit",3,IF(Sheet!LZ57="Очень сильно / Extremely",4,""))))</f>
        <v>1</v>
      </c>
      <c r="MA57">
        <f>IF(Sheet!MA57="Совсем нет / Not at all",1,IF(Sheet!MB57="Немного / A little",2,IF(Sheet!MC57="Довольно сильно / Quite a bit",3,IF(Sheet!MD57="Очень сильно / Extremely",4,""))))</f>
        <v>1</v>
      </c>
      <c r="ME57">
        <f>IF(Sheet!ME57="Совсем нет / Not at all",1,IF(Sheet!MF57="Немного / A little",2,IF(Sheet!MG57="Довольно сильно / Quite a bit",3,IF(Sheet!MH57="Очень сильно / Extremely",4,""))))</f>
        <v>2</v>
      </c>
      <c r="MI57">
        <f>IF(Sheet!MI57="Совсем нет / Not at all",1,IF(Sheet!MJ57="Немного / A little",2,IF(Sheet!MK57="Довольно сильно / Quite a bit",3,IF(Sheet!ML57="Очень сильно / Extremely",4,""))))</f>
        <v>1</v>
      </c>
      <c r="MM57">
        <f>IF(Sheet!MM57="Совсем нет / Not at all",1,IF(Sheet!MN57="Немного / A little",2,IF(Sheet!MO57="Довольно сильно / Quite a bit",3,IF(Sheet!MP57="Очень сильно / Extremely",4,""))))</f>
        <v>1</v>
      </c>
      <c r="MQ57">
        <f>IF(Sheet!MQ57="Совсем нет / Not at all",1,IF(Sheet!MR57="Немного / A little",2,IF(Sheet!MS57="Довольно сильно / Quite a bit",3,IF(Sheet!MT57="Очень сильно / Extremely",4,""))))</f>
        <v>1</v>
      </c>
      <c r="MU57">
        <f>IF(Sheet!MU57="Совсем нет / Not at all",1,IF(Sheet!MV57="Немного / A little",2,IF(Sheet!MW57="Довольно сильно / Quite a bit",3,IF(Sheet!MX57="Очень сильно / Extremely",4,""))))</f>
        <v>1</v>
      </c>
      <c r="MY57">
        <f>IF(Sheet!MY57="Совсем нет / Not at all",1,IF(Sheet!MZ57="Немного / A little",2,IF(Sheet!NA57="Довольно сильно / Quite a bit",3,IF(Sheet!NB57="Очень сильно / Extremely",4,""))))</f>
        <v>1</v>
      </c>
      <c r="NC57">
        <f>IF(Sheet!NC57="Совсем нет / Not at all",1,IF(Sheet!ND57="Немного / A little",2,IF(Sheet!NE57="Довольно сильно / Quite a bit",3,IF(Sheet!NF57="Очень сильно / Extremely",4,""))))</f>
        <v>1</v>
      </c>
      <c r="NG57">
        <f>IF(Sheet!NG57="Совсем нет / Not at all",1,IF(Sheet!NH57="Немного / A little",2,IF(Sheet!NI57="Довольно сильно / Quite a bit",3,IF(Sheet!NJ57="Очень сильно / Extremely",4,""))))</f>
        <v>2</v>
      </c>
      <c r="NK57">
        <f>IF(Sheet!NK57="Совсем нет / Not at all",1,IF(Sheet!NL57="Немного / A little",2,IF(Sheet!NM57="Довольно сильно / Quite a bit",3,IF(Sheet!NN57="Очень сильно / Extremely",4,""))))</f>
        <v>2</v>
      </c>
      <c r="NO57">
        <f>IF(Sheet!NO57="Совсем нет / Not at all",1,IF(Sheet!NP57="Немного / A little",2,IF(Sheet!NQ57="Довольно сильно / Quite a bit",3,IF(Sheet!NR57="Очень сильно / Extremely",4,""))))</f>
        <v>2</v>
      </c>
      <c r="NS57">
        <f>IF(Sheet!NS57="Совсем нет / Not at all",1,IF(Sheet!NT57="Немного / A little",2,IF(Sheet!NU57="Довольно сильно / Quite a bit",3,IF(Sheet!NV57="Очень сильно / Extremely",4,""))))</f>
        <v>1</v>
      </c>
      <c r="NW57">
        <f>IF(Sheet!NW57="Совсем нет / Not at all",1,IF(Sheet!NX57="Немного / A little",2,IF(Sheet!NY57="Довольно сильно / Quite a bit",3,IF(Sheet!NZ57="Очень сильно / Extremely",4,""))))</f>
        <v>1</v>
      </c>
      <c r="OA57">
        <f>IF(Sheet!OA57="Совсем нет / Not at all",1,IF(Sheet!OB57="Немного / A little",2,IF(Sheet!OC57="Довольно сильно / Quite a bit",3,IF(Sheet!OD57="Очень сильно / Extremely",4,""))))</f>
        <v>1</v>
      </c>
      <c r="OE57">
        <f>IF(Sheet!OE57="Совсем нет / Not at all",1,IF(Sheet!OF57="Немного / A little",2,IF(Sheet!OG57="Довольно сильно / Quite a bit",3,IF(Sheet!OH57="Очень сильно / Extremely",4,""))))</f>
        <v>2</v>
      </c>
      <c r="OI57">
        <f>IF(Sheet!OI57="Совсем нет / Not at all",1,IF(Sheet!OJ57="Немного / A little",2,IF(Sheet!OK57="Довольно сильно / Quite a bit",3,IF(Sheet!OL57="Очень сильно / Extremely",4,""))))</f>
        <v>1</v>
      </c>
    </row>
    <row r="58" spans="1:399">
      <c r="A58" t="str">
        <f>Sheet!A58</f>
        <v>XO001</v>
      </c>
      <c r="KR58" s="27">
        <f>SUM(KU58,KY58,LC58,LG58,LK58,LO58,LS58,LW58,MA58,ME58)/10</f>
        <v>1.3</v>
      </c>
      <c r="KS58" s="27">
        <f>SUM(MI58,MM58,MQ58,MU58,MY58,NC58,NG58,NK58,NO58,NS58,NW58,OA58,OE58,OI58)/14</f>
        <v>1.2857142857142858</v>
      </c>
      <c r="KU58">
        <f>IF(Sheet!KU58="Совсем нет / Not at all",1,IF(Sheet!KV58="Немного / A little",2,IF(Sheet!KW58="Довольно сильно / Quite a bit",3,IF(Sheet!KX58="Очень сильно / Extremely",4,""))))</f>
        <v>1</v>
      </c>
      <c r="KY58">
        <f>IF(Sheet!KY58="Совсем нет / Not at all",1,IF(Sheet!KZ58="Немного / A little",2,IF(Sheet!LA58="Довольно сильно / Quite a bit",3,IF(Sheet!LB58="Очень сильно / Extremely",4,""))))</f>
        <v>1</v>
      </c>
      <c r="LC58">
        <f>IF(Sheet!LC58="Совсем нет / Not at all",1,IF(Sheet!LD58="Немного / A little",2,IF(Sheet!LE58="Довольно сильно / Quite a bit",3,IF(Sheet!LF58="Очень сильно / Extremely",4,""))))</f>
        <v>1</v>
      </c>
      <c r="LG58">
        <f>IF(Sheet!LG58="Совсем нет / Not at all",1,IF(Sheet!LH58="Немного / A little",2,IF(Sheet!LI58="Довольно сильно / Quite a bit",3,IF(Sheet!LJ58="Очень сильно / Extremely",4,""))))</f>
        <v>1</v>
      </c>
      <c r="LK58">
        <f>IF(Sheet!LK58="Совсем нет / Not at all",1,IF(Sheet!LL58="Немного / A little",2,IF(Sheet!LM58="Довольно сильно / Quite a bit",3,IF(Sheet!LN58="Очень сильно / Extremely",4,""))))</f>
        <v>2</v>
      </c>
      <c r="LO58">
        <f>IF(Sheet!LO58="Совсем нет / Not at all",1,IF(Sheet!LP58="Немного / A little",2,IF(Sheet!LQ58="Довольно сильно / Quite a bit",3,IF(Sheet!LR58="Очень сильно / Extremely",4,""))))</f>
        <v>1</v>
      </c>
      <c r="LS58">
        <f>IF(Sheet!LS58="Совсем нет / Not at all",1,IF(Sheet!LT58="Немного / A little",2,IF(Sheet!LU58="Довольно сильно / Quite a bit",3,IF(Sheet!LV58="Очень сильно / Extremely",4,""))))</f>
        <v>2</v>
      </c>
      <c r="LW58">
        <f>IF(Sheet!LW58="Совсем нет / Not at all",1,IF(Sheet!LX58="Немного / A little",2,IF(Sheet!LY58="Довольно сильно / Quite a bit",3,IF(Sheet!LZ58="Очень сильно / Extremely",4,""))))</f>
        <v>1</v>
      </c>
      <c r="MA58">
        <f>IF(Sheet!MA58="Совсем нет / Not at all",1,IF(Sheet!MB58="Немного / A little",2,IF(Sheet!MC58="Довольно сильно / Quite a bit",3,IF(Sheet!MD58="Очень сильно / Extremely",4,""))))</f>
        <v>1</v>
      </c>
      <c r="ME58">
        <f>IF(Sheet!ME58="Совсем нет / Not at all",1,IF(Sheet!MF58="Немного / A little",2,IF(Sheet!MG58="Довольно сильно / Quite a bit",3,IF(Sheet!MH58="Очень сильно / Extremely",4,""))))</f>
        <v>2</v>
      </c>
      <c r="MI58">
        <f>IF(Sheet!MI58="Совсем нет / Not at all",1,IF(Sheet!MJ58="Немного / A little",2,IF(Sheet!MK58="Довольно сильно / Quite a bit",3,IF(Sheet!ML58="Очень сильно / Extremely",4,""))))</f>
        <v>2</v>
      </c>
      <c r="MM58">
        <f>IF(Sheet!MM58="Совсем нет / Not at all",1,IF(Sheet!MN58="Немного / A little",2,IF(Sheet!MO58="Довольно сильно / Quite a bit",3,IF(Sheet!MP58="Очень сильно / Extremely",4,""))))</f>
        <v>2</v>
      </c>
      <c r="MQ58">
        <f>IF(Sheet!MQ58="Совсем нет / Not at all",1,IF(Sheet!MR58="Немного / A little",2,IF(Sheet!MS58="Довольно сильно / Quite a bit",3,IF(Sheet!MT58="Очень сильно / Extremely",4,""))))</f>
        <v>1</v>
      </c>
      <c r="MU58">
        <f>IF(Sheet!MU58="Совсем нет / Not at all",1,IF(Sheet!MV58="Немного / A little",2,IF(Sheet!MW58="Довольно сильно / Quite a bit",3,IF(Sheet!MX58="Очень сильно / Extremely",4,""))))</f>
        <v>1</v>
      </c>
      <c r="MY58">
        <f>IF(Sheet!MY58="Совсем нет / Not at all",1,IF(Sheet!MZ58="Немного / A little",2,IF(Sheet!NA58="Довольно сильно / Quite a bit",3,IF(Sheet!NB58="Очень сильно / Extremely",4,""))))</f>
        <v>1</v>
      </c>
      <c r="NC58">
        <f>IF(Sheet!NC58="Совсем нет / Not at all",1,IF(Sheet!ND58="Немного / A little",2,IF(Sheet!NE58="Довольно сильно / Quite a bit",3,IF(Sheet!NF58="Очень сильно / Extremely",4,""))))</f>
        <v>2</v>
      </c>
      <c r="NG58">
        <f>IF(Sheet!NG58="Совсем нет / Not at all",1,IF(Sheet!NH58="Немного / A little",2,IF(Sheet!NI58="Довольно сильно / Quite a bit",3,IF(Sheet!NJ58="Очень сильно / Extremely",4,""))))</f>
        <v>1</v>
      </c>
      <c r="NK58">
        <f>IF(Sheet!NK58="Совсем нет / Not at all",1,IF(Sheet!NL58="Немного / A little",2,IF(Sheet!NM58="Довольно сильно / Quite a bit",3,IF(Sheet!NN58="Очень сильно / Extremely",4,""))))</f>
        <v>1</v>
      </c>
      <c r="NO58">
        <f>IF(Sheet!NO58="Совсем нет / Not at all",1,IF(Sheet!NP58="Немного / A little",2,IF(Sheet!NQ58="Довольно сильно / Quite a bit",3,IF(Sheet!NR58="Очень сильно / Extremely",4,""))))</f>
        <v>1</v>
      </c>
      <c r="NS58">
        <f>IF(Sheet!NS58="Совсем нет / Not at all",1,IF(Sheet!NT58="Немного / A little",2,IF(Sheet!NU58="Довольно сильно / Quite a bit",3,IF(Sheet!NV58="Очень сильно / Extremely",4,""))))</f>
        <v>1</v>
      </c>
      <c r="NW58">
        <f>IF(Sheet!NW58="Совсем нет / Not at all",1,IF(Sheet!NX58="Немного / A little",2,IF(Sheet!NY58="Довольно сильно / Quite a bit",3,IF(Sheet!NZ58="Очень сильно / Extremely",4,""))))</f>
        <v>1</v>
      </c>
      <c r="OA58">
        <f>IF(Sheet!OA58="Совсем нет / Not at all",1,IF(Sheet!OB58="Немного / A little",2,IF(Sheet!OC58="Довольно сильно / Quite a bit",3,IF(Sheet!OD58="Очень сильно / Extremely",4,""))))</f>
        <v>2</v>
      </c>
      <c r="OE58">
        <f>IF(Sheet!OE58="Совсем нет / Not at all",1,IF(Sheet!OF58="Немного / A little",2,IF(Sheet!OG58="Довольно сильно / Quite a bit",3,IF(Sheet!OH58="Очень сильно / Extremely",4,""))))</f>
        <v>1</v>
      </c>
      <c r="OI58">
        <f>IF(Sheet!OI58="Совсем нет / Not at all",1,IF(Sheet!OJ58="Немного / A little",2,IF(Sheet!OK58="Довольно сильно / Quite a bit",3,IF(Sheet!OL58="Очень сильно / Extremely",4,""))))</f>
        <v>1</v>
      </c>
    </row>
    <row r="59" spans="1:399">
      <c r="A59" t="str">
        <f>Sheet!A59</f>
        <v>CN001</v>
      </c>
      <c r="KR59" s="27">
        <f>SUM(KU59,KY59,LC59,LG59,LK59,LO59,LS59,LW59,MA59,ME59)/10</f>
        <v>1.8</v>
      </c>
      <c r="KS59" s="27">
        <f>SUM(MI59,MM59,MQ59,MU59,MY59,NC59,NG59,NK59,NO59,NS59,NW59,OA59,OE59,OI59)/14</f>
        <v>2.7857142857142856</v>
      </c>
      <c r="KU59">
        <f>IF(Sheet!KU59="Совсем нет / Not at all",1,IF(Sheet!KV59="Немного / A little",2,IF(Sheet!KW59="Довольно сильно / Quite a bit",3,IF(Sheet!KX59="Очень сильно / Extremely",4,""))))</f>
        <v>1</v>
      </c>
      <c r="KY59">
        <f>IF(Sheet!KY59="Совсем нет / Not at all",1,IF(Sheet!KZ59="Немного / A little",2,IF(Sheet!LA59="Довольно сильно / Quite a bit",3,IF(Sheet!LB59="Очень сильно / Extremely",4,""))))</f>
        <v>2</v>
      </c>
      <c r="LC59">
        <f>IF(Sheet!LC59="Совсем нет / Not at all",1,IF(Sheet!LD59="Немного / A little",2,IF(Sheet!LE59="Довольно сильно / Quite a bit",3,IF(Sheet!LF59="Очень сильно / Extremely",4,""))))</f>
        <v>1</v>
      </c>
      <c r="LG59">
        <f>IF(Sheet!LG59="Совсем нет / Not at all",1,IF(Sheet!LH59="Немного / A little",2,IF(Sheet!LI59="Довольно сильно / Quite a bit",3,IF(Sheet!LJ59="Очень сильно / Extremely",4,""))))</f>
        <v>2</v>
      </c>
      <c r="LK59">
        <f>IF(Sheet!LK59="Совсем нет / Not at all",1,IF(Sheet!LL59="Немного / A little",2,IF(Sheet!LM59="Довольно сильно / Quite a bit",3,IF(Sheet!LN59="Очень сильно / Extremely",4,""))))</f>
        <v>2</v>
      </c>
      <c r="LO59">
        <f>IF(Sheet!LO59="Совсем нет / Not at all",1,IF(Sheet!LP59="Немного / A little",2,IF(Sheet!LQ59="Довольно сильно / Quite a bit",3,IF(Sheet!LR59="Очень сильно / Extremely",4,""))))</f>
        <v>1</v>
      </c>
      <c r="LS59">
        <f>IF(Sheet!LS59="Совсем нет / Not at all",1,IF(Sheet!LT59="Немного / A little",2,IF(Sheet!LU59="Довольно сильно / Quite a bit",3,IF(Sheet!LV59="Очень сильно / Extremely",4,""))))</f>
        <v>2</v>
      </c>
      <c r="LW59">
        <f>IF(Sheet!LW59="Совсем нет / Not at all",1,IF(Sheet!LX59="Немного / A little",2,IF(Sheet!LY59="Довольно сильно / Quite a bit",3,IF(Sheet!LZ59="Очень сильно / Extremely",4,""))))</f>
        <v>3</v>
      </c>
      <c r="MA59">
        <f>IF(Sheet!MA59="Совсем нет / Not at all",1,IF(Sheet!MB59="Немного / A little",2,IF(Sheet!MC59="Довольно сильно / Quite a bit",3,IF(Sheet!MD59="Очень сильно / Extremely",4,""))))</f>
        <v>1</v>
      </c>
      <c r="ME59">
        <f>IF(Sheet!ME59="Совсем нет / Not at all",1,IF(Sheet!MF59="Немного / A little",2,IF(Sheet!MG59="Довольно сильно / Quite a bit",3,IF(Sheet!MH59="Очень сильно / Extremely",4,""))))</f>
        <v>3</v>
      </c>
      <c r="MI59">
        <f>IF(Sheet!MI59="Совсем нет / Not at all",1,IF(Sheet!MJ59="Немного / A little",2,IF(Sheet!MK59="Довольно сильно / Quite a bit",3,IF(Sheet!ML59="Очень сильно / Extremely",4,""))))</f>
        <v>2</v>
      </c>
      <c r="MM59">
        <f>IF(Sheet!MM59="Совсем нет / Not at all",1,IF(Sheet!MN59="Немного / A little",2,IF(Sheet!MO59="Довольно сильно / Quite a bit",3,IF(Sheet!MP59="Очень сильно / Extremely",4,""))))</f>
        <v>4</v>
      </c>
      <c r="MQ59">
        <f>IF(Sheet!MQ59="Совсем нет / Not at all",1,IF(Sheet!MR59="Немного / A little",2,IF(Sheet!MS59="Довольно сильно / Quite a bit",3,IF(Sheet!MT59="Очень сильно / Extremely",4,""))))</f>
        <v>3</v>
      </c>
      <c r="MU59">
        <f>IF(Sheet!MU59="Совсем нет / Not at all",1,IF(Sheet!MV59="Немного / A little",2,IF(Sheet!MW59="Довольно сильно / Quite a bit",3,IF(Sheet!MX59="Очень сильно / Extremely",4,""))))</f>
        <v>2</v>
      </c>
      <c r="MY59">
        <f>IF(Sheet!MY59="Совсем нет / Not at all",1,IF(Sheet!MZ59="Немного / A little",2,IF(Sheet!NA59="Довольно сильно / Quite a bit",3,IF(Sheet!NB59="Очень сильно / Extremely",4,""))))</f>
        <v>2</v>
      </c>
      <c r="NC59">
        <f>IF(Sheet!NC59="Совсем нет / Not at all",1,IF(Sheet!ND59="Немного / A little",2,IF(Sheet!NE59="Довольно сильно / Quite a bit",3,IF(Sheet!NF59="Очень сильно / Extremely",4,""))))</f>
        <v>3</v>
      </c>
      <c r="NG59">
        <f>IF(Sheet!NG59="Совсем нет / Not at all",1,IF(Sheet!NH59="Немного / A little",2,IF(Sheet!NI59="Довольно сильно / Quite a bit",3,IF(Sheet!NJ59="Очень сильно / Extremely",4,""))))</f>
        <v>4</v>
      </c>
      <c r="NK59">
        <f>IF(Sheet!NK59="Совсем нет / Not at all",1,IF(Sheet!NL59="Немного / A little",2,IF(Sheet!NM59="Довольно сильно / Quite a bit",3,IF(Sheet!NN59="Очень сильно / Extremely",4,""))))</f>
        <v>3</v>
      </c>
      <c r="NO59">
        <f>IF(Sheet!NO59="Совсем нет / Not at all",1,IF(Sheet!NP59="Немного / A little",2,IF(Sheet!NQ59="Довольно сильно / Quite a bit",3,IF(Sheet!NR59="Очень сильно / Extremely",4,""))))</f>
        <v>4</v>
      </c>
      <c r="NS59">
        <f>IF(Sheet!NS59="Совсем нет / Not at all",1,IF(Sheet!NT59="Немного / A little",2,IF(Sheet!NU59="Довольно сильно / Quite a bit",3,IF(Sheet!NV59="Очень сильно / Extremely",4,""))))</f>
        <v>2</v>
      </c>
      <c r="NW59">
        <f>IF(Sheet!NW59="Совсем нет / Not at all",1,IF(Sheet!NX59="Немного / A little",2,IF(Sheet!NY59="Довольно сильно / Quite a bit",3,IF(Sheet!NZ59="Очень сильно / Extremely",4,""))))</f>
        <v>2</v>
      </c>
      <c r="OA59">
        <f>IF(Sheet!OA59="Совсем нет / Not at all",1,IF(Sheet!OB59="Немного / A little",2,IF(Sheet!OC59="Довольно сильно / Quite a bit",3,IF(Sheet!OD59="Очень сильно / Extremely",4,""))))</f>
        <v>2</v>
      </c>
      <c r="OE59">
        <f>IF(Sheet!OE59="Совсем нет / Not at all",1,IF(Sheet!OF59="Немного / A little",2,IF(Sheet!OG59="Довольно сильно / Quite a bit",3,IF(Sheet!OH59="Очень сильно / Extremely",4,""))))</f>
        <v>2</v>
      </c>
      <c r="OI59">
        <f>IF(Sheet!OI59="Совсем нет / Not at all",1,IF(Sheet!OJ59="Немного / A little",2,IF(Sheet!OK59="Довольно сильно / Quite a bit",3,IF(Sheet!OL59="Очень сильно / Extremely",4,""))))</f>
        <v>4</v>
      </c>
    </row>
    <row r="60" spans="1:399">
      <c r="A60" t="str">
        <f>Sheet!A60</f>
        <v>CR001</v>
      </c>
      <c r="KR60" s="27">
        <f>SUM(KU60,KY60,LC60,LG60,LK60,LO60,LS60,LW60,MA60,ME60)/10</f>
        <v>1.5</v>
      </c>
      <c r="KS60" s="27">
        <f>SUM(MI60,MM60,MQ60,MU60,MY60,NC60,NG60,NK60,NO60,NS60,NW60,OA60,OE60,OI60)/14</f>
        <v>2.5714285714285716</v>
      </c>
      <c r="KU60">
        <f>IF(Sheet!KU60="Совсем нет / Not at all",1,IF(Sheet!KV60="Немного / A little",2,IF(Sheet!KW60="Довольно сильно / Quite a bit",3,IF(Sheet!KX60="Очень сильно / Extremely",4,""))))</f>
        <v>1</v>
      </c>
      <c r="KY60">
        <f>IF(Sheet!KY60="Совсем нет / Not at all",1,IF(Sheet!KZ60="Немного / A little",2,IF(Sheet!LA60="Довольно сильно / Quite a bit",3,IF(Sheet!LB60="Очень сильно / Extremely",4,""))))</f>
        <v>1</v>
      </c>
      <c r="LC60">
        <f>IF(Sheet!LC60="Совсем нет / Not at all",1,IF(Sheet!LD60="Немного / A little",2,IF(Sheet!LE60="Довольно сильно / Quite a bit",3,IF(Sheet!LF60="Очень сильно / Extremely",4,""))))</f>
        <v>2</v>
      </c>
      <c r="LG60">
        <f>IF(Sheet!LG60="Совсем нет / Not at all",1,IF(Sheet!LH60="Немного / A little",2,IF(Sheet!LI60="Довольно сильно / Quite a bit",3,IF(Sheet!LJ60="Очень сильно / Extremely",4,""))))</f>
        <v>2</v>
      </c>
      <c r="LK60">
        <f>IF(Sheet!LK60="Совсем нет / Not at all",1,IF(Sheet!LL60="Немного / A little",2,IF(Sheet!LM60="Довольно сильно / Quite a bit",3,IF(Sheet!LN60="Очень сильно / Extremely",4,""))))</f>
        <v>1</v>
      </c>
      <c r="LO60">
        <f>IF(Sheet!LO60="Совсем нет / Not at all",1,IF(Sheet!LP60="Немного / A little",2,IF(Sheet!LQ60="Довольно сильно / Quite a bit",3,IF(Sheet!LR60="Очень сильно / Extremely",4,""))))</f>
        <v>1</v>
      </c>
      <c r="LS60">
        <f>IF(Sheet!LS60="Совсем нет / Not at all",1,IF(Sheet!LT60="Немного / A little",2,IF(Sheet!LU60="Довольно сильно / Quite a bit",3,IF(Sheet!LV60="Очень сильно / Extremely",4,""))))</f>
        <v>3</v>
      </c>
      <c r="LW60">
        <f>IF(Sheet!LW60="Совсем нет / Not at all",1,IF(Sheet!LX60="Немного / A little",2,IF(Sheet!LY60="Довольно сильно / Quite a bit",3,IF(Sheet!LZ60="Очень сильно / Extremely",4,""))))</f>
        <v>2</v>
      </c>
      <c r="MA60">
        <f>IF(Sheet!MA60="Совсем нет / Not at all",1,IF(Sheet!MB60="Немного / A little",2,IF(Sheet!MC60="Довольно сильно / Quite a bit",3,IF(Sheet!MD60="Очень сильно / Extremely",4,""))))</f>
        <v>1</v>
      </c>
      <c r="ME60">
        <f>IF(Sheet!ME60="Совсем нет / Not at all",1,IF(Sheet!MF60="Немного / A little",2,IF(Sheet!MG60="Довольно сильно / Quite a bit",3,IF(Sheet!MH60="Очень сильно / Extremely",4,""))))</f>
        <v>1</v>
      </c>
      <c r="MI60">
        <f>IF(Sheet!MI60="Совсем нет / Not at all",1,IF(Sheet!MJ60="Немного / A little",2,IF(Sheet!MK60="Довольно сильно / Quite a bit",3,IF(Sheet!ML60="Очень сильно / Extremely",4,""))))</f>
        <v>3</v>
      </c>
      <c r="MM60">
        <f>IF(Sheet!MM60="Совсем нет / Not at all",1,IF(Sheet!MN60="Немного / A little",2,IF(Sheet!MO60="Довольно сильно / Quite a bit",3,IF(Sheet!MP60="Очень сильно / Extremely",4,""))))</f>
        <v>1</v>
      </c>
      <c r="MQ60">
        <f>IF(Sheet!MQ60="Совсем нет / Not at all",1,IF(Sheet!MR60="Немного / A little",2,IF(Sheet!MS60="Довольно сильно / Quite a bit",3,IF(Sheet!MT60="Очень сильно / Extremely",4,""))))</f>
        <v>4</v>
      </c>
      <c r="MU60">
        <f>IF(Sheet!MU60="Совсем нет / Not at all",1,IF(Sheet!MV60="Немного / A little",2,IF(Sheet!MW60="Довольно сильно / Quite a bit",3,IF(Sheet!MX60="Очень сильно / Extremely",4,""))))</f>
        <v>2</v>
      </c>
      <c r="MY60">
        <f>IF(Sheet!MY60="Совсем нет / Not at all",1,IF(Sheet!MZ60="Немного / A little",2,IF(Sheet!NA60="Довольно сильно / Quite a bit",3,IF(Sheet!NB60="Очень сильно / Extremely",4,""))))</f>
        <v>2</v>
      </c>
      <c r="NC60">
        <f>IF(Sheet!NC60="Совсем нет / Not at all",1,IF(Sheet!ND60="Немного / A little",2,IF(Sheet!NE60="Довольно сильно / Quite a bit",3,IF(Sheet!NF60="Очень сильно / Extremely",4,""))))</f>
        <v>4</v>
      </c>
      <c r="NG60">
        <f>IF(Sheet!NG60="Совсем нет / Not at all",1,IF(Sheet!NH60="Немного / A little",2,IF(Sheet!NI60="Довольно сильно / Quite a bit",3,IF(Sheet!NJ60="Очень сильно / Extremely",4,""))))</f>
        <v>3</v>
      </c>
      <c r="NK60">
        <f>IF(Sheet!NK60="Совсем нет / Not at all",1,IF(Sheet!NL60="Немного / A little",2,IF(Sheet!NM60="Довольно сильно / Quite a bit",3,IF(Sheet!NN60="Очень сильно / Extremely",4,""))))</f>
        <v>3</v>
      </c>
      <c r="NO60">
        <f>IF(Sheet!NO60="Совсем нет / Not at all",1,IF(Sheet!NP60="Немного / A little",2,IF(Sheet!NQ60="Довольно сильно / Quite a bit",3,IF(Sheet!NR60="Очень сильно / Extremely",4,""))))</f>
        <v>2</v>
      </c>
      <c r="NS60">
        <f>IF(Sheet!NS60="Совсем нет / Not at all",1,IF(Sheet!NT60="Немного / A little",2,IF(Sheet!NU60="Довольно сильно / Quite a bit",3,IF(Sheet!NV60="Очень сильно / Extremely",4,""))))</f>
        <v>2</v>
      </c>
      <c r="NW60">
        <f>IF(Sheet!NW60="Совсем нет / Not at all",1,IF(Sheet!NX60="Немного / A little",2,IF(Sheet!NY60="Довольно сильно / Quite a bit",3,IF(Sheet!NZ60="Очень сильно / Extremely",4,""))))</f>
        <v>3</v>
      </c>
      <c r="OA60">
        <f>IF(Sheet!OA60="Совсем нет / Not at all",1,IF(Sheet!OB60="Немного / A little",2,IF(Sheet!OC60="Довольно сильно / Quite a bit",3,IF(Sheet!OD60="Очень сильно / Extremely",4,""))))</f>
        <v>2</v>
      </c>
      <c r="OE60">
        <f>IF(Sheet!OE60="Совсем нет / Not at all",1,IF(Sheet!OF60="Немного / A little",2,IF(Sheet!OG60="Довольно сильно / Quite a bit",3,IF(Sheet!OH60="Очень сильно / Extremely",4,""))))</f>
        <v>3</v>
      </c>
      <c r="OI60">
        <f>IF(Sheet!OI60="Совсем нет / Not at all",1,IF(Sheet!OJ60="Немного / A little",2,IF(Sheet!OK60="Довольно сильно / Quite a bit",3,IF(Sheet!OL60="Очень сильно / Extremely",4,""))))</f>
        <v>2</v>
      </c>
    </row>
    <row r="61" spans="1:399">
      <c r="A61" t="str">
        <f>Sheet!A61</f>
        <v>CI001</v>
      </c>
      <c r="KR61" s="27">
        <f>SUM(KU61,KY61,LC61,LG61,LK61,LO61,LS61,LW61,MA61,ME61)/10</f>
        <v>2.9</v>
      </c>
      <c r="KS61" s="27">
        <f>SUM(MI61,MM61,MQ61,MU61,MY61,NC61,NG61,NK61,NO61,NS61,NW61,OA61,OE61,OI61)/14</f>
        <v>2.8571428571428572</v>
      </c>
      <c r="KU61">
        <f>IF(Sheet!KU61="Совсем нет / Not at all",1,IF(Sheet!KV61="Немного / A little",2,IF(Sheet!KW61="Довольно сильно / Quite a bit",3,IF(Sheet!KX61="Очень сильно / Extremely",4,""))))</f>
        <v>4</v>
      </c>
      <c r="KY61">
        <f>IF(Sheet!KY61="Совсем нет / Not at all",1,IF(Sheet!KZ61="Немного / A little",2,IF(Sheet!LA61="Довольно сильно / Quite a bit",3,IF(Sheet!LB61="Очень сильно / Extremely",4,""))))</f>
        <v>2</v>
      </c>
      <c r="LC61">
        <f>IF(Sheet!LC61="Совсем нет / Not at all",1,IF(Sheet!LD61="Немного / A little",2,IF(Sheet!LE61="Довольно сильно / Quite a bit",3,IF(Sheet!LF61="Очень сильно / Extremely",4,""))))</f>
        <v>1</v>
      </c>
      <c r="LG61">
        <f>IF(Sheet!LG61="Совсем нет / Not at all",1,IF(Sheet!LH61="Немного / A little",2,IF(Sheet!LI61="Довольно сильно / Quite a bit",3,IF(Sheet!LJ61="Очень сильно / Extremely",4,""))))</f>
        <v>4</v>
      </c>
      <c r="LK61">
        <f>IF(Sheet!LK61="Совсем нет / Not at all",1,IF(Sheet!LL61="Немного / A little",2,IF(Sheet!LM61="Довольно сильно / Quite a bit",3,IF(Sheet!LN61="Очень сильно / Extremely",4,""))))</f>
        <v>3</v>
      </c>
      <c r="LO61">
        <f>IF(Sheet!LO61="Совсем нет / Not at all",1,IF(Sheet!LP61="Немного / A little",2,IF(Sheet!LQ61="Довольно сильно / Quite a bit",3,IF(Sheet!LR61="Очень сильно / Extremely",4,""))))</f>
        <v>2</v>
      </c>
      <c r="LS61">
        <f>IF(Sheet!LS61="Совсем нет / Not at all",1,IF(Sheet!LT61="Немного / A little",2,IF(Sheet!LU61="Довольно сильно / Quite a bit",3,IF(Sheet!LV61="Очень сильно / Extremely",4,""))))</f>
        <v>4</v>
      </c>
      <c r="LW61">
        <f>IF(Sheet!LW61="Совсем нет / Not at all",1,IF(Sheet!LX61="Немного / A little",2,IF(Sheet!LY61="Довольно сильно / Quite a bit",3,IF(Sheet!LZ61="Очень сильно / Extremely",4,""))))</f>
        <v>2</v>
      </c>
      <c r="MA61">
        <f>IF(Sheet!MA61="Совсем нет / Not at all",1,IF(Sheet!MB61="Немного / A little",2,IF(Sheet!MC61="Довольно сильно / Quite a bit",3,IF(Sheet!MD61="Очень сильно / Extremely",4,""))))</f>
        <v>4</v>
      </c>
      <c r="ME61">
        <f>IF(Sheet!ME61="Совсем нет / Not at all",1,IF(Sheet!MF61="Немного / A little",2,IF(Sheet!MG61="Довольно сильно / Quite a bit",3,IF(Sheet!MH61="Очень сильно / Extremely",4,""))))</f>
        <v>3</v>
      </c>
      <c r="MI61">
        <f>IF(Sheet!MI61="Совсем нет / Not at all",1,IF(Sheet!MJ61="Немного / A little",2,IF(Sheet!MK61="Довольно сильно / Quite a bit",3,IF(Sheet!ML61="Очень сильно / Extremely",4,""))))</f>
        <v>3</v>
      </c>
      <c r="MM61">
        <f>IF(Sheet!MM61="Совсем нет / Not at all",1,IF(Sheet!MN61="Немного / A little",2,IF(Sheet!MO61="Довольно сильно / Quite a bit",3,IF(Sheet!MP61="Очень сильно / Extremely",4,""))))</f>
        <v>4</v>
      </c>
      <c r="MQ61">
        <f>IF(Sheet!MQ61="Совсем нет / Not at all",1,IF(Sheet!MR61="Немного / A little",2,IF(Sheet!MS61="Довольно сильно / Quite a bit",3,IF(Sheet!MT61="Очень сильно / Extremely",4,""))))</f>
        <v>4</v>
      </c>
      <c r="MU61">
        <f>IF(Sheet!MU61="Совсем нет / Not at all",1,IF(Sheet!MV61="Немного / A little",2,IF(Sheet!MW61="Довольно сильно / Quite a bit",3,IF(Sheet!MX61="Очень сильно / Extremely",4,""))))</f>
        <v>3</v>
      </c>
      <c r="MY61">
        <f>IF(Sheet!MY61="Совсем нет / Not at all",1,IF(Sheet!MZ61="Немного / A little",2,IF(Sheet!NA61="Довольно сильно / Quite a bit",3,IF(Sheet!NB61="Очень сильно / Extremely",4,""))))</f>
        <v>1</v>
      </c>
      <c r="NC61">
        <f>IF(Sheet!NC61="Совсем нет / Not at all",1,IF(Sheet!ND61="Немного / A little",2,IF(Sheet!NE61="Довольно сильно / Quite a bit",3,IF(Sheet!NF61="Очень сильно / Extremely",4,""))))</f>
        <v>3</v>
      </c>
      <c r="NG61">
        <f>IF(Sheet!NG61="Совсем нет / Not at all",1,IF(Sheet!NH61="Немного / A little",2,IF(Sheet!NI61="Довольно сильно / Quite a bit",3,IF(Sheet!NJ61="Очень сильно / Extremely",4,""))))</f>
        <v>3</v>
      </c>
      <c r="NK61">
        <f>IF(Sheet!NK61="Совсем нет / Not at all",1,IF(Sheet!NL61="Немного / A little",2,IF(Sheet!NM61="Довольно сильно / Quite a bit",3,IF(Sheet!NN61="Очень сильно / Extremely",4,""))))</f>
        <v>3</v>
      </c>
      <c r="NO61">
        <f>IF(Sheet!NO61="Совсем нет / Not at all",1,IF(Sheet!NP61="Немного / A little",2,IF(Sheet!NQ61="Довольно сильно / Quite a bit",3,IF(Sheet!NR61="Очень сильно / Extremely",4,""))))</f>
        <v>2</v>
      </c>
      <c r="NS61">
        <f>IF(Sheet!NS61="Совсем нет / Not at all",1,IF(Sheet!NT61="Немного / A little",2,IF(Sheet!NU61="Довольно сильно / Quite a bit",3,IF(Sheet!NV61="Очень сильно / Extremely",4,""))))</f>
        <v>3</v>
      </c>
      <c r="NW61">
        <f>IF(Sheet!NW61="Совсем нет / Not at all",1,IF(Sheet!NX61="Немного / A little",2,IF(Sheet!NY61="Довольно сильно / Quite a bit",3,IF(Sheet!NZ61="Очень сильно / Extremely",4,""))))</f>
        <v>4</v>
      </c>
      <c r="OA61">
        <f>IF(Sheet!OA61="Совсем нет / Not at all",1,IF(Sheet!OB61="Немного / A little",2,IF(Sheet!OC61="Довольно сильно / Quite a bit",3,IF(Sheet!OD61="Очень сильно / Extremely",4,""))))</f>
        <v>3</v>
      </c>
      <c r="OE61">
        <f>IF(Sheet!OE61="Совсем нет / Not at all",1,IF(Sheet!OF61="Немного / A little",2,IF(Sheet!OG61="Довольно сильно / Quite a bit",3,IF(Sheet!OH61="Очень сильно / Extremely",4,""))))</f>
        <v>2</v>
      </c>
      <c r="OI61">
        <f>IF(Sheet!OI61="Совсем нет / Not at all",1,IF(Sheet!OJ61="Немного / A little",2,IF(Sheet!OK61="Довольно сильно / Quite a bit",3,IF(Sheet!OL61="Очень сильно / Extremely",4,""))))</f>
        <v>2</v>
      </c>
    </row>
    <row r="62" spans="1:399">
      <c r="A62" t="str">
        <f>Sheet!A62</f>
        <v>CD001</v>
      </c>
      <c r="KR62" s="27">
        <f>SUM(KU62,KY62,LC62,LG62,LK62,LO62,LS62,LW62,MA62,ME62)/10</f>
        <v>2</v>
      </c>
      <c r="KS62" s="27">
        <f>SUM(MI62,MM62,MQ62,MU62,MY62,NC62,NG62,NK62,NO62,NS62,NW62,OA62,OE62,OI62)/14</f>
        <v>2.0714285714285716</v>
      </c>
      <c r="KU62">
        <f>IF(Sheet!KU62="Совсем нет / Not at all",1,IF(Sheet!KV62="Немного / A little",2,IF(Sheet!KW62="Довольно сильно / Quite a bit",3,IF(Sheet!KX62="Очень сильно / Extremely",4,""))))</f>
        <v>1</v>
      </c>
      <c r="KY62">
        <f>IF(Sheet!KY62="Совсем нет / Not at all",1,IF(Sheet!KZ62="Немного / A little",2,IF(Sheet!LA62="Довольно сильно / Quite a bit",3,IF(Sheet!LB62="Очень сильно / Extremely",4,""))))</f>
        <v>1</v>
      </c>
      <c r="LC62">
        <f>IF(Sheet!LC62="Совсем нет / Not at all",1,IF(Sheet!LD62="Немного / A little",2,IF(Sheet!LE62="Довольно сильно / Quite a bit",3,IF(Sheet!LF62="Очень сильно / Extremely",4,""))))</f>
        <v>2</v>
      </c>
      <c r="LG62">
        <f>IF(Sheet!LG62="Совсем нет / Not at all",1,IF(Sheet!LH62="Немного / A little",2,IF(Sheet!LI62="Довольно сильно / Quite a bit",3,IF(Sheet!LJ62="Очень сильно / Extremely",4,""))))</f>
        <v>3</v>
      </c>
      <c r="LK62">
        <f>IF(Sheet!LK62="Совсем нет / Not at all",1,IF(Sheet!LL62="Немного / A little",2,IF(Sheet!LM62="Довольно сильно / Quite a bit",3,IF(Sheet!LN62="Очень сильно / Extremely",4,""))))</f>
        <v>2</v>
      </c>
      <c r="LO62">
        <f>IF(Sheet!LO62="Совсем нет / Not at all",1,IF(Sheet!LP62="Немного / A little",2,IF(Sheet!LQ62="Довольно сильно / Quite a bit",3,IF(Sheet!LR62="Очень сильно / Extremely",4,""))))</f>
        <v>3</v>
      </c>
      <c r="LS62">
        <f>IF(Sheet!LS62="Совсем нет / Not at all",1,IF(Sheet!LT62="Немного / A little",2,IF(Sheet!LU62="Довольно сильно / Quite a bit",3,IF(Sheet!LV62="Очень сильно / Extremely",4,""))))</f>
        <v>2</v>
      </c>
      <c r="LW62">
        <f>IF(Sheet!LW62="Совсем нет / Not at all",1,IF(Sheet!LX62="Немного / A little",2,IF(Sheet!LY62="Довольно сильно / Quite a bit",3,IF(Sheet!LZ62="Очень сильно / Extremely",4,""))))</f>
        <v>2</v>
      </c>
      <c r="MA62">
        <f>IF(Sheet!MA62="Совсем нет / Not at all",1,IF(Sheet!MB62="Немного / A little",2,IF(Sheet!MC62="Довольно сильно / Quite a bit",3,IF(Sheet!MD62="Очень сильно / Extremely",4,""))))</f>
        <v>2</v>
      </c>
      <c r="ME62">
        <f>IF(Sheet!ME62="Совсем нет / Not at all",1,IF(Sheet!MF62="Немного / A little",2,IF(Sheet!MG62="Довольно сильно / Quite a bit",3,IF(Sheet!MH62="Очень сильно / Extremely",4,""))))</f>
        <v>2</v>
      </c>
      <c r="MI62">
        <f>IF(Sheet!MI62="Совсем нет / Not at all",1,IF(Sheet!MJ62="Немного / A little",2,IF(Sheet!MK62="Довольно сильно / Quite a bit",3,IF(Sheet!ML62="Очень сильно / Extremely",4,""))))</f>
        <v>1</v>
      </c>
      <c r="MM62">
        <f>IF(Sheet!MM62="Совсем нет / Not at all",1,IF(Sheet!MN62="Немного / A little",2,IF(Sheet!MO62="Довольно сильно / Quite a bit",3,IF(Sheet!MP62="Очень сильно / Extremely",4,""))))</f>
        <v>2</v>
      </c>
      <c r="MQ62">
        <f>IF(Sheet!MQ62="Совсем нет / Not at all",1,IF(Sheet!MR62="Немного / A little",2,IF(Sheet!MS62="Довольно сильно / Quite a bit",3,IF(Sheet!MT62="Очень сильно / Extremely",4,""))))</f>
        <v>1</v>
      </c>
      <c r="MU62">
        <f>IF(Sheet!MU62="Совсем нет / Not at all",1,IF(Sheet!MV62="Немного / A little",2,IF(Sheet!MW62="Довольно сильно / Quite a bit",3,IF(Sheet!MX62="Очень сильно / Extremely",4,""))))</f>
        <v>1</v>
      </c>
      <c r="MY62">
        <f>IF(Sheet!MY62="Совсем нет / Not at all",1,IF(Sheet!MZ62="Немного / A little",2,IF(Sheet!NA62="Довольно сильно / Quite a bit",3,IF(Sheet!NB62="Очень сильно / Extremely",4,""))))</f>
        <v>1</v>
      </c>
      <c r="NC62">
        <f>IF(Sheet!NC62="Совсем нет / Not at all",1,IF(Sheet!ND62="Немного / A little",2,IF(Sheet!NE62="Довольно сильно / Quite a bit",3,IF(Sheet!NF62="Очень сильно / Extremely",4,""))))</f>
        <v>1</v>
      </c>
      <c r="NG62">
        <f>IF(Sheet!NG62="Совсем нет / Not at all",1,IF(Sheet!NH62="Немного / A little",2,IF(Sheet!NI62="Довольно сильно / Quite a bit",3,IF(Sheet!NJ62="Очень сильно / Extremely",4,""))))</f>
        <v>2</v>
      </c>
      <c r="NK62">
        <f>IF(Sheet!NK62="Совсем нет / Not at all",1,IF(Sheet!NL62="Немного / A little",2,IF(Sheet!NM62="Довольно сильно / Quite a bit",3,IF(Sheet!NN62="Очень сильно / Extremely",4,""))))</f>
        <v>2</v>
      </c>
      <c r="NO62">
        <f>IF(Sheet!NO62="Совсем нет / Not at all",1,IF(Sheet!NP62="Немного / A little",2,IF(Sheet!NQ62="Довольно сильно / Quite a bit",3,IF(Sheet!NR62="Очень сильно / Extremely",4,""))))</f>
        <v>4</v>
      </c>
      <c r="NS62">
        <f>IF(Sheet!NS62="Совсем нет / Not at all",1,IF(Sheet!NT62="Немного / A little",2,IF(Sheet!NU62="Довольно сильно / Quite a bit",3,IF(Sheet!NV62="Очень сильно / Extremely",4,""))))</f>
        <v>3</v>
      </c>
      <c r="NW62">
        <f>IF(Sheet!NW62="Совсем нет / Not at all",1,IF(Sheet!NX62="Немного / A little",2,IF(Sheet!NY62="Довольно сильно / Quite a bit",3,IF(Sheet!NZ62="Очень сильно / Extremely",4,""))))</f>
        <v>4</v>
      </c>
      <c r="OA62">
        <f>IF(Sheet!OA62="Совсем нет / Not at all",1,IF(Sheet!OB62="Немного / A little",2,IF(Sheet!OC62="Довольно сильно / Quite a bit",3,IF(Sheet!OD62="Очень сильно / Extremely",4,""))))</f>
        <v>2</v>
      </c>
      <c r="OE62">
        <f>IF(Sheet!OE62="Совсем нет / Not at all",1,IF(Sheet!OF62="Немного / A little",2,IF(Sheet!OG62="Довольно сильно / Quite a bit",3,IF(Sheet!OH62="Очень сильно / Extremely",4,""))))</f>
        <v>3</v>
      </c>
      <c r="OI62">
        <f>IF(Sheet!OI62="Совсем нет / Not at all",1,IF(Sheet!OJ62="Немного / A little",2,IF(Sheet!OK62="Довольно сильно / Quite a bit",3,IF(Sheet!OL62="Очень сильно / Extremely",4,""))))</f>
        <v>2</v>
      </c>
    </row>
    <row r="63" spans="1:399">
      <c r="A63" t="str">
        <f>Sheet!A63</f>
        <v>KP001</v>
      </c>
      <c r="KR63" s="27">
        <f>SUM(KU63,KY63,LC63,LG63,LK63,LO63,LS63,LW63,MA63,ME63)/10</f>
        <v>1.5</v>
      </c>
      <c r="KS63" s="27">
        <f>SUM(MI63,MM63,MQ63,MU63,MY63,NC63,NG63,NK63,NO63,NS63,NW63,OA63,OE63,OI63)/14</f>
        <v>1.5714285714285714</v>
      </c>
      <c r="KU63">
        <f>IF(Sheet!KU63="Совсем нет / Not at all",1,IF(Sheet!KV63="Немного / A little",2,IF(Sheet!KW63="Довольно сильно / Quite a bit",3,IF(Sheet!KX63="Очень сильно / Extremely",4,""))))</f>
        <v>1</v>
      </c>
      <c r="KY63">
        <f>IF(Sheet!KY63="Совсем нет / Not at all",1,IF(Sheet!KZ63="Немного / A little",2,IF(Sheet!LA63="Довольно сильно / Quite a bit",3,IF(Sheet!LB63="Очень сильно / Extremely",4,""))))</f>
        <v>1</v>
      </c>
      <c r="LC63">
        <f>IF(Sheet!LC63="Совсем нет / Not at all",1,IF(Sheet!LD63="Немного / A little",2,IF(Sheet!LE63="Довольно сильно / Quite a bit",3,IF(Sheet!LF63="Очень сильно / Extremely",4,""))))</f>
        <v>1</v>
      </c>
      <c r="LG63">
        <f>IF(Sheet!LG63="Совсем нет / Not at all",1,IF(Sheet!LH63="Немного / A little",2,IF(Sheet!LI63="Довольно сильно / Quite a bit",3,IF(Sheet!LJ63="Очень сильно / Extremely",4,""))))</f>
        <v>2</v>
      </c>
      <c r="LK63">
        <f>IF(Sheet!LK63="Совсем нет / Not at all",1,IF(Sheet!LL63="Немного / A little",2,IF(Sheet!LM63="Довольно сильно / Quite a bit",3,IF(Sheet!LN63="Очень сильно / Extremely",4,""))))</f>
        <v>1</v>
      </c>
      <c r="LO63">
        <f>IF(Sheet!LO63="Совсем нет / Not at all",1,IF(Sheet!LP63="Немного / A little",2,IF(Sheet!LQ63="Довольно сильно / Quite a bit",3,IF(Sheet!LR63="Очень сильно / Extremely",4,""))))</f>
        <v>1</v>
      </c>
      <c r="LS63">
        <f>IF(Sheet!LS63="Совсем нет / Not at all",1,IF(Sheet!LT63="Немного / A little",2,IF(Sheet!LU63="Довольно сильно / Quite a bit",3,IF(Sheet!LV63="Очень сильно / Extremely",4,""))))</f>
        <v>3</v>
      </c>
      <c r="LW63">
        <f>IF(Sheet!LW63="Совсем нет / Not at all",1,IF(Sheet!LX63="Немного / A little",2,IF(Sheet!LY63="Довольно сильно / Quite a bit",3,IF(Sheet!LZ63="Очень сильно / Extremely",4,""))))</f>
        <v>3</v>
      </c>
      <c r="MA63">
        <f>IF(Sheet!MA63="Совсем нет / Not at all",1,IF(Sheet!MB63="Немного / A little",2,IF(Sheet!MC63="Довольно сильно / Quite a bit",3,IF(Sheet!MD63="Очень сильно / Extremely",4,""))))</f>
        <v>1</v>
      </c>
      <c r="ME63">
        <f>IF(Sheet!ME63="Совсем нет / Not at all",1,IF(Sheet!MF63="Немного / A little",2,IF(Sheet!MG63="Довольно сильно / Quite a bit",3,IF(Sheet!MH63="Очень сильно / Extremely",4,""))))</f>
        <v>1</v>
      </c>
      <c r="MI63">
        <f>IF(Sheet!MI63="Совсем нет / Not at all",1,IF(Sheet!MJ63="Немного / A little",2,IF(Sheet!MK63="Довольно сильно / Quite a bit",3,IF(Sheet!ML63="Очень сильно / Extremely",4,""))))</f>
        <v>1</v>
      </c>
      <c r="MM63">
        <f>IF(Sheet!MM63="Совсем нет / Not at all",1,IF(Sheet!MN63="Немного / A little",2,IF(Sheet!MO63="Довольно сильно / Quite a bit",3,IF(Sheet!MP63="Очень сильно / Extremely",4,""))))</f>
        <v>1</v>
      </c>
      <c r="MQ63">
        <f>IF(Sheet!MQ63="Совсем нет / Not at all",1,IF(Sheet!MR63="Немного / A little",2,IF(Sheet!MS63="Довольно сильно / Quite a bit",3,IF(Sheet!MT63="Очень сильно / Extremely",4,""))))</f>
        <v>1</v>
      </c>
      <c r="MU63">
        <f>IF(Sheet!MU63="Совсем нет / Not at all",1,IF(Sheet!MV63="Немного / A little",2,IF(Sheet!MW63="Довольно сильно / Quite a bit",3,IF(Sheet!MX63="Очень сильно / Extremely",4,""))))</f>
        <v>2</v>
      </c>
      <c r="MY63">
        <f>IF(Sheet!MY63="Совсем нет / Not at all",1,IF(Sheet!MZ63="Немного / A little",2,IF(Sheet!NA63="Довольно сильно / Quite a bit",3,IF(Sheet!NB63="Очень сильно / Extremely",4,""))))</f>
        <v>1</v>
      </c>
      <c r="NC63">
        <f>IF(Sheet!NC63="Совсем нет / Not at all",1,IF(Sheet!ND63="Немного / A little",2,IF(Sheet!NE63="Довольно сильно / Quite a bit",3,IF(Sheet!NF63="Очень сильно / Extremely",4,""))))</f>
        <v>3</v>
      </c>
      <c r="NG63">
        <f>IF(Sheet!NG63="Совсем нет / Not at all",1,IF(Sheet!NH63="Немного / A little",2,IF(Sheet!NI63="Довольно сильно / Quite a bit",3,IF(Sheet!NJ63="Очень сильно / Extremely",4,""))))</f>
        <v>2</v>
      </c>
      <c r="NK63">
        <f>IF(Sheet!NK63="Совсем нет / Not at all",1,IF(Sheet!NL63="Немного / A little",2,IF(Sheet!NM63="Довольно сильно / Quite a bit",3,IF(Sheet!NN63="Очень сильно / Extremely",4,""))))</f>
        <v>2</v>
      </c>
      <c r="NO63">
        <f>IF(Sheet!NO63="Совсем нет / Not at all",1,IF(Sheet!NP63="Немного / A little",2,IF(Sheet!NQ63="Довольно сильно / Quite a bit",3,IF(Sheet!NR63="Очень сильно / Extremely",4,""))))</f>
        <v>1</v>
      </c>
      <c r="NS63">
        <f>IF(Sheet!NS63="Совсем нет / Not at all",1,IF(Sheet!NT63="Немного / A little",2,IF(Sheet!NU63="Довольно сильно / Quite a bit",3,IF(Sheet!NV63="Очень сильно / Extremely",4,""))))</f>
        <v>2</v>
      </c>
      <c r="NW63">
        <f>IF(Sheet!NW63="Совсем нет / Not at all",1,IF(Sheet!NX63="Немного / A little",2,IF(Sheet!NY63="Довольно сильно / Quite a bit",3,IF(Sheet!NZ63="Очень сильно / Extremely",4,""))))</f>
        <v>2</v>
      </c>
      <c r="OA63">
        <f>IF(Sheet!OA63="Совсем нет / Not at all",1,IF(Sheet!OB63="Немного / A little",2,IF(Sheet!OC63="Довольно сильно / Quite a bit",3,IF(Sheet!OD63="Очень сильно / Extremely",4,""))))</f>
        <v>1</v>
      </c>
      <c r="OE63">
        <f>IF(Sheet!OE63="Совсем нет / Not at all",1,IF(Sheet!OF63="Немного / A little",2,IF(Sheet!OG63="Довольно сильно / Quite a bit",3,IF(Sheet!OH63="Очень сильно / Extremely",4,""))))</f>
        <v>2</v>
      </c>
      <c r="OI63">
        <f>IF(Sheet!OI63="Совсем нет / Not at all",1,IF(Sheet!OJ63="Немного / A little",2,IF(Sheet!OK63="Довольно сильно / Quite a bit",3,IF(Sheet!OL63="Очень сильно / Extremely",4,""))))</f>
        <v>1</v>
      </c>
    </row>
    <row r="64" spans="1:399">
      <c r="A64" t="str">
        <f>Sheet!A64</f>
        <v>XQ001</v>
      </c>
      <c r="KR64" s="27">
        <f>SUM(KU64,KY64,LC64,LG64,LK64,LO64,LS64,LW64,MA64,ME64)/10</f>
        <v>1.1000000000000001</v>
      </c>
      <c r="KS64" s="27">
        <f>SUM(MI64,MM64,MQ64,MU64,MY64,NC64,NG64,NK64,NO64,NS64,NW64,OA64,OE64,OI64)/14</f>
        <v>1.5714285714285714</v>
      </c>
      <c r="KU64">
        <f>IF(Sheet!KU64="Совсем нет / Not at all",1,IF(Sheet!KV64="Немного / A little",2,IF(Sheet!KW64="Довольно сильно / Quite a bit",3,IF(Sheet!KX64="Очень сильно / Extremely",4,""))))</f>
        <v>1</v>
      </c>
      <c r="KY64">
        <f>IF(Sheet!KY64="Совсем нет / Not at all",1,IF(Sheet!KZ64="Немного / A little",2,IF(Sheet!LA64="Довольно сильно / Quite a bit",3,IF(Sheet!LB64="Очень сильно / Extremely",4,""))))</f>
        <v>1</v>
      </c>
      <c r="LC64">
        <f>IF(Sheet!LC64="Совсем нет / Not at all",1,IF(Sheet!LD64="Немного / A little",2,IF(Sheet!LE64="Довольно сильно / Quite a bit",3,IF(Sheet!LF64="Очень сильно / Extremely",4,""))))</f>
        <v>1</v>
      </c>
      <c r="LG64">
        <f>IF(Sheet!LG64="Совсем нет / Not at all",1,IF(Sheet!LH64="Немного / A little",2,IF(Sheet!LI64="Довольно сильно / Quite a bit",3,IF(Sheet!LJ64="Очень сильно / Extremely",4,""))))</f>
        <v>1</v>
      </c>
      <c r="LK64">
        <f>IF(Sheet!LK64="Совсем нет / Not at all",1,IF(Sheet!LL64="Немного / A little",2,IF(Sheet!LM64="Довольно сильно / Quite a bit",3,IF(Sheet!LN64="Очень сильно / Extremely",4,""))))</f>
        <v>1</v>
      </c>
      <c r="LO64">
        <f>IF(Sheet!LO64="Совсем нет / Not at all",1,IF(Sheet!LP64="Немного / A little",2,IF(Sheet!LQ64="Довольно сильно / Quite a bit",3,IF(Sheet!LR64="Очень сильно / Extremely",4,""))))</f>
        <v>1</v>
      </c>
      <c r="LS64">
        <f>IF(Sheet!LS64="Совсем нет / Not at all",1,IF(Sheet!LT64="Немного / A little",2,IF(Sheet!LU64="Довольно сильно / Quite a bit",3,IF(Sheet!LV64="Очень сильно / Extremely",4,""))))</f>
        <v>1</v>
      </c>
      <c r="LW64">
        <f>IF(Sheet!LW64="Совсем нет / Not at all",1,IF(Sheet!LX64="Немного / A little",2,IF(Sheet!LY64="Довольно сильно / Quite a bit",3,IF(Sheet!LZ64="Очень сильно / Extremely",4,""))))</f>
        <v>1</v>
      </c>
      <c r="MA64">
        <f>IF(Sheet!MA64="Совсем нет / Not at all",1,IF(Sheet!MB64="Немного / A little",2,IF(Sheet!MC64="Довольно сильно / Quite a bit",3,IF(Sheet!MD64="Очень сильно / Extremely",4,""))))</f>
        <v>1</v>
      </c>
      <c r="ME64">
        <f>IF(Sheet!ME64="Совсем нет / Not at all",1,IF(Sheet!MF64="Немного / A little",2,IF(Sheet!MG64="Довольно сильно / Quite a bit",3,IF(Sheet!MH64="Очень сильно / Extremely",4,""))))</f>
        <v>2</v>
      </c>
      <c r="MI64">
        <f>IF(Sheet!MI64="Совсем нет / Not at all",1,IF(Sheet!MJ64="Немного / A little",2,IF(Sheet!MK64="Довольно сильно / Quite a bit",3,IF(Sheet!ML64="Очень сильно / Extremely",4,""))))</f>
        <v>3</v>
      </c>
      <c r="MM64">
        <f>IF(Sheet!MM64="Совсем нет / Not at all",1,IF(Sheet!MN64="Немного / A little",2,IF(Sheet!MO64="Довольно сильно / Quite a bit",3,IF(Sheet!MP64="Очень сильно / Extremely",4,""))))</f>
        <v>1</v>
      </c>
      <c r="MQ64">
        <f>IF(Sheet!MQ64="Совсем нет / Not at all",1,IF(Sheet!MR64="Немного / A little",2,IF(Sheet!MS64="Довольно сильно / Quite a bit",3,IF(Sheet!MT64="Очень сильно / Extremely",4,""))))</f>
        <v>1</v>
      </c>
      <c r="MU64">
        <f>IF(Sheet!MU64="Совсем нет / Not at all",1,IF(Sheet!MV64="Немного / A little",2,IF(Sheet!MW64="Довольно сильно / Quite a bit",3,IF(Sheet!MX64="Очень сильно / Extremely",4,""))))</f>
        <v>1</v>
      </c>
      <c r="MY64">
        <f>IF(Sheet!MY64="Совсем нет / Not at all",1,IF(Sheet!MZ64="Немного / A little",2,IF(Sheet!NA64="Довольно сильно / Quite a bit",3,IF(Sheet!NB64="Очень сильно / Extremely",4,""))))</f>
        <v>1</v>
      </c>
      <c r="NC64">
        <f>IF(Sheet!NC64="Совсем нет / Not at all",1,IF(Sheet!ND64="Немного / A little",2,IF(Sheet!NE64="Довольно сильно / Quite a bit",3,IF(Sheet!NF64="Очень сильно / Extremely",4,""))))</f>
        <v>1</v>
      </c>
      <c r="NG64">
        <f>IF(Sheet!NG64="Совсем нет / Not at all",1,IF(Sheet!NH64="Немного / A little",2,IF(Sheet!NI64="Довольно сильно / Quite a bit",3,IF(Sheet!NJ64="Очень сильно / Extremely",4,""))))</f>
        <v>2</v>
      </c>
      <c r="NK64">
        <f>IF(Sheet!NK64="Совсем нет / Not at all",1,IF(Sheet!NL64="Немного / A little",2,IF(Sheet!NM64="Довольно сильно / Quite a bit",3,IF(Sheet!NN64="Очень сильно / Extremely",4,""))))</f>
        <v>2</v>
      </c>
      <c r="NO64">
        <f>IF(Sheet!NO64="Совсем нет / Not at all",1,IF(Sheet!NP64="Немного / A little",2,IF(Sheet!NQ64="Довольно сильно / Quite a bit",3,IF(Sheet!NR64="Очень сильно / Extremely",4,""))))</f>
        <v>2</v>
      </c>
      <c r="NS64">
        <f>IF(Sheet!NS64="Совсем нет / Not at all",1,IF(Sheet!NT64="Немного / A little",2,IF(Sheet!NU64="Довольно сильно / Quite a bit",3,IF(Sheet!NV64="Очень сильно / Extremely",4,""))))</f>
        <v>1</v>
      </c>
      <c r="NW64">
        <f>IF(Sheet!NW64="Совсем нет / Not at all",1,IF(Sheet!NX64="Немного / A little",2,IF(Sheet!NY64="Довольно сильно / Quite a bit",3,IF(Sheet!NZ64="Очень сильно / Extremely",4,""))))</f>
        <v>1</v>
      </c>
      <c r="OA64">
        <f>IF(Sheet!OA64="Совсем нет / Not at all",1,IF(Sheet!OB64="Немного / A little",2,IF(Sheet!OC64="Довольно сильно / Quite a bit",3,IF(Sheet!OD64="Очень сильно / Extremely",4,""))))</f>
        <v>2</v>
      </c>
      <c r="OE64">
        <f>IF(Sheet!OE64="Совсем нет / Not at all",1,IF(Sheet!OF64="Немного / A little",2,IF(Sheet!OG64="Довольно сильно / Quite a bit",3,IF(Sheet!OH64="Очень сильно / Extremely",4,""))))</f>
        <v>2</v>
      </c>
      <c r="OI64">
        <f>IF(Sheet!OI64="Совсем нет / Not at all",1,IF(Sheet!OJ64="Немного / A little",2,IF(Sheet!OK64="Довольно сильно / Quite a bit",3,IF(Sheet!OL64="Очень сильно / Extremely",4,""))))</f>
        <v>2</v>
      </c>
    </row>
    <row r="65" spans="1:399">
      <c r="A65" t="str">
        <f>Sheet!A65</f>
        <v>EG001</v>
      </c>
      <c r="KR65" s="27">
        <f>SUM(KU65,KY65,LC65,LG65,LK65,LO65,LS65,LW65,MA65,ME65)/10</f>
        <v>2.2000000000000002</v>
      </c>
      <c r="KS65" s="27">
        <f>SUM(MI65,MM65,MQ65,MU65,MY65,NC65,NG65,NK65,NO65,NS65,NW65,OA65,OE65,OI65)/14</f>
        <v>2.1428571428571428</v>
      </c>
      <c r="KU65">
        <f>IF(Sheet!KU65="Совсем нет / Not at all",1,IF(Sheet!KV65="Немного / A little",2,IF(Sheet!KW65="Довольно сильно / Quite a bit",3,IF(Sheet!KX65="Очень сильно / Extremely",4,""))))</f>
        <v>3</v>
      </c>
      <c r="KY65">
        <f>IF(Sheet!KY65="Совсем нет / Not at all",1,IF(Sheet!KZ65="Немного / A little",2,IF(Sheet!LA65="Довольно сильно / Quite a bit",3,IF(Sheet!LB65="Очень сильно / Extremely",4,""))))</f>
        <v>3</v>
      </c>
      <c r="LC65">
        <f>IF(Sheet!LC65="Совсем нет / Not at all",1,IF(Sheet!LD65="Немного / A little",2,IF(Sheet!LE65="Довольно сильно / Quite a bit",3,IF(Sheet!LF65="Очень сильно / Extremely",4,""))))</f>
        <v>1</v>
      </c>
      <c r="LG65">
        <f>IF(Sheet!LG65="Совсем нет / Not at all",1,IF(Sheet!LH65="Немного / A little",2,IF(Sheet!LI65="Довольно сильно / Quite a bit",3,IF(Sheet!LJ65="Очень сильно / Extremely",4,""))))</f>
        <v>2</v>
      </c>
      <c r="LK65">
        <f>IF(Sheet!LK65="Совсем нет / Not at all",1,IF(Sheet!LL65="Немного / A little",2,IF(Sheet!LM65="Довольно сильно / Quite a bit",3,IF(Sheet!LN65="Очень сильно / Extremely",4,""))))</f>
        <v>2</v>
      </c>
      <c r="LO65">
        <f>IF(Sheet!LO65="Совсем нет / Not at all",1,IF(Sheet!LP65="Немного / A little",2,IF(Sheet!LQ65="Довольно сильно / Quite a bit",3,IF(Sheet!LR65="Очень сильно / Extremely",4,""))))</f>
        <v>2</v>
      </c>
      <c r="LS65">
        <f>IF(Sheet!LS65="Совсем нет / Not at all",1,IF(Sheet!LT65="Немного / A little",2,IF(Sheet!LU65="Довольно сильно / Quite a bit",3,IF(Sheet!LV65="Очень сильно / Extremely",4,""))))</f>
        <v>3</v>
      </c>
      <c r="LW65">
        <f>IF(Sheet!LW65="Совсем нет / Not at all",1,IF(Sheet!LX65="Немного / A little",2,IF(Sheet!LY65="Довольно сильно / Quite a bit",3,IF(Sheet!LZ65="Очень сильно / Extremely",4,""))))</f>
        <v>2</v>
      </c>
      <c r="MA65">
        <f>IF(Sheet!MA65="Совсем нет / Not at all",1,IF(Sheet!MB65="Немного / A little",2,IF(Sheet!MC65="Довольно сильно / Quite a bit",3,IF(Sheet!MD65="Очень сильно / Extremely",4,""))))</f>
        <v>2</v>
      </c>
      <c r="ME65">
        <f>IF(Sheet!ME65="Совсем нет / Not at all",1,IF(Sheet!MF65="Немного / A little",2,IF(Sheet!MG65="Довольно сильно / Quite a bit",3,IF(Sheet!MH65="Очень сильно / Extremely",4,""))))</f>
        <v>2</v>
      </c>
      <c r="MI65">
        <f>IF(Sheet!MI65="Совсем нет / Not at all",1,IF(Sheet!MJ65="Немного / A little",2,IF(Sheet!MK65="Довольно сильно / Quite a bit",3,IF(Sheet!ML65="Очень сильно / Extremely",4,""))))</f>
        <v>1</v>
      </c>
      <c r="MM65">
        <f>IF(Sheet!MM65="Совсем нет / Not at all",1,IF(Sheet!MN65="Немного / A little",2,IF(Sheet!MO65="Довольно сильно / Quite a bit",3,IF(Sheet!MP65="Очень сильно / Extremely",4,""))))</f>
        <v>3</v>
      </c>
      <c r="MQ65">
        <f>IF(Sheet!MQ65="Совсем нет / Not at all",1,IF(Sheet!MR65="Немного / A little",2,IF(Sheet!MS65="Довольно сильно / Quite a bit",3,IF(Sheet!MT65="Очень сильно / Extremely",4,""))))</f>
        <v>3</v>
      </c>
      <c r="MU65">
        <f>IF(Sheet!MU65="Совсем нет / Not at all",1,IF(Sheet!MV65="Немного / A little",2,IF(Sheet!MW65="Довольно сильно / Quite a bit",3,IF(Sheet!MX65="Очень сильно / Extremely",4,""))))</f>
        <v>4</v>
      </c>
      <c r="MY65">
        <f>IF(Sheet!MY65="Совсем нет / Not at all",1,IF(Sheet!MZ65="Немного / A little",2,IF(Sheet!NA65="Довольно сильно / Quite a bit",3,IF(Sheet!NB65="Очень сильно / Extremely",4,""))))</f>
        <v>2</v>
      </c>
      <c r="NC65">
        <f>IF(Sheet!NC65="Совсем нет / Not at all",1,IF(Sheet!ND65="Немного / A little",2,IF(Sheet!NE65="Довольно сильно / Quite a bit",3,IF(Sheet!NF65="Очень сильно / Extremely",4,""))))</f>
        <v>4</v>
      </c>
      <c r="NG65">
        <f>IF(Sheet!NG65="Совсем нет / Not at all",1,IF(Sheet!NH65="Немного / A little",2,IF(Sheet!NI65="Довольно сильно / Quite a bit",3,IF(Sheet!NJ65="Очень сильно / Extremely",4,""))))</f>
        <v>2</v>
      </c>
      <c r="NK65">
        <f>IF(Sheet!NK65="Совсем нет / Not at all",1,IF(Sheet!NL65="Немного / A little",2,IF(Sheet!NM65="Довольно сильно / Quite a bit",3,IF(Sheet!NN65="Очень сильно / Extremely",4,""))))</f>
        <v>2</v>
      </c>
      <c r="NO65">
        <f>IF(Sheet!NO65="Совсем нет / Not at all",1,IF(Sheet!NP65="Немного / A little",2,IF(Sheet!NQ65="Довольно сильно / Quite a bit",3,IF(Sheet!NR65="Очень сильно / Extremely",4,""))))</f>
        <v>1</v>
      </c>
      <c r="NS65">
        <f>IF(Sheet!NS65="Совсем нет / Not at all",1,IF(Sheet!NT65="Немного / A little",2,IF(Sheet!NU65="Довольно сильно / Quite a bit",3,IF(Sheet!NV65="Очень сильно / Extremely",4,""))))</f>
        <v>2</v>
      </c>
      <c r="NW65">
        <f>IF(Sheet!NW65="Совсем нет / Not at all",1,IF(Sheet!NX65="Немного / A little",2,IF(Sheet!NY65="Довольно сильно / Quite a bit",3,IF(Sheet!NZ65="Очень сильно / Extremely",4,""))))</f>
        <v>2</v>
      </c>
      <c r="OA65">
        <f>IF(Sheet!OA65="Совсем нет / Not at all",1,IF(Sheet!OB65="Немного / A little",2,IF(Sheet!OC65="Довольно сильно / Quite a bit",3,IF(Sheet!OD65="Очень сильно / Extremely",4,""))))</f>
        <v>1</v>
      </c>
      <c r="OE65">
        <f>IF(Sheet!OE65="Совсем нет / Not at all",1,IF(Sheet!OF65="Немного / A little",2,IF(Sheet!OG65="Довольно сильно / Quite a bit",3,IF(Sheet!OH65="Очень сильно / Extremely",4,""))))</f>
        <v>2</v>
      </c>
      <c r="OI65">
        <f>IF(Sheet!OI65="Совсем нет / Not at all",1,IF(Sheet!OJ65="Немного / A little",2,IF(Sheet!OK65="Довольно сильно / Quite a bit",3,IF(Sheet!OL65="Очень сильно / Extremely",4,""))))</f>
        <v>1</v>
      </c>
    </row>
    <row r="66" spans="1:399">
      <c r="A66" t="str">
        <f>Sheet!A66</f>
        <v xml:space="preserve">ID001 </v>
      </c>
      <c r="KR66" s="27">
        <f>SUM(KU66,KY66,LC66,LG66,LK66,LO66,LS66,LW66,MA66,ME66)/10</f>
        <v>1.4</v>
      </c>
      <c r="KS66" s="27">
        <f>SUM(MI66,MM66,MQ66,MU66,MY66,NC66,NG66,NK66,NO66,NS66,NW66,OA66,OE66,OI66)/14</f>
        <v>1.4285714285714286</v>
      </c>
      <c r="KU66">
        <f>IF(Sheet!KU66="Совсем нет / Not at all",1,IF(Sheet!KV66="Немного / A little",2,IF(Sheet!KW66="Довольно сильно / Quite a bit",3,IF(Sheet!KX66="Очень сильно / Extremely",4,""))))</f>
        <v>1</v>
      </c>
      <c r="KY66">
        <f>IF(Sheet!KY66="Совсем нет / Not at all",1,IF(Sheet!KZ66="Немного / A little",2,IF(Sheet!LA66="Довольно сильно / Quite a bit",3,IF(Sheet!LB66="Очень сильно / Extremely",4,""))))</f>
        <v>1</v>
      </c>
      <c r="LC66">
        <f>IF(Sheet!LC66="Совсем нет / Not at all",1,IF(Sheet!LD66="Немного / A little",2,IF(Sheet!LE66="Довольно сильно / Quite a bit",3,IF(Sheet!LF66="Очень сильно / Extremely",4,""))))</f>
        <v>2</v>
      </c>
      <c r="LG66">
        <f>IF(Sheet!LG66="Совсем нет / Not at all",1,IF(Sheet!LH66="Немного / A little",2,IF(Sheet!LI66="Довольно сильно / Quite a bit",3,IF(Sheet!LJ66="Очень сильно / Extremely",4,""))))</f>
        <v>1</v>
      </c>
      <c r="LK66">
        <f>IF(Sheet!LK66="Совсем нет / Not at all",1,IF(Sheet!LL66="Немного / A little",2,IF(Sheet!LM66="Довольно сильно / Quite a bit",3,IF(Sheet!LN66="Очень сильно / Extremely",4,""))))</f>
        <v>2</v>
      </c>
      <c r="LO66">
        <f>IF(Sheet!LO66="Совсем нет / Not at all",1,IF(Sheet!LP66="Немного / A little",2,IF(Sheet!LQ66="Довольно сильно / Quite a bit",3,IF(Sheet!LR66="Очень сильно / Extremely",4,""))))</f>
        <v>1</v>
      </c>
      <c r="LS66">
        <f>IF(Sheet!LS66="Совсем нет / Not at all",1,IF(Sheet!LT66="Немного / A little",2,IF(Sheet!LU66="Довольно сильно / Quite a bit",3,IF(Sheet!LV66="Очень сильно / Extremely",4,""))))</f>
        <v>1</v>
      </c>
      <c r="LW66">
        <f>IF(Sheet!LW66="Совсем нет / Not at all",1,IF(Sheet!LX66="Немного / A little",2,IF(Sheet!LY66="Довольно сильно / Quite a bit",3,IF(Sheet!LZ66="Очень сильно / Extremely",4,""))))</f>
        <v>3</v>
      </c>
      <c r="MA66">
        <f>IF(Sheet!MA66="Совсем нет / Not at all",1,IF(Sheet!MB66="Немного / A little",2,IF(Sheet!MC66="Довольно сильно / Quite a bit",3,IF(Sheet!MD66="Очень сильно / Extremely",4,""))))</f>
        <v>1</v>
      </c>
      <c r="ME66">
        <f>IF(Sheet!ME66="Совсем нет / Not at all",1,IF(Sheet!MF66="Немного / A little",2,IF(Sheet!MG66="Довольно сильно / Quite a bit",3,IF(Sheet!MH66="Очень сильно / Extremely",4,""))))</f>
        <v>1</v>
      </c>
      <c r="MI66">
        <f>IF(Sheet!MI66="Совсем нет / Not at all",1,IF(Sheet!MJ66="Немного / A little",2,IF(Sheet!MK66="Довольно сильно / Quite a bit",3,IF(Sheet!ML66="Очень сильно / Extremely",4,""))))</f>
        <v>1</v>
      </c>
      <c r="MM66">
        <f>IF(Sheet!MM66="Совсем нет / Not at all",1,IF(Sheet!MN66="Немного / A little",2,IF(Sheet!MO66="Довольно сильно / Quite a bit",3,IF(Sheet!MP66="Очень сильно / Extremely",4,""))))</f>
        <v>1</v>
      </c>
      <c r="MQ66">
        <f>IF(Sheet!MQ66="Совсем нет / Not at all",1,IF(Sheet!MR66="Немного / A little",2,IF(Sheet!MS66="Довольно сильно / Quite a bit",3,IF(Sheet!MT66="Очень сильно / Extremely",4,""))))</f>
        <v>1</v>
      </c>
      <c r="MU66">
        <f>IF(Sheet!MU66="Совсем нет / Not at all",1,IF(Sheet!MV66="Немного / A little",2,IF(Sheet!MW66="Довольно сильно / Quite a bit",3,IF(Sheet!MX66="Очень сильно / Extremely",4,""))))</f>
        <v>1</v>
      </c>
      <c r="MY66">
        <f>IF(Sheet!MY66="Совсем нет / Not at all",1,IF(Sheet!MZ66="Немного / A little",2,IF(Sheet!NA66="Довольно сильно / Quite a bit",3,IF(Sheet!NB66="Очень сильно / Extremely",4,""))))</f>
        <v>1</v>
      </c>
      <c r="NC66">
        <f>IF(Sheet!NC66="Совсем нет / Not at all",1,IF(Sheet!ND66="Немного / A little",2,IF(Sheet!NE66="Довольно сильно / Quite a bit",3,IF(Sheet!NF66="Очень сильно / Extremely",4,""))))</f>
        <v>4</v>
      </c>
      <c r="NG66">
        <f>IF(Sheet!NG66="Совсем нет / Not at all",1,IF(Sheet!NH66="Немного / A little",2,IF(Sheet!NI66="Довольно сильно / Quite a bit",3,IF(Sheet!NJ66="Очень сильно / Extremely",4,""))))</f>
        <v>1</v>
      </c>
      <c r="NK66">
        <f>IF(Sheet!NK66="Совсем нет / Not at all",1,IF(Sheet!NL66="Немного / A little",2,IF(Sheet!NM66="Довольно сильно / Quite a bit",3,IF(Sheet!NN66="Очень сильно / Extremely",4,""))))</f>
        <v>2</v>
      </c>
      <c r="NO66">
        <f>IF(Sheet!NO66="Совсем нет / Not at all",1,IF(Sheet!NP66="Немного / A little",2,IF(Sheet!NQ66="Довольно сильно / Quite a bit",3,IF(Sheet!NR66="Очень сильно / Extremely",4,""))))</f>
        <v>1</v>
      </c>
      <c r="NS66">
        <f>IF(Sheet!NS66="Совсем нет / Not at all",1,IF(Sheet!NT66="Немного / A little",2,IF(Sheet!NU66="Довольно сильно / Quite a bit",3,IF(Sheet!NV66="Очень сильно / Extremely",4,""))))</f>
        <v>1</v>
      </c>
      <c r="NW66">
        <f>IF(Sheet!NW66="Совсем нет / Not at all",1,IF(Sheet!NX66="Немного / A little",2,IF(Sheet!NY66="Довольно сильно / Quite a bit",3,IF(Sheet!NZ66="Очень сильно / Extremely",4,""))))</f>
        <v>1</v>
      </c>
      <c r="OA66">
        <f>IF(Sheet!OA66="Совсем нет / Not at all",1,IF(Sheet!OB66="Немного / A little",2,IF(Sheet!OC66="Довольно сильно / Quite a bit",3,IF(Sheet!OD66="Очень сильно / Extremely",4,""))))</f>
        <v>1</v>
      </c>
      <c r="OE66">
        <f>IF(Sheet!OE66="Совсем нет / Not at all",1,IF(Sheet!OF66="Немного / A little",2,IF(Sheet!OG66="Довольно сильно / Quite a bit",3,IF(Sheet!OH66="Очень сильно / Extremely",4,""))))</f>
        <v>3</v>
      </c>
      <c r="OI66">
        <f>IF(Sheet!OI66="Совсем нет / Not at all",1,IF(Sheet!OJ66="Немного / A little",2,IF(Sheet!OK66="Довольно сильно / Quite a bit",3,IF(Sheet!OL66="Очень сильно / Extremely",4,""))))</f>
        <v>1</v>
      </c>
    </row>
    <row r="67" spans="1:399">
      <c r="A67" t="str">
        <f>Sheet!A67</f>
        <v>UN001</v>
      </c>
      <c r="KR67" s="27">
        <f>SUM(KU67,KY67,LC67,LG67,LK67,LO67,LS67,LW67,MA67,ME67)/10</f>
        <v>1.5</v>
      </c>
      <c r="KS67" s="27">
        <f>SUM(MI67,MM67,MQ67,MU67,MY67,NC67,NG67,NK67,NO67,NS67,NW67,OA67,OE67,OI67)/14</f>
        <v>2.1428571428571428</v>
      </c>
      <c r="KU67">
        <f>IF(Sheet!KU67="Совсем нет / Not at all",1,IF(Sheet!KV67="Немного / A little",2,IF(Sheet!KW67="Довольно сильно / Quite a bit",3,IF(Sheet!KX67="Очень сильно / Extremely",4,""))))</f>
        <v>1</v>
      </c>
      <c r="KY67">
        <f>IF(Sheet!KY67="Совсем нет / Not at all",1,IF(Sheet!KZ67="Немного / A little",2,IF(Sheet!LA67="Довольно сильно / Quite a bit",3,IF(Sheet!LB67="Очень сильно / Extremely",4,""))))</f>
        <v>1</v>
      </c>
      <c r="LC67">
        <f>IF(Sheet!LC67="Совсем нет / Not at all",1,IF(Sheet!LD67="Немного / A little",2,IF(Sheet!LE67="Довольно сильно / Quite a bit",3,IF(Sheet!LF67="Очень сильно / Extremely",4,""))))</f>
        <v>1</v>
      </c>
      <c r="LG67">
        <f>IF(Sheet!LG67="Совсем нет / Not at all",1,IF(Sheet!LH67="Немного / A little",2,IF(Sheet!LI67="Довольно сильно / Quite a bit",3,IF(Sheet!LJ67="Очень сильно / Extremely",4,""))))</f>
        <v>1</v>
      </c>
      <c r="LK67">
        <f>IF(Sheet!LK67="Совсем нет / Not at all",1,IF(Sheet!LL67="Немного / A little",2,IF(Sheet!LM67="Довольно сильно / Quite a bit",3,IF(Sheet!LN67="Очень сильно / Extremely",4,""))))</f>
        <v>2</v>
      </c>
      <c r="LO67">
        <f>IF(Sheet!LO67="Совсем нет / Not at all",1,IF(Sheet!LP67="Немного / A little",2,IF(Sheet!LQ67="Довольно сильно / Quite a bit",3,IF(Sheet!LR67="Очень сильно / Extremely",4,""))))</f>
        <v>1</v>
      </c>
      <c r="LS67">
        <f>IF(Sheet!LS67="Совсем нет / Not at all",1,IF(Sheet!LT67="Немного / A little",2,IF(Sheet!LU67="Довольно сильно / Quite a bit",3,IF(Sheet!LV67="Очень сильно / Extremely",4,""))))</f>
        <v>3</v>
      </c>
      <c r="LW67">
        <f>IF(Sheet!LW67="Совсем нет / Not at all",1,IF(Sheet!LX67="Немного / A little",2,IF(Sheet!LY67="Довольно сильно / Quite a bit",3,IF(Sheet!LZ67="Очень сильно / Extremely",4,""))))</f>
        <v>1</v>
      </c>
      <c r="MA67">
        <f>IF(Sheet!MA67="Совсем нет / Not at all",1,IF(Sheet!MB67="Немного / A little",2,IF(Sheet!MC67="Довольно сильно / Quite a bit",3,IF(Sheet!MD67="Очень сильно / Extremely",4,""))))</f>
        <v>1</v>
      </c>
      <c r="ME67">
        <f>IF(Sheet!ME67="Совсем нет / Not at all",1,IF(Sheet!MF67="Немного / A little",2,IF(Sheet!MG67="Довольно сильно / Quite a bit",3,IF(Sheet!MH67="Очень сильно / Extremely",4,""))))</f>
        <v>3</v>
      </c>
      <c r="MI67">
        <f>IF(Sheet!MI67="Совсем нет / Not at all",1,IF(Sheet!MJ67="Немного / A little",2,IF(Sheet!MK67="Довольно сильно / Quite a bit",3,IF(Sheet!ML67="Очень сильно / Extremely",4,""))))</f>
        <v>1</v>
      </c>
      <c r="MM67">
        <f>IF(Sheet!MM67="Совсем нет / Not at all",1,IF(Sheet!MN67="Немного / A little",2,IF(Sheet!MO67="Довольно сильно / Quite a bit",3,IF(Sheet!MP67="Очень сильно / Extremely",4,""))))</f>
        <v>3</v>
      </c>
      <c r="MQ67">
        <f>IF(Sheet!MQ67="Совсем нет / Not at all",1,IF(Sheet!MR67="Немного / A little",2,IF(Sheet!MS67="Довольно сильно / Quite a bit",3,IF(Sheet!MT67="Очень сильно / Extremely",4,""))))</f>
        <v>1</v>
      </c>
      <c r="MU67">
        <f>IF(Sheet!MU67="Совсем нет / Not at all",1,IF(Sheet!MV67="Немного / A little",2,IF(Sheet!MW67="Довольно сильно / Quite a bit",3,IF(Sheet!MX67="Очень сильно / Extremely",4,""))))</f>
        <v>3</v>
      </c>
      <c r="MY67">
        <f>IF(Sheet!MY67="Совсем нет / Not at all",1,IF(Sheet!MZ67="Немного / A little",2,IF(Sheet!NA67="Довольно сильно / Quite a bit",3,IF(Sheet!NB67="Очень сильно / Extremely",4,""))))</f>
        <v>2</v>
      </c>
      <c r="NC67">
        <f>IF(Sheet!NC67="Совсем нет / Not at all",1,IF(Sheet!ND67="Немного / A little",2,IF(Sheet!NE67="Довольно сильно / Quite a bit",3,IF(Sheet!NF67="Очень сильно / Extremely",4,""))))</f>
        <v>1</v>
      </c>
      <c r="NG67">
        <f>IF(Sheet!NG67="Совсем нет / Not at all",1,IF(Sheet!NH67="Немного / A little",2,IF(Sheet!NI67="Довольно сильно / Quite a bit",3,IF(Sheet!NJ67="Очень сильно / Extremely",4,""))))</f>
        <v>4</v>
      </c>
      <c r="NK67">
        <f>IF(Sheet!NK67="Совсем нет / Not at all",1,IF(Sheet!NL67="Немного / A little",2,IF(Sheet!NM67="Довольно сильно / Quite a bit",3,IF(Sheet!NN67="Очень сильно / Extremely",4,""))))</f>
        <v>3</v>
      </c>
      <c r="NO67">
        <f>IF(Sheet!NO67="Совсем нет / Not at all",1,IF(Sheet!NP67="Немного / A little",2,IF(Sheet!NQ67="Довольно сильно / Quite a bit",3,IF(Sheet!NR67="Очень сильно / Extremely",4,""))))</f>
        <v>4</v>
      </c>
      <c r="NS67">
        <f>IF(Sheet!NS67="Совсем нет / Not at all",1,IF(Sheet!NT67="Немного / A little",2,IF(Sheet!NU67="Довольно сильно / Quite a bit",3,IF(Sheet!NV67="Очень сильно / Extremely",4,""))))</f>
        <v>1</v>
      </c>
      <c r="NW67">
        <f>IF(Sheet!NW67="Совсем нет / Not at all",1,IF(Sheet!NX67="Немного / A little",2,IF(Sheet!NY67="Довольно сильно / Quite a bit",3,IF(Sheet!NZ67="Очень сильно / Extremely",4,""))))</f>
        <v>1</v>
      </c>
      <c r="OA67">
        <f>IF(Sheet!OA67="Совсем нет / Not at all",1,IF(Sheet!OB67="Немного / A little",2,IF(Sheet!OC67="Довольно сильно / Quite a bit",3,IF(Sheet!OD67="Очень сильно / Extremely",4,""))))</f>
        <v>1</v>
      </c>
      <c r="OE67">
        <f>IF(Sheet!OE67="Совсем нет / Not at all",1,IF(Sheet!OF67="Немного / A little",2,IF(Sheet!OG67="Довольно сильно / Quite a bit",3,IF(Sheet!OH67="Очень сильно / Extremely",4,""))))</f>
        <v>4</v>
      </c>
      <c r="OI67">
        <f>IF(Sheet!OI67="Совсем нет / Not at all",1,IF(Sheet!OJ67="Немного / A little",2,IF(Sheet!OK67="Довольно сильно / Quite a bit",3,IF(Sheet!OL67="Очень сильно / Extremely",4,""))))</f>
        <v>1</v>
      </c>
    </row>
    <row r="68" spans="1:399">
      <c r="A68" t="str">
        <f>Sheet!A68</f>
        <v>BO001</v>
      </c>
      <c r="KR68" s="27">
        <f>SUM(KU68,KY68,LC68,LG68,LK68,LO68,LS68,LW68,MA68,ME68)/10</f>
        <v>1.2</v>
      </c>
      <c r="KS68" s="27">
        <f>SUM(MI68,MM68,MQ68,MU68,MY68,NC68,NG68,NK68,NO68,NS68,NW68,OA68,OE68,OI68)/14</f>
        <v>1.5714285714285714</v>
      </c>
      <c r="KU68">
        <f>IF(Sheet!KU68="Совсем нет / Not at all",1,IF(Sheet!KV68="Немного / A little",2,IF(Sheet!KW68="Довольно сильно / Quite a bit",3,IF(Sheet!KX68="Очень сильно / Extremely",4,""))))</f>
        <v>1</v>
      </c>
      <c r="KY68">
        <f>IF(Sheet!KY68="Совсем нет / Not at all",1,IF(Sheet!KZ68="Немного / A little",2,IF(Sheet!LA68="Довольно сильно / Quite a bit",3,IF(Sheet!LB68="Очень сильно / Extremely",4,""))))</f>
        <v>1</v>
      </c>
      <c r="LC68">
        <f>IF(Sheet!LC68="Совсем нет / Not at all",1,IF(Sheet!LD68="Немного / A little",2,IF(Sheet!LE68="Довольно сильно / Quite a bit",3,IF(Sheet!LF68="Очень сильно / Extremely",4,""))))</f>
        <v>2</v>
      </c>
      <c r="LG68">
        <f>IF(Sheet!LG68="Совсем нет / Not at all",1,IF(Sheet!LH68="Немного / A little",2,IF(Sheet!LI68="Довольно сильно / Quite a bit",3,IF(Sheet!LJ68="Очень сильно / Extremely",4,""))))</f>
        <v>1</v>
      </c>
      <c r="LK68">
        <f>IF(Sheet!LK68="Совсем нет / Not at all",1,IF(Sheet!LL68="Немного / A little",2,IF(Sheet!LM68="Довольно сильно / Quite a bit",3,IF(Sheet!LN68="Очень сильно / Extremely",4,""))))</f>
        <v>1</v>
      </c>
      <c r="LO68">
        <f>IF(Sheet!LO68="Совсем нет / Not at all",1,IF(Sheet!LP68="Немного / A little",2,IF(Sheet!LQ68="Довольно сильно / Quite a bit",3,IF(Sheet!LR68="Очень сильно / Extremely",4,""))))</f>
        <v>1</v>
      </c>
      <c r="LS68">
        <f>IF(Sheet!LS68="Совсем нет / Not at all",1,IF(Sheet!LT68="Немного / A little",2,IF(Sheet!LU68="Довольно сильно / Quite a bit",3,IF(Sheet!LV68="Очень сильно / Extremely",4,""))))</f>
        <v>1</v>
      </c>
      <c r="LW68">
        <f>IF(Sheet!LW68="Совсем нет / Not at all",1,IF(Sheet!LX68="Немного / A little",2,IF(Sheet!LY68="Довольно сильно / Quite a bit",3,IF(Sheet!LZ68="Очень сильно / Extremely",4,""))))</f>
        <v>2</v>
      </c>
      <c r="MA68">
        <f>IF(Sheet!MA68="Совсем нет / Not at all",1,IF(Sheet!MB68="Немного / A little",2,IF(Sheet!MC68="Довольно сильно / Quite a bit",3,IF(Sheet!MD68="Очень сильно / Extremely",4,""))))</f>
        <v>1</v>
      </c>
      <c r="ME68">
        <f>IF(Sheet!ME68="Совсем нет / Not at all",1,IF(Sheet!MF68="Немного / A little",2,IF(Sheet!MG68="Довольно сильно / Quite a bit",3,IF(Sheet!MH68="Очень сильно / Extremely",4,""))))</f>
        <v>1</v>
      </c>
      <c r="MI68">
        <f>IF(Sheet!MI68="Совсем нет / Not at all",1,IF(Sheet!MJ68="Немного / A little",2,IF(Sheet!MK68="Довольно сильно / Quite a bit",3,IF(Sheet!ML68="Очень сильно / Extremely",4,""))))</f>
        <v>2</v>
      </c>
      <c r="MM68">
        <f>IF(Sheet!MM68="Совсем нет / Not at all",1,IF(Sheet!MN68="Немного / A little",2,IF(Sheet!MO68="Довольно сильно / Quite a bit",3,IF(Sheet!MP68="Очень сильно / Extremely",4,""))))</f>
        <v>2</v>
      </c>
      <c r="MQ68">
        <f>IF(Sheet!MQ68="Совсем нет / Not at all",1,IF(Sheet!MR68="Немного / A little",2,IF(Sheet!MS68="Довольно сильно / Quite a bit",3,IF(Sheet!MT68="Очень сильно / Extremely",4,""))))</f>
        <v>2</v>
      </c>
      <c r="MU68">
        <f>IF(Sheet!MU68="Совсем нет / Not at all",1,IF(Sheet!MV68="Немного / A little",2,IF(Sheet!MW68="Довольно сильно / Quite a bit",3,IF(Sheet!MX68="Очень сильно / Extremely",4,""))))</f>
        <v>2</v>
      </c>
      <c r="MY68">
        <f>IF(Sheet!MY68="Совсем нет / Not at all",1,IF(Sheet!MZ68="Немного / A little",2,IF(Sheet!NA68="Довольно сильно / Quite a bit",3,IF(Sheet!NB68="Очень сильно / Extremely",4,""))))</f>
        <v>2</v>
      </c>
      <c r="NC68">
        <f>IF(Sheet!NC68="Совсем нет / Not at all",1,IF(Sheet!ND68="Немного / A little",2,IF(Sheet!NE68="Довольно сильно / Quite a bit",3,IF(Sheet!NF68="Очень сильно / Extremely",4,""))))</f>
        <v>2</v>
      </c>
      <c r="NG68">
        <f>IF(Sheet!NG68="Совсем нет / Not at all",1,IF(Sheet!NH68="Немного / A little",2,IF(Sheet!NI68="Довольно сильно / Quite a bit",3,IF(Sheet!NJ68="Очень сильно / Extremely",4,""))))</f>
        <v>1</v>
      </c>
      <c r="NK68">
        <f>IF(Sheet!NK68="Совсем нет / Not at all",1,IF(Sheet!NL68="Немного / A little",2,IF(Sheet!NM68="Довольно сильно / Quite a bit",3,IF(Sheet!NN68="Очень сильно / Extremely",4,""))))</f>
        <v>2</v>
      </c>
      <c r="NO68">
        <f>IF(Sheet!NO68="Совсем нет / Not at all",1,IF(Sheet!NP68="Немного / A little",2,IF(Sheet!NQ68="Довольно сильно / Quite a bit",3,IF(Sheet!NR68="Очень сильно / Extremely",4,""))))</f>
        <v>1</v>
      </c>
      <c r="NS68">
        <f>IF(Sheet!NS68="Совсем нет / Not at all",1,IF(Sheet!NT68="Немного / A little",2,IF(Sheet!NU68="Довольно сильно / Quite a bit",3,IF(Sheet!NV68="Очень сильно / Extremely",4,""))))</f>
        <v>1</v>
      </c>
      <c r="NW68">
        <f>IF(Sheet!NW68="Совсем нет / Not at all",1,IF(Sheet!NX68="Немного / A little",2,IF(Sheet!NY68="Довольно сильно / Quite a bit",3,IF(Sheet!NZ68="Очень сильно / Extremely",4,""))))</f>
        <v>1</v>
      </c>
      <c r="OA68">
        <f>IF(Sheet!OA68="Совсем нет / Not at all",1,IF(Sheet!OB68="Немного / A little",2,IF(Sheet!OC68="Довольно сильно / Quite a bit",3,IF(Sheet!OD68="Очень сильно / Extremely",4,""))))</f>
        <v>2</v>
      </c>
      <c r="OE68">
        <f>IF(Sheet!OE68="Совсем нет / Not at all",1,IF(Sheet!OF68="Немного / A little",2,IF(Sheet!OG68="Довольно сильно / Quite a bit",3,IF(Sheet!OH68="Очень сильно / Extremely",4,""))))</f>
        <v>1</v>
      </c>
      <c r="OI68">
        <f>IF(Sheet!OI68="Совсем нет / Not at all",1,IF(Sheet!OJ68="Немного / A little",2,IF(Sheet!OK68="Довольно сильно / Quite a bit",3,IF(Sheet!OL68="Очень сильно / Extremely",4,""))))</f>
        <v>1</v>
      </c>
    </row>
    <row r="69" spans="1:399">
      <c r="A69" t="str">
        <f>Sheet!A69</f>
        <v>UD001</v>
      </c>
      <c r="KR69" s="27">
        <f>SUM(KU69,KY69,LC69,LG69,LK69,LO69,LS69,LW69,MA69,ME69)/10</f>
        <v>1.2</v>
      </c>
      <c r="KS69" s="27">
        <f>SUM(MI69,MM69,MQ69,MU69,MY69,NC69,NG69,NK69,NO69,NS69,NW69,OA69,OE69,OI69)/14</f>
        <v>1.0714285714285714</v>
      </c>
      <c r="KU69">
        <f>IF(Sheet!KU69="Совсем нет / Not at all",1,IF(Sheet!KV69="Немного / A little",2,IF(Sheet!KW69="Довольно сильно / Quite a bit",3,IF(Sheet!KX69="Очень сильно / Extremely",4,""))))</f>
        <v>1</v>
      </c>
      <c r="KY69">
        <f>IF(Sheet!KY69="Совсем нет / Not at all",1,IF(Sheet!KZ69="Немного / A little",2,IF(Sheet!LA69="Довольно сильно / Quite a bit",3,IF(Sheet!LB69="Очень сильно / Extremely",4,""))))</f>
        <v>1</v>
      </c>
      <c r="LC69">
        <f>IF(Sheet!LC69="Совсем нет / Not at all",1,IF(Sheet!LD69="Немного / A little",2,IF(Sheet!LE69="Довольно сильно / Quite a bit",3,IF(Sheet!LF69="Очень сильно / Extremely",4,""))))</f>
        <v>1</v>
      </c>
      <c r="LG69">
        <f>IF(Sheet!LG69="Совсем нет / Not at all",1,IF(Sheet!LH69="Немного / A little",2,IF(Sheet!LI69="Довольно сильно / Quite a bit",3,IF(Sheet!LJ69="Очень сильно / Extremely",4,""))))</f>
        <v>1</v>
      </c>
      <c r="LK69">
        <f>IF(Sheet!LK69="Совсем нет / Not at all",1,IF(Sheet!LL69="Немного / A little",2,IF(Sheet!LM69="Довольно сильно / Quite a bit",3,IF(Sheet!LN69="Очень сильно / Extremely",4,""))))</f>
        <v>1</v>
      </c>
      <c r="LO69">
        <f>IF(Sheet!LO69="Совсем нет / Not at all",1,IF(Sheet!LP69="Немного / A little",2,IF(Sheet!LQ69="Довольно сильно / Quite a bit",3,IF(Sheet!LR69="Очень сильно / Extremely",4,""))))</f>
        <v>1</v>
      </c>
      <c r="LS69">
        <f>IF(Sheet!LS69="Совсем нет / Not at all",1,IF(Sheet!LT69="Немного / A little",2,IF(Sheet!LU69="Довольно сильно / Quite a bit",3,IF(Sheet!LV69="Очень сильно / Extremely",4,""))))</f>
        <v>2</v>
      </c>
      <c r="LW69">
        <f>IF(Sheet!LW69="Совсем нет / Not at all",1,IF(Sheet!LX69="Немного / A little",2,IF(Sheet!LY69="Довольно сильно / Quite a bit",3,IF(Sheet!LZ69="Очень сильно / Extremely",4,""))))</f>
        <v>2</v>
      </c>
      <c r="MA69">
        <f>IF(Sheet!MA69="Совсем нет / Not at all",1,IF(Sheet!MB69="Немного / A little",2,IF(Sheet!MC69="Довольно сильно / Quite a bit",3,IF(Sheet!MD69="Очень сильно / Extremely",4,""))))</f>
        <v>1</v>
      </c>
      <c r="ME69">
        <f>IF(Sheet!ME69="Совсем нет / Not at all",1,IF(Sheet!MF69="Немного / A little",2,IF(Sheet!MG69="Довольно сильно / Quite a bit",3,IF(Sheet!MH69="Очень сильно / Extremely",4,""))))</f>
        <v>1</v>
      </c>
      <c r="MI69">
        <f>IF(Sheet!MI69="Совсем нет / Not at all",1,IF(Sheet!MJ69="Немного / A little",2,IF(Sheet!MK69="Довольно сильно / Quite a bit",3,IF(Sheet!ML69="Очень сильно / Extremely",4,""))))</f>
        <v>1</v>
      </c>
      <c r="MM69">
        <f>IF(Sheet!MM69="Совсем нет / Not at all",1,IF(Sheet!MN69="Немного / A little",2,IF(Sheet!MO69="Довольно сильно / Quite a bit",3,IF(Sheet!MP69="Очень сильно / Extremely",4,""))))</f>
        <v>1</v>
      </c>
      <c r="MQ69">
        <f>IF(Sheet!MQ69="Совсем нет / Not at all",1,IF(Sheet!MR69="Немного / A little",2,IF(Sheet!MS69="Довольно сильно / Quite a bit",3,IF(Sheet!MT69="Очень сильно / Extremely",4,""))))</f>
        <v>1</v>
      </c>
      <c r="MU69">
        <f>IF(Sheet!MU69="Совсем нет / Not at all",1,IF(Sheet!MV69="Немного / A little",2,IF(Sheet!MW69="Довольно сильно / Quite a bit",3,IF(Sheet!MX69="Очень сильно / Extremely",4,""))))</f>
        <v>1</v>
      </c>
      <c r="MY69">
        <f>IF(Sheet!MY69="Совсем нет / Not at all",1,IF(Sheet!MZ69="Немного / A little",2,IF(Sheet!NA69="Довольно сильно / Quite a bit",3,IF(Sheet!NB69="Очень сильно / Extremely",4,""))))</f>
        <v>1</v>
      </c>
      <c r="NC69">
        <f>IF(Sheet!NC69="Совсем нет / Not at all",1,IF(Sheet!ND69="Немного / A little",2,IF(Sheet!NE69="Довольно сильно / Quite a bit",3,IF(Sheet!NF69="Очень сильно / Extremely",4,""))))</f>
        <v>1</v>
      </c>
      <c r="NG69">
        <f>IF(Sheet!NG69="Совсем нет / Not at all",1,IF(Sheet!NH69="Немного / A little",2,IF(Sheet!NI69="Довольно сильно / Quite a bit",3,IF(Sheet!NJ69="Очень сильно / Extremely",4,""))))</f>
        <v>1</v>
      </c>
      <c r="NK69">
        <f>IF(Sheet!NK69="Совсем нет / Not at all",1,IF(Sheet!NL69="Немного / A little",2,IF(Sheet!NM69="Довольно сильно / Quite a bit",3,IF(Sheet!NN69="Очень сильно / Extremely",4,""))))</f>
        <v>2</v>
      </c>
      <c r="NO69">
        <f>IF(Sheet!NO69="Совсем нет / Not at all",1,IF(Sheet!NP69="Немного / A little",2,IF(Sheet!NQ69="Довольно сильно / Quite a bit",3,IF(Sheet!NR69="Очень сильно / Extremely",4,""))))</f>
        <v>1</v>
      </c>
      <c r="NS69">
        <f>IF(Sheet!NS69="Совсем нет / Not at all",1,IF(Sheet!NT69="Немного / A little",2,IF(Sheet!NU69="Довольно сильно / Quite a bit",3,IF(Sheet!NV69="Очень сильно / Extremely",4,""))))</f>
        <v>1</v>
      </c>
      <c r="NW69">
        <f>IF(Sheet!NW69="Совсем нет / Not at all",1,IF(Sheet!NX69="Немного / A little",2,IF(Sheet!NY69="Довольно сильно / Quite a bit",3,IF(Sheet!NZ69="Очень сильно / Extremely",4,""))))</f>
        <v>1</v>
      </c>
      <c r="OA69">
        <f>IF(Sheet!OA69="Совсем нет / Not at all",1,IF(Sheet!OB69="Немного / A little",2,IF(Sheet!OC69="Довольно сильно / Quite a bit",3,IF(Sheet!OD69="Очень сильно / Extremely",4,""))))</f>
        <v>1</v>
      </c>
      <c r="OE69">
        <f>IF(Sheet!OE69="Совсем нет / Not at all",1,IF(Sheet!OF69="Немного / A little",2,IF(Sheet!OG69="Довольно сильно / Quite a bit",3,IF(Sheet!OH69="Очень сильно / Extremely",4,""))))</f>
        <v>1</v>
      </c>
      <c r="OI69">
        <f>IF(Sheet!OI69="Совсем нет / Not at all",1,IF(Sheet!OJ69="Немного / A little",2,IF(Sheet!OK69="Довольно сильно / Quite a bit",3,IF(Sheet!OL69="Очень сильно / Extremely",4,""))))</f>
        <v>1</v>
      </c>
    </row>
  </sheetData>
  <autoFilter ref="KR1:KU69" xr:uid="{00000000-0009-0000-0000-000006000000}"/>
  <conditionalFormatting sqref="KR3:KS69">
    <cfRule type="cellIs" dxfId="2" priority="2" operator="greaterThan">
      <formula>1.74</formula>
    </cfRule>
  </conditionalFormatting>
  <conditionalFormatting sqref="KS3:KS69">
    <cfRule type="cellIs" dxfId="1" priority="3" operator="greaterThan">
      <formula>2.5</formula>
    </cfRule>
    <cfRule type="expression" dxfId="0" priority="4">
      <formula>"&gt;=2.5"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1BA7-EDCA-44B0-A7B3-81F7E28670F8}">
  <dimension ref="A1:F69"/>
  <sheetViews>
    <sheetView workbookViewId="0">
      <selection activeCell="E1" sqref="E1"/>
    </sheetView>
  </sheetViews>
  <sheetFormatPr defaultRowHeight="15"/>
  <sheetData>
    <row r="1" spans="1:6">
      <c r="A1" t="s">
        <v>577</v>
      </c>
      <c r="B1" t="str">
        <f>PTSD!GW1</f>
        <v>PTSD</v>
      </c>
      <c r="C1" t="str">
        <f>'HSCL-25'!KR1</f>
        <v>Anxiety</v>
      </c>
      <c r="D1" t="str">
        <f>'HSCL-25'!KS1</f>
        <v>Depression</v>
      </c>
      <c r="E1" t="str">
        <f>'daily stressors'!AT1</f>
        <v>Daily stressors</v>
      </c>
      <c r="F1" t="str">
        <f>'Harvard Trauma Questionnaire'!B1</f>
        <v>HTQ</v>
      </c>
    </row>
    <row r="2" spans="1:6">
      <c r="B2" t="str">
        <f>PTSD!GW2</f>
        <v>∑/25</v>
      </c>
      <c r="E2" s="27"/>
    </row>
    <row r="3" spans="1:6">
      <c r="A3" t="str">
        <f>Sheet!A3</f>
        <v>SC001</v>
      </c>
      <c r="B3" s="27">
        <f>PTSD!GW3</f>
        <v>1.72</v>
      </c>
      <c r="C3">
        <f>'HSCL-25'!KR3</f>
        <v>1</v>
      </c>
      <c r="D3" s="27">
        <f>'HSCL-25'!KS3</f>
        <v>1.2857142857142858</v>
      </c>
      <c r="E3" s="27">
        <f>'daily stressors'!AT3</f>
        <v>1.7419354838709677</v>
      </c>
      <c r="F3">
        <f>'Harvard Trauma Questionnaire'!B3</f>
        <v>0</v>
      </c>
    </row>
    <row r="4" spans="1:6">
      <c r="A4" t="str">
        <f>Sheet!A4</f>
        <v>CF002</v>
      </c>
      <c r="B4" s="27">
        <f>PTSD!GW4</f>
        <v>1.52</v>
      </c>
      <c r="C4">
        <f>'HSCL-25'!KR4</f>
        <v>1.3</v>
      </c>
      <c r="D4" s="27">
        <f>'HSCL-25'!KS4</f>
        <v>2.1428571428571428</v>
      </c>
      <c r="E4" s="27">
        <f>'daily stressors'!AT4</f>
        <v>2.2580645161290325</v>
      </c>
      <c r="F4">
        <f>'Harvard Trauma Questionnaire'!B4</f>
        <v>6</v>
      </c>
    </row>
    <row r="5" spans="1:6">
      <c r="A5" t="str">
        <f>Sheet!A5</f>
        <v>CT001</v>
      </c>
      <c r="B5" s="27">
        <f>PTSD!GW5</f>
        <v>1.2</v>
      </c>
      <c r="C5">
        <f>'HSCL-25'!KR5</f>
        <v>1</v>
      </c>
      <c r="D5" s="27">
        <f>'HSCL-25'!KS5</f>
        <v>1.3571428571428572</v>
      </c>
      <c r="E5" s="27">
        <f>'daily stressors'!AT5</f>
        <v>1.935483870967742</v>
      </c>
      <c r="F5">
        <f>'Harvard Trauma Questionnaire'!B5</f>
        <v>4</v>
      </c>
    </row>
    <row r="6" spans="1:6">
      <c r="A6" t="str">
        <f>Sheet!A6</f>
        <v>GU001</v>
      </c>
      <c r="B6" s="27">
        <f>PTSD!GW6</f>
        <v>1.24</v>
      </c>
      <c r="C6">
        <f>'HSCL-25'!KR6</f>
        <v>1.5</v>
      </c>
      <c r="D6" s="27">
        <f>'HSCL-25'!KS6</f>
        <v>1.5</v>
      </c>
      <c r="E6" s="27">
        <f>'daily stressors'!AT6</f>
        <v>1.6451612903225807</v>
      </c>
      <c r="F6">
        <f>'Harvard Trauma Questionnaire'!B6</f>
        <v>1</v>
      </c>
    </row>
    <row r="7" spans="1:6">
      <c r="A7" t="str">
        <f>Sheet!A7</f>
        <v>FM002</v>
      </c>
      <c r="B7" s="27">
        <f>PTSD!GW7</f>
        <v>2.4</v>
      </c>
      <c r="C7">
        <f>'HSCL-25'!KR7</f>
        <v>2.7</v>
      </c>
      <c r="D7" s="27">
        <f>'HSCL-25'!KS7</f>
        <v>2.4285714285714284</v>
      </c>
      <c r="E7" s="27">
        <f>'daily stressors'!AT7</f>
        <v>2.2903225806451615</v>
      </c>
      <c r="F7">
        <f>'Harvard Trauma Questionnaire'!B7</f>
        <v>5</v>
      </c>
    </row>
    <row r="8" spans="1:6">
      <c r="A8" t="str">
        <f>Sheet!A8</f>
        <v>FM001</v>
      </c>
      <c r="B8" s="27">
        <f>PTSD!GW8</f>
        <v>1.1599999999999999</v>
      </c>
      <c r="C8">
        <f>'HSCL-25'!KR8</f>
        <v>1.3</v>
      </c>
      <c r="D8" s="27">
        <f>'HSCL-25'!KS8</f>
        <v>1.5</v>
      </c>
      <c r="E8" s="27">
        <f>'daily stressors'!AT8</f>
        <v>1.7096774193548387</v>
      </c>
      <c r="F8">
        <f>'Harvard Trauma Questionnaire'!B8</f>
        <v>0</v>
      </c>
    </row>
    <row r="9" spans="1:6">
      <c r="A9" t="str">
        <f>Sheet!A9</f>
        <v>PM001</v>
      </c>
      <c r="B9" s="27">
        <f>PTSD!GW9</f>
        <v>1.28</v>
      </c>
      <c r="C9">
        <f>'HSCL-25'!KR9</f>
        <v>1.2</v>
      </c>
      <c r="D9" s="27">
        <f>'HSCL-25'!KS9</f>
        <v>1.7142857142857142</v>
      </c>
      <c r="E9" s="27">
        <f>'daily stressors'!AT9</f>
        <v>3.1818181818181817</v>
      </c>
      <c r="F9">
        <f>'Harvard Trauma Questionnaire'!B9</f>
        <v>0</v>
      </c>
    </row>
    <row r="10" spans="1:6">
      <c r="A10" t="str">
        <f>Sheet!A10</f>
        <v>MF001</v>
      </c>
      <c r="B10" s="27">
        <f>PTSD!GW10</f>
        <v>2.04</v>
      </c>
      <c r="C10">
        <f>'HSCL-25'!KR10</f>
        <v>1.5</v>
      </c>
      <c r="D10" s="27">
        <f>'HSCL-25'!KS10</f>
        <v>1.7857142857142858</v>
      </c>
      <c r="E10" s="27">
        <f>'daily stressors'!AT10</f>
        <v>1.8934802571166207</v>
      </c>
      <c r="F10">
        <f>'Harvard Trauma Questionnaire'!B10</f>
        <v>1</v>
      </c>
    </row>
    <row r="11" spans="1:6">
      <c r="A11" t="str">
        <f>Sheet!A11</f>
        <v>MU001</v>
      </c>
      <c r="B11" s="27">
        <f>PTSD!GW11</f>
        <v>1.2</v>
      </c>
      <c r="C11">
        <f>'HSCL-25'!KR11</f>
        <v>1.6</v>
      </c>
      <c r="D11" s="27">
        <f>'HSCL-25'!KS11</f>
        <v>1.3571428571428572</v>
      </c>
      <c r="E11" s="27">
        <f>'daily stressors'!AT11</f>
        <v>1.7419354838709677</v>
      </c>
      <c r="F11">
        <f>'Harvard Trauma Questionnaire'!B11</f>
        <v>4</v>
      </c>
    </row>
    <row r="12" spans="1:6">
      <c r="A12" t="str">
        <f>Sheet!A12</f>
        <v>KU001</v>
      </c>
      <c r="B12" s="27">
        <f>PTSD!GW12</f>
        <v>1.84</v>
      </c>
      <c r="C12">
        <f>'HSCL-25'!KR12</f>
        <v>1.6</v>
      </c>
      <c r="D12" s="27">
        <f>'HSCL-25'!KS12</f>
        <v>2.1428571428571428</v>
      </c>
      <c r="E12" s="27">
        <f>'daily stressors'!AT12</f>
        <v>2.5</v>
      </c>
      <c r="F12">
        <f>'Harvard Trauma Questionnaire'!B12</f>
        <v>5</v>
      </c>
    </row>
    <row r="13" spans="1:6">
      <c r="A13" t="str">
        <f>Sheet!A13</f>
        <v>OT001</v>
      </c>
      <c r="B13" s="27">
        <f>PTSD!GW13</f>
        <v>1.84</v>
      </c>
      <c r="C13">
        <f>'HSCL-25'!KR13</f>
        <v>2.2000000000000002</v>
      </c>
      <c r="D13" s="27">
        <f>'HSCL-25'!KS13</f>
        <v>1.6428571428571428</v>
      </c>
      <c r="E13" s="27">
        <f>'daily stressors'!AT13</f>
        <v>2.032258064516129</v>
      </c>
      <c r="F13">
        <f>'Harvard Trauma Questionnaire'!B13</f>
        <v>7</v>
      </c>
    </row>
    <row r="14" spans="1:6">
      <c r="A14" t="str">
        <f>Sheet!A14</f>
        <v>PD001</v>
      </c>
      <c r="B14" s="27">
        <f>PTSD!GW14</f>
        <v>1.24</v>
      </c>
      <c r="C14">
        <f>'HSCL-25'!KR14</f>
        <v>1.1000000000000001</v>
      </c>
      <c r="D14" s="27">
        <f>'HSCL-25'!KS14</f>
        <v>1.5</v>
      </c>
      <c r="E14" s="27">
        <f>'daily stressors'!AT14</f>
        <v>3.40625</v>
      </c>
      <c r="F14">
        <f>'Harvard Trauma Questionnaire'!B14</f>
        <v>1</v>
      </c>
    </row>
    <row r="15" spans="1:6">
      <c r="A15" t="str">
        <f>Sheet!A15</f>
        <v>CI002</v>
      </c>
      <c r="B15" s="27">
        <f>PTSD!GW15</f>
        <v>1.1599999999999999</v>
      </c>
      <c r="C15">
        <f>'HSCL-25'!KR15</f>
        <v>1</v>
      </c>
      <c r="D15" s="27">
        <f>'HSCL-25'!KS15</f>
        <v>1.0714285714285714</v>
      </c>
      <c r="E15" s="27">
        <f>'daily stressors'!AT15</f>
        <v>2.1169507575757578</v>
      </c>
      <c r="F15">
        <f>'Harvard Trauma Questionnaire'!B15</f>
        <v>2</v>
      </c>
    </row>
    <row r="16" spans="1:6">
      <c r="A16" t="str">
        <f>Sheet!A16</f>
        <v>YC001</v>
      </c>
      <c r="B16" s="27">
        <f>PTSD!GW16</f>
        <v>1.68</v>
      </c>
      <c r="C16">
        <f>'HSCL-25'!KR16</f>
        <v>1.7</v>
      </c>
      <c r="D16" s="27">
        <f>'HSCL-25'!KS16</f>
        <v>2.2857142857142856</v>
      </c>
      <c r="E16" s="27">
        <f>'daily stressors'!AT16</f>
        <v>2.2903225806451615</v>
      </c>
      <c r="F16">
        <f>'Harvard Trauma Questionnaire'!B16</f>
        <v>8</v>
      </c>
    </row>
    <row r="17" spans="1:6">
      <c r="A17" t="str">
        <f>Sheet!A17</f>
        <v>FG001</v>
      </c>
      <c r="B17" s="27">
        <f>PTSD!GW17</f>
        <v>2.52</v>
      </c>
      <c r="C17">
        <f>'HSCL-25'!KR17</f>
        <v>0</v>
      </c>
      <c r="D17" s="27">
        <f>'HSCL-25'!KS17</f>
        <v>0</v>
      </c>
      <c r="E17" s="27">
        <f>'daily stressors'!AT17</f>
        <v>2.838709677419355</v>
      </c>
      <c r="F17">
        <f>'Harvard Trauma Questionnaire'!B17</f>
        <v>8</v>
      </c>
    </row>
    <row r="18" spans="1:6">
      <c r="A18" t="str">
        <f>Sheet!A18</f>
        <v>GR001</v>
      </c>
      <c r="B18" s="27">
        <f>PTSD!GW18</f>
        <v>1.6</v>
      </c>
      <c r="C18">
        <f>'HSCL-25'!KR18</f>
        <v>1.7</v>
      </c>
      <c r="D18" s="27">
        <f>'HSCL-25'!KS18</f>
        <v>1.6428571428571428</v>
      </c>
      <c r="E18" s="27">
        <f>'daily stressors'!AT18</f>
        <v>1.903225806451613</v>
      </c>
      <c r="F18">
        <f>'Harvard Trauma Questionnaire'!B18</f>
        <v>4</v>
      </c>
    </row>
    <row r="19" spans="1:6">
      <c r="A19" t="str">
        <f>Sheet!A19</f>
        <v>TB001</v>
      </c>
      <c r="B19" s="27">
        <f>PTSD!GW19</f>
        <v>1.4</v>
      </c>
      <c r="C19">
        <f>'HSCL-25'!KR19</f>
        <v>1.3</v>
      </c>
      <c r="D19" s="27">
        <f>'HSCL-25'!KS19</f>
        <v>1.5</v>
      </c>
      <c r="E19" s="27">
        <f>'daily stressors'!AT19</f>
        <v>2.0344827586206895</v>
      </c>
      <c r="F19">
        <f>'Harvard Trauma Questionnaire'!B19</f>
        <v>1</v>
      </c>
    </row>
    <row r="20" spans="1:6">
      <c r="A20" t="str">
        <f>Sheet!A20</f>
        <v>VI001</v>
      </c>
      <c r="B20" s="27">
        <f>PTSD!GW20</f>
        <v>1.76</v>
      </c>
      <c r="C20">
        <f>'HSCL-25'!KR20</f>
        <v>1.9</v>
      </c>
      <c r="D20" s="27">
        <f>'HSCL-25'!KS20</f>
        <v>2.3571428571428572</v>
      </c>
      <c r="E20" s="27">
        <f>'daily stressors'!AT20</f>
        <v>2.4516129032258065</v>
      </c>
      <c r="F20">
        <f>'Harvard Trauma Questionnaire'!B20</f>
        <v>3</v>
      </c>
    </row>
    <row r="21" spans="1:6">
      <c r="A21" t="str">
        <f>Sheet!A21</f>
        <v>ID MT002</v>
      </c>
      <c r="B21" s="27">
        <f>PTSD!GW21</f>
        <v>1.6</v>
      </c>
      <c r="C21">
        <f>'HSCL-25'!KR21</f>
        <v>1.8</v>
      </c>
      <c r="D21" s="27">
        <f>'HSCL-25'!KS21</f>
        <v>2.2142857142857144</v>
      </c>
      <c r="E21" s="27">
        <f>'daily stressors'!AT21</f>
        <v>2.2580645161290325</v>
      </c>
      <c r="F21">
        <f>'Harvard Trauma Questionnaire'!B21</f>
        <v>2</v>
      </c>
    </row>
    <row r="22" spans="1:6">
      <c r="A22" t="str">
        <f>Sheet!A22</f>
        <v>TI001</v>
      </c>
      <c r="B22" s="27">
        <f>PTSD!GW22</f>
        <v>2.44</v>
      </c>
      <c r="C22">
        <f>'HSCL-25'!KR22</f>
        <v>2.1</v>
      </c>
      <c r="D22" s="27">
        <f>'HSCL-25'!KS22</f>
        <v>3.1428571428571428</v>
      </c>
      <c r="E22" s="27">
        <f>'daily stressors'!AT22</f>
        <v>2.7333333333333334</v>
      </c>
      <c r="F22">
        <f>'Harvard Trauma Questionnaire'!B22</f>
        <v>2</v>
      </c>
    </row>
    <row r="23" spans="1:6">
      <c r="A23" t="str">
        <f>Sheet!A23</f>
        <v>TK001</v>
      </c>
      <c r="B23" s="27">
        <f>PTSD!GW23</f>
        <v>2.16</v>
      </c>
      <c r="C23">
        <f>'HSCL-25'!KR23</f>
        <v>1.3</v>
      </c>
      <c r="D23" s="27">
        <f>'HSCL-25'!KS23</f>
        <v>2.3571428571428572</v>
      </c>
      <c r="E23" s="27">
        <f>'daily stressors'!AT23</f>
        <v>2.193548387096774</v>
      </c>
      <c r="F23">
        <f>'Harvard Trauma Questionnaire'!B23</f>
        <v>0</v>
      </c>
    </row>
    <row r="24" spans="1:6">
      <c r="A24" t="str">
        <f>Sheet!A24</f>
        <v>PG001</v>
      </c>
      <c r="B24" s="27">
        <f>PTSD!GW24</f>
        <v>1.92</v>
      </c>
      <c r="C24">
        <f>'HSCL-25'!KR24</f>
        <v>1.8</v>
      </c>
      <c r="D24" s="27">
        <f>'HSCL-25'!KS24</f>
        <v>2.4285714285714284</v>
      </c>
      <c r="E24" s="27">
        <f>'daily stressors'!AT24</f>
        <v>2.032258064516129</v>
      </c>
      <c r="F24">
        <f>'Harvard Trauma Questionnaire'!B24</f>
        <v>8</v>
      </c>
    </row>
    <row r="25" spans="1:6">
      <c r="A25" t="str">
        <f>Sheet!A25</f>
        <v>CV001</v>
      </c>
      <c r="B25" s="27">
        <f>PTSD!GW25</f>
        <v>1.68</v>
      </c>
      <c r="C25">
        <f>'HSCL-25'!KR25</f>
        <v>1.9</v>
      </c>
      <c r="D25" s="27">
        <f>'HSCL-25'!KS25</f>
        <v>1.8571428571428572</v>
      </c>
      <c r="E25" s="27">
        <f>'daily stressors'!AT25</f>
        <v>2.6451612903225805</v>
      </c>
      <c r="F25">
        <f>'Harvard Trauma Questionnaire'!B25</f>
        <v>2</v>
      </c>
    </row>
    <row r="26" spans="1:6">
      <c r="A26" t="str">
        <f>Sheet!A26</f>
        <v>CG001</v>
      </c>
      <c r="B26" s="27">
        <f>PTSD!GW26</f>
        <v>1.56</v>
      </c>
      <c r="C26">
        <f>'HSCL-25'!KR26</f>
        <v>2</v>
      </c>
      <c r="D26" s="27">
        <f>'HSCL-25'!KS26</f>
        <v>2.1428571428571428</v>
      </c>
      <c r="E26" s="27">
        <f>'daily stressors'!AT26</f>
        <v>3</v>
      </c>
      <c r="F26">
        <f>'Harvard Trauma Questionnaire'!B26</f>
        <v>8</v>
      </c>
    </row>
    <row r="27" spans="1:6">
      <c r="A27" t="str">
        <f>Sheet!A27</f>
        <v>RG001</v>
      </c>
      <c r="B27" s="27">
        <f>PTSD!GW27</f>
        <v>2.72</v>
      </c>
      <c r="C27">
        <f>'HSCL-25'!KR27</f>
        <v>2.7</v>
      </c>
      <c r="D27" s="27">
        <f>'HSCL-25'!KS27</f>
        <v>3.2142857142857144</v>
      </c>
      <c r="E27" s="27">
        <f>'daily stressors'!AT27</f>
        <v>2.193548387096774</v>
      </c>
      <c r="F27">
        <f>'Harvard Trauma Questionnaire'!B27</f>
        <v>8</v>
      </c>
    </row>
    <row r="28" spans="1:6">
      <c r="A28" t="str">
        <f>Sheet!A28</f>
        <v>AO001</v>
      </c>
      <c r="B28" s="27">
        <f>PTSD!GW28</f>
        <v>1.64</v>
      </c>
      <c r="C28">
        <f>'HSCL-25'!KR28</f>
        <v>1.3</v>
      </c>
      <c r="D28" s="27">
        <f>'HSCL-25'!KS28</f>
        <v>2.2857142857142856</v>
      </c>
      <c r="E28" s="27">
        <f>'daily stressors'!AT28</f>
        <v>2.3225806451612905</v>
      </c>
      <c r="F28">
        <f>'Harvard Trauma Questionnaire'!B28</f>
        <v>1</v>
      </c>
    </row>
    <row r="29" spans="1:6">
      <c r="A29" t="str">
        <f>Sheet!A29</f>
        <v>FO001</v>
      </c>
      <c r="B29" s="27">
        <f>PTSD!GW29</f>
        <v>3</v>
      </c>
      <c r="C29">
        <f>'HSCL-25'!KR29</f>
        <v>3.5</v>
      </c>
      <c r="D29" s="27">
        <f>'HSCL-25'!KS29</f>
        <v>3.6428571428571428</v>
      </c>
      <c r="E29" s="27">
        <f>'daily stressors'!AT29</f>
        <v>3.096774193548387</v>
      </c>
      <c r="F29">
        <f>'Harvard Trauma Questionnaire'!B29</f>
        <v>4</v>
      </c>
    </row>
    <row r="30" spans="1:6">
      <c r="A30" t="str">
        <f>Sheet!A30</f>
        <v>uu001</v>
      </c>
      <c r="B30" s="27">
        <f>PTSD!GW30</f>
        <v>1.56</v>
      </c>
      <c r="C30">
        <f>'HSCL-25'!KR30</f>
        <v>1.2</v>
      </c>
      <c r="D30" s="27">
        <f>'HSCL-25'!KS30</f>
        <v>1.5</v>
      </c>
      <c r="E30" s="27">
        <f>'daily stressors'!AT30</f>
        <v>2.4838709677419355</v>
      </c>
      <c r="F30">
        <f>'Harvard Trauma Questionnaire'!B30</f>
        <v>3</v>
      </c>
    </row>
    <row r="31" spans="1:6">
      <c r="A31" t="str">
        <f>Sheet!A31</f>
        <v>ID FP001</v>
      </c>
      <c r="B31" s="27">
        <f>PTSD!GW31</f>
        <v>1.32</v>
      </c>
      <c r="C31">
        <f>'HSCL-25'!KR31</f>
        <v>1.4</v>
      </c>
      <c r="D31" s="27">
        <f>'HSCL-25'!KS31</f>
        <v>1.8571428571428572</v>
      </c>
      <c r="E31" s="27">
        <f>'daily stressors'!AT31</f>
        <v>3.032258064516129</v>
      </c>
      <c r="F31">
        <f>'Harvard Trauma Questionnaire'!B31</f>
        <v>1</v>
      </c>
    </row>
    <row r="32" spans="1:6">
      <c r="A32" t="str">
        <f>Sheet!A32</f>
        <v>FN001</v>
      </c>
      <c r="B32" s="27">
        <f>PTSD!GW32</f>
        <v>2.16</v>
      </c>
      <c r="C32">
        <f>'HSCL-25'!KR32</f>
        <v>1.9</v>
      </c>
      <c r="D32" s="27">
        <f>'HSCL-25'!KS32</f>
        <v>2.4285714285714284</v>
      </c>
      <c r="E32" s="27">
        <f>'daily stressors'!AT32</f>
        <v>2.3870967741935485</v>
      </c>
      <c r="F32">
        <f>'Harvard Trauma Questionnaire'!B32</f>
        <v>1</v>
      </c>
    </row>
    <row r="33" spans="1:6">
      <c r="A33" t="str">
        <f>Sheet!A33</f>
        <v>NI001</v>
      </c>
      <c r="B33" s="27">
        <f>PTSD!GW33</f>
        <v>1.68</v>
      </c>
      <c r="C33">
        <f>'HSCL-25'!KR33</f>
        <v>1.4</v>
      </c>
      <c r="D33" s="27">
        <f>'HSCL-25'!KS33</f>
        <v>2.5714285714285716</v>
      </c>
      <c r="E33" s="27">
        <f>'daily stressors'!AT33</f>
        <v>2.3548387096774195</v>
      </c>
      <c r="F33">
        <f>'Harvard Trauma Questionnaire'!B33</f>
        <v>4</v>
      </c>
    </row>
    <row r="34" spans="1:6">
      <c r="A34" t="str">
        <f>Sheet!A34</f>
        <v>EE001</v>
      </c>
      <c r="B34" s="27">
        <f>PTSD!GW34</f>
        <v>3.28</v>
      </c>
      <c r="C34">
        <f>'HSCL-25'!KR34</f>
        <v>3.5</v>
      </c>
      <c r="D34" s="27">
        <f>'HSCL-25'!KS34</f>
        <v>2.9285714285714284</v>
      </c>
      <c r="E34" s="27">
        <f>'daily stressors'!AT34</f>
        <v>2.5483870967741935</v>
      </c>
      <c r="F34">
        <f>'Harvard Trauma Questionnaire'!B34</f>
        <v>3</v>
      </c>
    </row>
    <row r="35" spans="1:6">
      <c r="A35" t="str">
        <f>Sheet!A35</f>
        <v>OM001</v>
      </c>
      <c r="B35" s="27">
        <f>PTSD!GW35</f>
        <v>1.48</v>
      </c>
      <c r="C35">
        <f>'HSCL-25'!KR35</f>
        <v>1.5</v>
      </c>
      <c r="D35" s="27">
        <f>'HSCL-25'!KS35</f>
        <v>1.8571428571428572</v>
      </c>
      <c r="E35" s="27">
        <f>'daily stressors'!AT35</f>
        <v>2.5806451612903225</v>
      </c>
      <c r="F35">
        <f>'Harvard Trauma Questionnaire'!B35</f>
        <v>4</v>
      </c>
    </row>
    <row r="36" spans="1:6">
      <c r="A36" t="str">
        <f>Sheet!A36</f>
        <v>MT001</v>
      </c>
      <c r="B36" s="27">
        <f>PTSD!GW36</f>
        <v>1.56</v>
      </c>
      <c r="C36">
        <f>'HSCL-25'!KR36</f>
        <v>1.6</v>
      </c>
      <c r="D36" s="27">
        <f>'HSCL-25'!KS36</f>
        <v>2.2142857142857144</v>
      </c>
      <c r="E36" s="27">
        <f>'daily stressors'!AT36</f>
        <v>2.838709677419355</v>
      </c>
      <c r="F36">
        <f>'Harvard Trauma Questionnaire'!B36</f>
        <v>1</v>
      </c>
    </row>
    <row r="37" spans="1:6">
      <c r="A37" t="str">
        <f>Sheet!A37</f>
        <v>LO001</v>
      </c>
      <c r="B37" s="27">
        <f>PTSD!GW37</f>
        <v>1.84</v>
      </c>
      <c r="C37">
        <f>'HSCL-25'!KR37</f>
        <v>1.7</v>
      </c>
      <c r="D37" s="27">
        <f>'HSCL-25'!KS37</f>
        <v>1.8571428571428572</v>
      </c>
      <c r="E37" s="27">
        <f>'daily stressors'!AT37</f>
        <v>2.5806451612903225</v>
      </c>
      <c r="F37">
        <f>'Harvard Trauma Questionnaire'!B37</f>
        <v>1</v>
      </c>
    </row>
    <row r="38" spans="1:6">
      <c r="A38" t="str">
        <f>Sheet!A38</f>
        <v>DA001</v>
      </c>
      <c r="B38" s="27">
        <f>PTSD!GW38</f>
        <v>1.72</v>
      </c>
      <c r="C38">
        <f>'HSCL-25'!KR38</f>
        <v>1.6</v>
      </c>
      <c r="D38" s="27">
        <f>'HSCL-25'!KS38</f>
        <v>2.0714285714285716</v>
      </c>
      <c r="E38" s="27">
        <f>'daily stressors'!AT38</f>
        <v>3.193548387096774</v>
      </c>
      <c r="F38">
        <f>'Harvard Trauma Questionnaire'!B38</f>
        <v>2</v>
      </c>
    </row>
    <row r="39" spans="1:6">
      <c r="A39" t="str">
        <f>Sheet!A39</f>
        <v>LU001</v>
      </c>
      <c r="B39" s="27">
        <f>PTSD!GW39</f>
        <v>2.84</v>
      </c>
      <c r="C39">
        <f>'HSCL-25'!KR39</f>
        <v>2.6</v>
      </c>
      <c r="D39" s="27">
        <f>'HSCL-25'!KS39</f>
        <v>2.9285714285714284</v>
      </c>
      <c r="E39" s="27">
        <f>'daily stressors'!AT39</f>
        <v>3.0666666666666669</v>
      </c>
      <c r="F39">
        <f>'Harvard Trauma Questionnaire'!B39</f>
        <v>2</v>
      </c>
    </row>
    <row r="40" spans="1:6">
      <c r="A40" t="str">
        <f>Sheet!A40</f>
        <v>TC001</v>
      </c>
      <c r="B40" s="27">
        <f>PTSD!GW40</f>
        <v>1.64</v>
      </c>
      <c r="C40">
        <f>'HSCL-25'!KR40</f>
        <v>1.1000000000000001</v>
      </c>
      <c r="D40" s="27">
        <f>'HSCL-25'!KS40</f>
        <v>1.5</v>
      </c>
      <c r="E40" s="27">
        <f>'daily stressors'!AT40</f>
        <v>2.7419354838709675</v>
      </c>
      <c r="F40">
        <f>'Harvard Trauma Questionnaire'!B40</f>
        <v>3</v>
      </c>
    </row>
    <row r="41" spans="1:6">
      <c r="A41" t="str">
        <f>Sheet!A41</f>
        <v>CD002</v>
      </c>
      <c r="B41" s="27">
        <f>PTSD!GW41</f>
        <v>2.76</v>
      </c>
      <c r="C41">
        <f>'HSCL-25'!KR41</f>
        <v>2.1</v>
      </c>
      <c r="D41" s="27">
        <f>'HSCL-25'!KS41</f>
        <v>3.5714285714285716</v>
      </c>
      <c r="E41" s="27">
        <f>'daily stressors'!AT41</f>
        <v>2.806451612903226</v>
      </c>
      <c r="F41">
        <f>'Harvard Trauma Questionnaire'!B41</f>
        <v>3</v>
      </c>
    </row>
    <row r="42" spans="1:6">
      <c r="A42" t="str">
        <f>Sheet!A42</f>
        <v>СМ001</v>
      </c>
      <c r="B42" s="27">
        <f>PTSD!GW42</f>
        <v>2.36</v>
      </c>
      <c r="C42">
        <f>'HSCL-25'!KR42</f>
        <v>2.6</v>
      </c>
      <c r="D42" s="27">
        <f>'HSCL-25'!KS42</f>
        <v>0</v>
      </c>
      <c r="E42" s="27">
        <f>'daily stressors'!AT42</f>
        <v>2.7</v>
      </c>
      <c r="F42">
        <f>'Harvard Trauma Questionnaire'!B42</f>
        <v>1</v>
      </c>
    </row>
    <row r="43" spans="1:6">
      <c r="A43" t="str">
        <f>Sheet!A43</f>
        <v>LO001</v>
      </c>
      <c r="B43" s="27">
        <f>PTSD!GW43</f>
        <v>0</v>
      </c>
      <c r="C43">
        <f>'HSCL-25'!KR43</f>
        <v>0</v>
      </c>
      <c r="D43" s="27">
        <f>'HSCL-25'!KS43</f>
        <v>0</v>
      </c>
      <c r="E43" s="27">
        <f>'daily stressors'!AT43</f>
        <v>0</v>
      </c>
      <c r="F43">
        <f>'Harvard Trauma Questionnaire'!B43</f>
        <v>0</v>
      </c>
    </row>
    <row r="44" spans="1:6">
      <c r="A44" t="str">
        <f>Sheet!A44</f>
        <v>DA001</v>
      </c>
      <c r="B44" s="27">
        <f>PTSD!GW44</f>
        <v>0</v>
      </c>
      <c r="C44">
        <f>'HSCL-25'!KR44</f>
        <v>0</v>
      </c>
      <c r="D44" s="27">
        <f>'HSCL-25'!KS44</f>
        <v>0</v>
      </c>
      <c r="E44" s="27">
        <f>'daily stressors'!AT44</f>
        <v>2.2580645161290325</v>
      </c>
      <c r="F44">
        <f>'Harvard Trauma Questionnaire'!B44</f>
        <v>5</v>
      </c>
    </row>
    <row r="45" spans="1:6">
      <c r="A45" t="str">
        <f>Sheet!A45</f>
        <v>PF001</v>
      </c>
      <c r="B45" s="27">
        <f>PTSD!GW45</f>
        <v>1.8</v>
      </c>
      <c r="C45">
        <f>'HSCL-25'!KR45</f>
        <v>1</v>
      </c>
      <c r="D45" s="27">
        <f>'HSCL-25'!KS45</f>
        <v>2.4285714285714284</v>
      </c>
      <c r="E45" s="27">
        <f>'daily stressors'!AT45</f>
        <v>2.4193548387096775</v>
      </c>
      <c r="F45">
        <f>'Harvard Trauma Questionnaire'!B45</f>
        <v>1</v>
      </c>
    </row>
    <row r="46" spans="1:6">
      <c r="A46" t="str">
        <f>Sheet!A46</f>
        <v>MC001</v>
      </c>
      <c r="B46" s="27">
        <f>PTSD!GW46</f>
        <v>3</v>
      </c>
      <c r="C46">
        <f>'HSCL-25'!KR46</f>
        <v>2.2999999999999998</v>
      </c>
      <c r="D46" s="27">
        <f>'HSCL-25'!KS46</f>
        <v>3.3571428571428572</v>
      </c>
      <c r="E46" s="27">
        <f>'daily stressors'!AT46</f>
        <v>2.5483870967741935</v>
      </c>
      <c r="F46">
        <f>'Harvard Trauma Questionnaire'!B46</f>
        <v>2</v>
      </c>
    </row>
    <row r="47" spans="1:6">
      <c r="A47" t="str">
        <f>Sheet!A47</f>
        <v>UD002</v>
      </c>
      <c r="B47" s="27">
        <f>PTSD!GW47</f>
        <v>3.2</v>
      </c>
      <c r="C47">
        <f>'HSCL-25'!KR47</f>
        <v>3.2</v>
      </c>
      <c r="D47" s="27">
        <f>'HSCL-25'!KS47</f>
        <v>3.2857142857142856</v>
      </c>
      <c r="E47" s="27">
        <f>'daily stressors'!AT47</f>
        <v>2.774193548387097</v>
      </c>
      <c r="F47">
        <f>'Harvard Trauma Questionnaire'!B47</f>
        <v>1</v>
      </c>
    </row>
    <row r="48" spans="1:6">
      <c r="A48" t="str">
        <f>Sheet!A48</f>
        <v>KI001</v>
      </c>
      <c r="B48" s="27">
        <f>PTSD!GW48</f>
        <v>1.64</v>
      </c>
      <c r="C48">
        <f>'HSCL-25'!KR48</f>
        <v>2.2000000000000002</v>
      </c>
      <c r="D48" s="27">
        <f>'HSCL-25'!KS48</f>
        <v>1.5714285714285714</v>
      </c>
      <c r="E48" s="27">
        <f>'daily stressors'!AT48</f>
        <v>1.8709677419354838</v>
      </c>
      <c r="F48">
        <f>'Harvard Trauma Questionnaire'!B48</f>
        <v>0</v>
      </c>
    </row>
    <row r="49" spans="1:6">
      <c r="A49" t="str">
        <f>Sheet!A49</f>
        <v>MO001</v>
      </c>
      <c r="B49" s="27">
        <f>PTSD!GW49</f>
        <v>2.48</v>
      </c>
      <c r="C49">
        <f>'HSCL-25'!KR49</f>
        <v>1.9</v>
      </c>
      <c r="D49" s="27">
        <f>'HSCL-25'!KS49</f>
        <v>3.3571428571428572</v>
      </c>
      <c r="E49" s="27">
        <f>'daily stressors'!AT49</f>
        <v>2.5806451612903225</v>
      </c>
      <c r="F49">
        <f>'Harvard Trauma Questionnaire'!B49</f>
        <v>5</v>
      </c>
    </row>
    <row r="50" spans="1:6">
      <c r="A50" t="str">
        <f>Sheet!A50</f>
        <v>RU001</v>
      </c>
      <c r="B50" s="27">
        <f>PTSD!GW50</f>
        <v>2.3199999999999998</v>
      </c>
      <c r="C50">
        <f>'HSCL-25'!KR50</f>
        <v>1.5</v>
      </c>
      <c r="D50" s="27">
        <f>'HSCL-25'!KS50</f>
        <v>2.2857142857142856</v>
      </c>
      <c r="E50" s="27">
        <f>'daily stressors'!AT50</f>
        <v>2.161290322580645</v>
      </c>
      <c r="F50">
        <f>'Harvard Trauma Questionnaire'!B50</f>
        <v>6</v>
      </c>
    </row>
    <row r="51" spans="1:6">
      <c r="A51" t="str">
        <f>Sheet!A51</f>
        <v>CU002</v>
      </c>
      <c r="B51" s="27">
        <f>PTSD!GW51</f>
        <v>1.96</v>
      </c>
      <c r="C51">
        <f>'HSCL-25'!KR51</f>
        <v>2.1</v>
      </c>
      <c r="D51" s="27">
        <f>'HSCL-25'!KS51</f>
        <v>2.2142857142857144</v>
      </c>
      <c r="E51" s="27">
        <f>'daily stressors'!AT51</f>
        <v>2.225806451612903</v>
      </c>
      <c r="F51">
        <f>'Harvard Trauma Questionnaire'!B51</f>
        <v>1</v>
      </c>
    </row>
    <row r="52" spans="1:6">
      <c r="A52" t="str">
        <f>Sheet!A52</f>
        <v>OD001</v>
      </c>
      <c r="B52" s="27">
        <f>PTSD!GW52</f>
        <v>2.4</v>
      </c>
      <c r="C52">
        <f>'HSCL-25'!KR52</f>
        <v>2.2999999999999998</v>
      </c>
      <c r="D52" s="27">
        <f>'HSCL-25'!KS52</f>
        <v>2.8571428571428572</v>
      </c>
      <c r="E52" s="27">
        <f>'daily stressors'!AT52</f>
        <v>2.5483870967741935</v>
      </c>
      <c r="F52">
        <f>'Harvard Trauma Questionnaire'!B52</f>
        <v>7</v>
      </c>
    </row>
    <row r="53" spans="1:6">
      <c r="A53" t="str">
        <f>Sheet!A53</f>
        <v>RE001</v>
      </c>
      <c r="B53" s="27">
        <f>PTSD!GW53</f>
        <v>2</v>
      </c>
      <c r="C53">
        <f>'HSCL-25'!KR53</f>
        <v>2.9</v>
      </c>
      <c r="D53" s="27">
        <f>'HSCL-25'!KS53</f>
        <v>3.1428571428571428</v>
      </c>
      <c r="E53" s="27">
        <f>'daily stressors'!AT53</f>
        <v>2.5161290322580645</v>
      </c>
      <c r="F53">
        <f>'Harvard Trauma Questionnaire'!B53</f>
        <v>2</v>
      </c>
    </row>
    <row r="54" spans="1:6">
      <c r="A54" t="str">
        <f>Sheet!A54</f>
        <v>CF001</v>
      </c>
      <c r="B54" s="27">
        <f>PTSD!GW54</f>
        <v>2.6</v>
      </c>
      <c r="C54">
        <f>'HSCL-25'!KR54</f>
        <v>1.5</v>
      </c>
      <c r="D54" s="27">
        <f>'HSCL-25'!KS54</f>
        <v>2.4285714285714284</v>
      </c>
      <c r="E54" s="27">
        <f>'daily stressors'!AT54</f>
        <v>2.838709677419355</v>
      </c>
      <c r="F54">
        <f>'Harvard Trauma Questionnaire'!B54</f>
        <v>0</v>
      </c>
    </row>
    <row r="55" spans="1:6">
      <c r="A55" t="str">
        <f>Sheet!A55</f>
        <v>RM001</v>
      </c>
      <c r="B55" s="27">
        <f>PTSD!GW55</f>
        <v>2.04</v>
      </c>
      <c r="C55">
        <f>'HSCL-25'!KR55</f>
        <v>2.2000000000000002</v>
      </c>
      <c r="D55" s="27">
        <f>'HSCL-25'!KS55</f>
        <v>2.4285714285714284</v>
      </c>
      <c r="E55" s="27">
        <f>'daily stressors'!AT55</f>
        <v>2.7419354838709675</v>
      </c>
      <c r="F55">
        <f>'Harvard Trauma Questionnaire'!B55</f>
        <v>3</v>
      </c>
    </row>
    <row r="56" spans="1:6">
      <c r="A56" t="str">
        <f>Sheet!A56</f>
        <v>KO002</v>
      </c>
      <c r="B56" s="27">
        <f>PTSD!GW56</f>
        <v>2.68</v>
      </c>
      <c r="C56">
        <f>'HSCL-25'!KR56</f>
        <v>2.7</v>
      </c>
      <c r="D56" s="27">
        <f>'HSCL-25'!KS56</f>
        <v>2.4285714285714284</v>
      </c>
      <c r="E56" s="27">
        <f>'daily stressors'!AT56</f>
        <v>2.5806451612903225</v>
      </c>
      <c r="F56">
        <f>'Harvard Trauma Questionnaire'!B56</f>
        <v>11</v>
      </c>
    </row>
    <row r="57" spans="1:6">
      <c r="A57" t="str">
        <f>Sheet!A57</f>
        <v>Cu 001</v>
      </c>
      <c r="B57" s="27">
        <f>PTSD!GW57</f>
        <v>1.1200000000000001</v>
      </c>
      <c r="C57">
        <f>'HSCL-25'!KR57</f>
        <v>1.1000000000000001</v>
      </c>
      <c r="D57" s="27">
        <f>'HSCL-25'!KS57</f>
        <v>1.2857142857142858</v>
      </c>
      <c r="E57" s="27">
        <f>'daily stressors'!AT57</f>
        <v>2.4516129032258065</v>
      </c>
      <c r="F57">
        <f>'Harvard Trauma Questionnaire'!B57</f>
        <v>1</v>
      </c>
    </row>
    <row r="58" spans="1:6">
      <c r="A58" t="str">
        <f>Sheet!A58</f>
        <v>XO001</v>
      </c>
      <c r="B58" s="27">
        <f>PTSD!GW58</f>
        <v>1.64</v>
      </c>
      <c r="C58">
        <f>'HSCL-25'!KR58</f>
        <v>1.3</v>
      </c>
      <c r="D58" s="27">
        <f>'HSCL-25'!KS58</f>
        <v>1.2857142857142858</v>
      </c>
      <c r="E58" s="27">
        <f>'daily stressors'!AT58</f>
        <v>1.7419354838709677</v>
      </c>
      <c r="F58">
        <f>'Harvard Trauma Questionnaire'!B58</f>
        <v>3</v>
      </c>
    </row>
    <row r="59" spans="1:6">
      <c r="A59" t="str">
        <f>Sheet!A59</f>
        <v>CN001</v>
      </c>
      <c r="B59" s="27">
        <f>PTSD!GW59</f>
        <v>2.12</v>
      </c>
      <c r="C59">
        <f>'HSCL-25'!KR59</f>
        <v>1.8</v>
      </c>
      <c r="D59" s="27">
        <f>'HSCL-25'!KS59</f>
        <v>2.7857142857142856</v>
      </c>
      <c r="E59" s="27">
        <f>'daily stressors'!AT59</f>
        <v>2.838709677419355</v>
      </c>
      <c r="F59">
        <f>'Harvard Trauma Questionnaire'!B59</f>
        <v>5</v>
      </c>
    </row>
    <row r="60" spans="1:6">
      <c r="A60" t="str">
        <f>Sheet!A60</f>
        <v>CR001</v>
      </c>
      <c r="B60" s="27">
        <f>PTSD!GW60</f>
        <v>1.76</v>
      </c>
      <c r="C60">
        <f>'HSCL-25'!KR60</f>
        <v>1.5</v>
      </c>
      <c r="D60" s="27">
        <f>'HSCL-25'!KS60</f>
        <v>2.5714285714285716</v>
      </c>
      <c r="E60" s="27">
        <f>'daily stressors'!AT60</f>
        <v>2.3870967741935485</v>
      </c>
      <c r="F60">
        <f>'Harvard Trauma Questionnaire'!B60</f>
        <v>2</v>
      </c>
    </row>
    <row r="61" spans="1:6">
      <c r="A61" t="str">
        <f>Sheet!A61</f>
        <v>CI001</v>
      </c>
      <c r="B61" s="27">
        <f>PTSD!GW61</f>
        <v>2.6</v>
      </c>
      <c r="C61">
        <f>'HSCL-25'!KR61</f>
        <v>2.9</v>
      </c>
      <c r="D61" s="27">
        <f>'HSCL-25'!KS61</f>
        <v>2.8571428571428572</v>
      </c>
      <c r="E61" s="27">
        <f>'daily stressors'!AT61</f>
        <v>2.161290322580645</v>
      </c>
      <c r="F61">
        <f>'Harvard Trauma Questionnaire'!B61</f>
        <v>2</v>
      </c>
    </row>
    <row r="62" spans="1:6">
      <c r="A62" t="str">
        <f>Sheet!A62</f>
        <v>CD001</v>
      </c>
      <c r="B62" s="27">
        <f>PTSD!GW62</f>
        <v>1.8</v>
      </c>
      <c r="C62">
        <f>'HSCL-25'!KR62</f>
        <v>2</v>
      </c>
      <c r="D62" s="27">
        <f>'HSCL-25'!KS62</f>
        <v>2.0714285714285716</v>
      </c>
      <c r="E62" s="27">
        <f>'daily stressors'!AT62</f>
        <v>2.903225806451613</v>
      </c>
      <c r="F62">
        <f>'Harvard Trauma Questionnaire'!B62</f>
        <v>10</v>
      </c>
    </row>
    <row r="63" spans="1:6">
      <c r="A63" t="str">
        <f>Sheet!A63</f>
        <v>KP001</v>
      </c>
      <c r="B63" s="27">
        <f>PTSD!GW63</f>
        <v>1.32</v>
      </c>
      <c r="C63">
        <f>'HSCL-25'!KR63</f>
        <v>1.5</v>
      </c>
      <c r="D63" s="27">
        <f>'HSCL-25'!KS63</f>
        <v>1.5714285714285714</v>
      </c>
      <c r="E63" s="27">
        <f>'daily stressors'!AT63</f>
        <v>2</v>
      </c>
      <c r="F63">
        <f>'Harvard Trauma Questionnaire'!B63</f>
        <v>0</v>
      </c>
    </row>
    <row r="64" spans="1:6">
      <c r="A64" t="str">
        <f>Sheet!A64</f>
        <v>XQ001</v>
      </c>
      <c r="B64" s="27">
        <f>PTSD!GW64</f>
        <v>1.64</v>
      </c>
      <c r="C64">
        <f>'HSCL-25'!KR64</f>
        <v>1.1000000000000001</v>
      </c>
      <c r="D64" s="27">
        <f>'HSCL-25'!KS64</f>
        <v>1.5714285714285714</v>
      </c>
      <c r="E64" s="27">
        <f>'daily stressors'!AT64</f>
        <v>2.774193548387097</v>
      </c>
      <c r="F64">
        <f>'Harvard Trauma Questionnaire'!B64</f>
        <v>1</v>
      </c>
    </row>
    <row r="65" spans="1:6">
      <c r="A65" t="str">
        <f>Sheet!A65</f>
        <v>EG001</v>
      </c>
      <c r="B65" s="27">
        <f>PTSD!GW65</f>
        <v>2.2000000000000002</v>
      </c>
      <c r="C65">
        <f>'HSCL-25'!KR65</f>
        <v>2.2000000000000002</v>
      </c>
      <c r="D65" s="27">
        <f>'HSCL-25'!KS65</f>
        <v>2.1428571428571428</v>
      </c>
      <c r="E65" s="27">
        <f>'daily stressors'!AT65</f>
        <v>2.225806451612903</v>
      </c>
      <c r="F65">
        <f>'Harvard Trauma Questionnaire'!B65</f>
        <v>6</v>
      </c>
    </row>
    <row r="66" spans="1:6">
      <c r="A66" t="str">
        <f>Sheet!A66</f>
        <v xml:space="preserve">ID001 </v>
      </c>
      <c r="B66" s="27">
        <f>PTSD!GW66</f>
        <v>1.32</v>
      </c>
      <c r="C66">
        <f>'HSCL-25'!KR66</f>
        <v>1.4</v>
      </c>
      <c r="D66" s="27">
        <f>'HSCL-25'!KS66</f>
        <v>1.4285714285714286</v>
      </c>
      <c r="E66" s="27">
        <f>'daily stressors'!AT66</f>
        <v>2.0333333333333332</v>
      </c>
      <c r="F66">
        <f>'Harvard Trauma Questionnaire'!B66</f>
        <v>1</v>
      </c>
    </row>
    <row r="67" spans="1:6">
      <c r="A67" t="str">
        <f>Sheet!A67</f>
        <v>UN001</v>
      </c>
      <c r="B67" s="27">
        <f>PTSD!GW67</f>
        <v>1.6</v>
      </c>
      <c r="C67">
        <f>'HSCL-25'!KR67</f>
        <v>1.5</v>
      </c>
      <c r="D67" s="27">
        <f>'HSCL-25'!KS67</f>
        <v>2.1428571428571428</v>
      </c>
      <c r="E67" s="27">
        <f>'daily stressors'!AT67</f>
        <v>2.4193548387096775</v>
      </c>
      <c r="F67">
        <f>'Harvard Trauma Questionnaire'!B67</f>
        <v>2</v>
      </c>
    </row>
    <row r="68" spans="1:6">
      <c r="A68" t="str">
        <f>Sheet!A68</f>
        <v>BO001</v>
      </c>
      <c r="B68" s="27">
        <f>PTSD!GW68</f>
        <v>1.1599999999999999</v>
      </c>
      <c r="C68">
        <f>'HSCL-25'!KR68</f>
        <v>1.2</v>
      </c>
      <c r="D68" s="27">
        <f>'HSCL-25'!KS68</f>
        <v>1.5714285714285714</v>
      </c>
      <c r="E68" s="27">
        <f>'daily stressors'!AT68</f>
        <v>1.5483870967741935</v>
      </c>
      <c r="F68">
        <f>'Harvard Trauma Questionnaire'!B68</f>
        <v>1</v>
      </c>
    </row>
    <row r="69" spans="1:6">
      <c r="A69" t="str">
        <f>Sheet!A69</f>
        <v>UD001</v>
      </c>
      <c r="B69" s="27">
        <f>PTSD!GW69</f>
        <v>1.08</v>
      </c>
      <c r="C69">
        <f>'HSCL-25'!KR69</f>
        <v>1.2</v>
      </c>
      <c r="D69" s="27">
        <f>'HSCL-25'!KS69</f>
        <v>1.0714285714285714</v>
      </c>
      <c r="E69" s="27">
        <f>'daily stressors'!AT69</f>
        <v>1.6129032258064515</v>
      </c>
      <c r="F69">
        <f>'Harvard Trauma Questionnaire'!B69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PyExcelerate</dc:creator>
  <cp:keywords/>
  <dc:description/>
  <cp:lastModifiedBy>Dmitry Boltyanskiy</cp:lastModifiedBy>
  <cp:revision>63</cp:revision>
  <dcterms:created xsi:type="dcterms:W3CDTF">2023-07-04T19:25:00Z</dcterms:created>
  <dcterms:modified xsi:type="dcterms:W3CDTF">2024-07-17T02:10:40Z</dcterms:modified>
  <cp:category/>
  <cp:contentStatus/>
</cp:coreProperties>
</file>